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Txn" sheetId="2" r:id="rId2"/>
    <sheet name="Post" sheetId="3" state="hidden" r:id="rId3"/>
    <sheet name="Sum" sheetId="4" r:id="rId4"/>
    <sheet name="Flow" sheetId="5" r:id="rId5"/>
    <sheet name="Anal" sheetId="6" r:id="rId6"/>
    <sheet name="Card" sheetId="7" r:id="rId7"/>
    <sheet name="Chq" sheetId="8" r:id="rId8"/>
    <sheet name="Sync" sheetId="9" r:id="rId9"/>
    <sheet name="Help" sheetId="10" r:id="rId10"/>
  </sheets>
  <definedNames>
    <definedName name="_xlnm._FilterDatabase" localSheetId="7" hidden="1">Chq!$A$12:$L$72</definedName>
    <definedName name="_xlnm._FilterDatabase" localSheetId="1" hidden="1">Txn!$A$11:$T$152</definedName>
    <definedName name="AcctTbl">Sync!$H$10:$L$259</definedName>
    <definedName name="BankAccts">Sync!$D$10:$D$19</definedName>
    <definedName name="BankOpTbl">Sync!$N$10:$S$27</definedName>
    <definedName name="BankTbl">Sync!$A$10:$F$19</definedName>
    <definedName name="ListAllCodes">Sync!$H$10:$H$259</definedName>
    <definedName name="ListBankOps">Sync!$N$10:$N$27</definedName>
    <definedName name="ListBanks">Sync!$A$10:$A$19</definedName>
    <definedName name="ListChequeStatus">Sync!$U$10:$U$13</definedName>
    <definedName name="ListChequeTypes">Sync!$X$10:$X$11</definedName>
    <definedName name="ListGroups">Sync!$W$10:$W$33</definedName>
    <definedName name="ListOtherScales">Sync!$V$10:$V$29</definedName>
    <definedName name="ListPayMethods">Sync!$T$10:$T$14</definedName>
    <definedName name="_xlnm.Print_Area" localSheetId="5">Anal!$A$1:$G$53</definedName>
    <definedName name="_xlnm.Print_Area" localSheetId="6">Card!$A$1:$G$35</definedName>
    <definedName name="_xlnm.Print_Area" localSheetId="7">Chq!$A$1:$L$76</definedName>
    <definedName name="_xlnm.Print_Area" localSheetId="4">Flow!$A$1:$H$41</definedName>
    <definedName name="_xlnm.Print_Area" localSheetId="9">Help!$A$1:$I$63</definedName>
    <definedName name="_xlnm.Print_Area" localSheetId="0">Home!$A$1:$I$41</definedName>
    <definedName name="_xlnm.Print_Area" localSheetId="2">Post!$A$1:$N$293</definedName>
    <definedName name="_xlnm.Print_Area" localSheetId="3">Sum!$A$1:$H$27</definedName>
    <definedName name="_xlnm.Print_Area" localSheetId="8">Sync!$A$1:$M$263</definedName>
    <definedName name="_xlnm.Print_Area" localSheetId="1">Txn!$A$1:$T$155</definedName>
    <definedName name="_xlnm.Print_Titles" localSheetId="5">Anal!$8:$8</definedName>
    <definedName name="_xlnm.Print_Titles" localSheetId="6">Card!$11:$11</definedName>
    <definedName name="_xlnm.Print_Titles" localSheetId="7">Chq!$12:$12</definedName>
    <definedName name="_xlnm.Print_Titles" localSheetId="4">Flow!$11:$11</definedName>
    <definedName name="_xlnm.Print_Titles" localSheetId="9">Help!$8:$8</definedName>
    <definedName name="_xlnm.Print_Titles" localSheetId="2">Post!$8:$9</definedName>
    <definedName name="_xlnm.Print_Titles" localSheetId="3">Sum!$11:$11</definedName>
    <definedName name="_xlnm.Print_Titles" localSheetId="8">Sync!$9:$10</definedName>
    <definedName name="_xlnm.Print_Titles" localSheetId="1">Txn!$12:$12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2" authorId="0">
      <text>
        <r>
          <rPr>
            <sz val="8"/>
            <color indexed="81"/>
            <rFont val="Tahoma"/>
            <family val="2"/>
          </rPr>
          <t>شماره خودکار ردیف؛ با پر شدن تاریخ ساخته می‌شود.</t>
        </r>
      </text>
    </comment>
    <comment ref="B12" authorId="0">
      <text>
        <r>
          <rPr>
            <sz val="8"/>
            <color indexed="81"/>
            <rFont val="Tahoma"/>
            <family val="2"/>
          </rPr>
          <t>تاریخ شمسی به شکل 1405/07/10. فقط عدد وارد کنید؛ اسلش‌ها را خودتان بزنید.</t>
        </r>
      </text>
    </comment>
    <comment ref="C12" authorId="0">
      <text>
        <r>
          <rPr>
            <sz val="8"/>
            <color indexed="81"/>
            <rFont val="Tahoma"/>
            <family val="2"/>
          </rPr>
          <t>شماره پیگیری یا شماره سند داخلی؛ آزاد.</t>
        </r>
      </text>
    </comment>
    <comment ref="D12" authorId="0">
      <text>
        <r>
          <rPr>
            <sz val="8"/>
            <color indexed="81"/>
            <rFont val="Tahoma"/>
            <family val="2"/>
          </rPr>
          <t>از کشو انتخاب کنید. جهت بدهکار/بستانکار و حساب طرف از همین انتخاب تعیین می‌شود.</t>
        </r>
      </text>
    </comment>
    <comment ref="E12" authorId="0">
      <text>
        <r>
          <rPr>
            <sz val="8"/>
            <color indexed="81"/>
            <rFont val="Tahoma"/>
            <family val="2"/>
          </rPr>
          <t>بانک شرکت که پول از آن خارج یا به آن وارد می‌شود (برای انتقال داخلی: بانک مبدأ).</t>
        </r>
      </text>
    </comment>
    <comment ref="F12" authorId="0">
      <text>
        <r>
          <rPr>
            <sz val="8"/>
            <color indexed="81"/>
            <rFont val="Tahoma"/>
            <family val="2"/>
          </rPr>
          <t>فقط در «انتقال داخلی» پر می‌شود: بانکی که پول به آن واریز می‌شود.</t>
        </r>
      </text>
    </comment>
    <comment ref="G12" authorId="0">
      <text>
        <r>
          <rPr>
            <sz val="8"/>
            <color indexed="81"/>
            <rFont val="Tahoma"/>
            <family val="2"/>
          </rPr>
          <t>نقد، چک، انتقال بانکی، کارت/پوز یا حواله.</t>
        </r>
      </text>
    </comment>
    <comment ref="H12" authorId="0">
      <text>
        <r>
          <rPr>
            <sz val="8"/>
            <color indexed="81"/>
            <rFont val="Tahoma"/>
            <family val="2"/>
          </rPr>
          <t>کد را تایپ کنید (مثل C001 یا X012)؛ نام و گروه خودکار می‌آید. برای باسکول دیگران این ستون را خالی بگذارید.</t>
        </r>
      </text>
    </comment>
    <comment ref="I12" authorId="0">
      <text>
        <r>
          <rPr>
            <sz val="8"/>
            <color indexed="81"/>
            <rFont val="Tahoma"/>
            <family val="2"/>
          </rPr>
          <t>خودکار از فایل مادر.</t>
        </r>
      </text>
    </comment>
    <comment ref="J12" authorId="0">
      <text>
        <r>
          <rPr>
            <sz val="8"/>
            <color indexed="81"/>
            <rFont val="Tahoma"/>
            <family val="2"/>
          </rPr>
          <t>خودکار؛ برای گزارش‌های تحلیلی.</t>
        </r>
      </text>
    </comment>
    <comment ref="K12" authorId="0">
      <text>
        <r>
          <rPr>
            <sz val="8"/>
            <color indexed="81"/>
            <rFont val="Tahoma"/>
            <family val="2"/>
          </rPr>
          <t>توضیح کوتاه؛ در گزارش‌ها دیده می‌شود.</t>
        </r>
      </text>
    </comment>
    <comment ref="L12" authorId="0">
      <text>
        <r>
          <rPr>
            <sz val="8"/>
            <color indexed="81"/>
            <rFont val="Tahoma"/>
            <family val="2"/>
          </rPr>
          <t>شماره پیگیری حواله، چک یا فیش.</t>
        </r>
      </text>
    </comment>
    <comment ref="M12" authorId="0">
      <text>
        <r>
          <rPr>
            <sz val="8"/>
            <color indexed="81"/>
            <rFont val="Tahoma"/>
            <family val="2"/>
          </rPr>
          <t>مبلغ کامل تراکنش؛ بدهکار و بستانکار خودکار از آن ساخته می‌شود.</t>
        </r>
      </text>
    </comment>
    <comment ref="N12" authorId="0">
      <text>
        <r>
          <rPr>
            <sz val="8"/>
            <color indexed="81"/>
            <rFont val="Tahoma"/>
            <family val="2"/>
          </rPr>
          <t>فقط برای عملیات باسکول دیگران: شخص را از کشو انتخاب کنید تا بدهی‌اش قابل ردیابی شود.</t>
        </r>
      </text>
    </comment>
    <comment ref="O12" authorId="0">
      <text>
        <r>
          <rPr>
            <sz val="8"/>
            <color indexed="81"/>
            <rFont val="Tahoma"/>
            <family val="2"/>
          </rPr>
          <t>خودکار: پول وارد حساب بانک شده است.</t>
        </r>
      </text>
    </comment>
    <comment ref="P12" authorId="0">
      <text>
        <r>
          <rPr>
            <sz val="8"/>
            <color indexed="81"/>
            <rFont val="Tahoma"/>
            <family val="2"/>
          </rPr>
          <t>خودکار: پول از حساب بانک خارج شده است.</t>
        </r>
      </text>
    </comment>
    <comment ref="Q12" authorId="0">
      <text>
        <r>
          <rPr>
            <sz val="8"/>
            <color indexed="81"/>
            <rFont val="Tahoma"/>
            <family val="2"/>
          </rPr>
          <t>خودکار: طرف حساب/بانک مقصد بدهکار می‌شود.</t>
        </r>
      </text>
    </comment>
    <comment ref="R12" authorId="0">
      <text>
        <r>
          <rPr>
            <sz val="8"/>
            <color indexed="81"/>
            <rFont val="Tahoma"/>
            <family val="2"/>
          </rPr>
          <t>خودکار: طرف حساب بستانکار می‌شود.</t>
        </r>
      </text>
    </comment>
    <comment ref="S12" authorId="0">
      <text>
        <r>
          <rPr>
            <sz val="8"/>
            <color indexed="81"/>
            <rFont val="Tahoma"/>
            <family val="2"/>
          </rPr>
          <t>✓ یعنی ردیف کامل و قابل ثبت است؛ ⚠ یعنی چیزی جا افتاده.</t>
        </r>
      </text>
    </comment>
    <comment ref="T12" authorId="0">
      <text>
        <r>
          <rPr>
            <sz val="8"/>
            <color indexed="81"/>
            <rFont val="Tahoma"/>
            <family val="2"/>
          </rPr>
          <t>هر توضیح اضافه.</t>
        </r>
      </text>
    </comment>
  </commentList>
</comments>
</file>

<file path=xl/sharedStrings.xml><?xml version="1.0" encoding="utf-8"?>
<sst xmlns="http://schemas.openxmlformats.org/spreadsheetml/2006/main" count="1233" uniqueCount="769">
  <si>
    <t xml:space="preserve">   مازندشت  ·  سورتینگ و بسته‌بندی مرکبات    ·    MAZANDASHT · CITRUS SORTING &amp; PACKING</t>
  </si>
  <si>
    <t>فایل تراکنش‌های بانکی</t>
  </si>
  <si>
    <t>ثبت، کنترل و تحلیل گردش حساب‌های شرکت  ·  همه کشوها از فایل مادر تعریف شده‌اند</t>
  </si>
  <si>
    <t>تراکنش‌ها</t>
  </si>
  <si>
    <t>دریافت</t>
  </si>
  <si>
    <t>پرداخت</t>
  </si>
  <si>
    <t>مانده بانک‌ها</t>
  </si>
  <si>
    <t>شیت‌های این فایل    روی هر کارت کلیک کنید</t>
  </si>
  <si>
    <t>۰۱</t>
  </si>
  <si>
    <t xml:space="preserve">    تراکنش‌ها  Txn</t>
  </si>
  <si>
    <t>ثبت تراکنش با کشوی بانک، کد طرف حساب و انتقال داخلی</t>
  </si>
  <si>
    <t xml:space="preserve">    مانده بانک‌ها  Sum</t>
  </si>
  <si>
    <t>مانده هر حساب + نمودار مقایسه بانک‌ها</t>
  </si>
  <si>
    <t xml:space="preserve">    جریان نقدی  Flow</t>
  </si>
  <si>
    <t>دریافت/پرداخت ماهانه با نمودار ترکیبی</t>
  </si>
  <si>
    <t xml:space="preserve">    تحلیل  Anal</t>
  </si>
  <si>
    <t>بر پایه نوع عملیات، روش پرداخت و طرف حساب</t>
  </si>
  <si>
    <t xml:space="preserve">    کارت/پوز  Card</t>
  </si>
  <si>
    <t>کارت‌به‌کارت و پز باسکول به تفکیک بانک</t>
  </si>
  <si>
    <t xml:space="preserve">    چک‌ها  Chq</t>
  </si>
  <si>
    <t>سررسید، وضعیت و مبلغ چک‌های دریافتی/پرداختی</t>
  </si>
  <si>
    <t>گردش کار روزانه    پنج گام ساده</t>
  </si>
  <si>
    <t>۰۲</t>
  </si>
  <si>
    <t>۱</t>
  </si>
  <si>
    <t>صورت‌حساب بانک را باز کنید؛ هر ردیف را در شیت Txn ثبت کنید.</t>
  </si>
  <si>
    <t>۲</t>
  </si>
  <si>
    <t>نوع عملیات را انتخاب کنید؛ جهت بدهکار/بستانکار خودکار تعیین می‌شود.</t>
  </si>
  <si>
    <t>۳</t>
  </si>
  <si>
    <t>بانک عامل را از کشو بزنید و کد طرف حساب را تایپ کنید (نام خودکار می‌آید).</t>
  </si>
  <si>
    <t>۴</t>
  </si>
  <si>
    <t>اگر پول بین دو حساب خودمان جابه‌جا شده، «انتقال داخلی» را بزنید و بانک مقصد را هم انتخاب کنید.</t>
  </si>
  <si>
    <t>۵</t>
  </si>
  <si>
    <t>آخر روز شیت Sum و Card را ببینید؛ اگر همه ردیف‌ها ✓ بودند، فایل‌های گزارش را باز کنید.</t>
  </si>
  <si>
    <t xml:space="preserve">     قاعده طلایی: هر بانکی که در فهرست بانک‌های شرکت نیست، اجازه ثبت ندارد. اگر حساب جدیدی باز کردید، اول آن را در فایل مادر (شیت Bnk) اضافه کنید و بعد این فایل را باز کنید.</t>
  </si>
  <si>
    <t>تراکنش‌های بانکی — ثبت، کنترل و ردیابی</t>
  </si>
  <si>
    <t>بانک عامل را از کشو انتخاب کنید  ·  کد طرف حساب را تایپ کنید  ·  انتقال داخلی: بانک مبدأ و مقصد</t>
  </si>
  <si>
    <t>تعداد تراکنش</t>
  </si>
  <si>
    <t>جمع دریافت</t>
  </si>
  <si>
    <t>جمع پرداخت</t>
  </si>
  <si>
    <t>مانده جریان</t>
  </si>
  <si>
    <t>ردیف‌های ناقص</t>
  </si>
  <si>
    <t xml:space="preserve">     بانک عامل همیشه از فهرست بانک‌های شرکت انتخاب می‌شود. ستون‌های خاکستری خودکارند و دست نزنید. برای انتقال داخلی، بانک مقصد را هم انتخاب کنید تا پول از یک حساب کم و به حساب دیگر اضافه شود.</t>
  </si>
  <si>
    <t>دفتر تراکنش‌ها    هر ردیف یک تراکنش بانکی</t>
  </si>
  <si>
    <t>ردیف
No.</t>
  </si>
  <si>
    <t>تاریخ
Date</t>
  </si>
  <si>
    <t>شماره سند
Doc</t>
  </si>
  <si>
    <t>نوع عملیات
Operation</t>
  </si>
  <si>
    <t>بانک عامل
Company bank</t>
  </si>
  <si>
    <t>بانک مقصد
Destination</t>
  </si>
  <si>
    <t>روش
Method</t>
  </si>
  <si>
    <t>کد طرف حساب
Party code</t>
  </si>
  <si>
    <t>نام طرف حساب
Party name</t>
  </si>
  <si>
    <t>گروه
Group</t>
  </si>
  <si>
    <t>شرح
Description</t>
  </si>
  <si>
    <t>شماره پیگیری / چک
Ref / Cheque</t>
  </si>
  <si>
    <t>مبلغ (ریال)
Amount</t>
  </si>
  <si>
    <t>شخص باسکول دیگران
Other scale</t>
  </si>
  <si>
    <t>بدهکار بانک
Bank Dr</t>
  </si>
  <si>
    <t>بستانکار بانک
Bank Cr</t>
  </si>
  <si>
    <t>بدهکار طرف
Party Dr</t>
  </si>
  <si>
    <t>بستانکار طرف
Party Cr</t>
  </si>
  <si>
    <t>وضعیت
Status</t>
  </si>
  <si>
    <t>یادداشت
Note</t>
  </si>
  <si>
    <t>1405/07/03</t>
  </si>
  <si>
    <t>JB-BS-006</t>
  </si>
  <si>
    <t>واریز پز باسکول (۲۰۰۶)</t>
  </si>
  <si>
    <t>BN02</t>
  </si>
  <si>
    <t>کارت/پوز</t>
  </si>
  <si>
    <t>پوز باسکول — فروش بار (بارفروش)</t>
  </si>
  <si>
    <t>1405/07/04</t>
  </si>
  <si>
    <t>JB-BS-008</t>
  </si>
  <si>
    <t>1405/07/05</t>
  </si>
  <si>
    <t>JB-BS-010</t>
  </si>
  <si>
    <t>تسویه پرداخت (واسط)</t>
  </si>
  <si>
    <t>انتقال بانکی</t>
  </si>
  <si>
    <t>انعام از پوز باسکول</t>
  </si>
  <si>
    <t>1405/07/06</t>
  </si>
  <si>
    <t>JB-RV-001</t>
  </si>
  <si>
    <t>تسویه دریافت (واسط)</t>
  </si>
  <si>
    <t>BN01</t>
  </si>
  <si>
    <t>تسویه بار</t>
  </si>
  <si>
    <t>1405/07/08</t>
  </si>
  <si>
    <t>JB-PV-003</t>
  </si>
  <si>
    <t>پرداخت از واسط</t>
  </si>
  <si>
    <t>1405/07/09</t>
  </si>
  <si>
    <t>JB-RV-002</t>
  </si>
  <si>
    <t>واریز از واسط</t>
  </si>
  <si>
    <t>JB-BS-015</t>
  </si>
  <si>
    <t>1405/07/10</t>
  </si>
  <si>
    <t>JB-PV-004</t>
  </si>
  <si>
    <t>پاس شدن چک</t>
  </si>
  <si>
    <t>1405/07/11</t>
  </si>
  <si>
    <t>JB-RV-003</t>
  </si>
  <si>
    <t>JB-BS-017</t>
  </si>
  <si>
    <t>پوز باسکول — درآمد پوز باسکول (بدون طرف)</t>
  </si>
  <si>
    <t>1405/07/12</t>
  </si>
  <si>
    <t>JB-RV-004</t>
  </si>
  <si>
    <t>1405/07/13</t>
  </si>
  <si>
    <t>TB-901</t>
  </si>
  <si>
    <t>انتقال داخلی بین بانک‌ها</t>
  </si>
  <si>
    <t>BN03</t>
  </si>
  <si>
    <t>انتقال به حساب ملت</t>
  </si>
  <si>
    <t>TR-9001</t>
  </si>
  <si>
    <t>جمع کل</t>
  </si>
  <si>
    <t>تاریخ</t>
  </si>
  <si>
    <t>سند</t>
  </si>
  <si>
    <t>منبع</t>
  </si>
  <si>
    <t>کد حساب</t>
  </si>
  <si>
    <t>نام حساب</t>
  </si>
  <si>
    <t>گروه</t>
  </si>
  <si>
    <t>عملیات</t>
  </si>
  <si>
    <t>بانک</t>
  </si>
  <si>
    <t>بدهکار</t>
  </si>
  <si>
    <t>بستانکار</t>
  </si>
  <si>
    <t>ماه</t>
  </si>
  <si>
    <t>شرح</t>
  </si>
  <si>
    <t>بانک؟</t>
  </si>
  <si>
    <t>مانده و گردش حساب‌های بانکی</t>
  </si>
  <si>
    <t>مانده هر بانک = مانده اولیه + دریافت‌ها − پرداخت‌ها  ·  همه از دفتر تراکنش‌ها</t>
  </si>
  <si>
    <t>جمع مانده بانک‌ها</t>
  </si>
  <si>
    <t>خالص جریان</t>
  </si>
  <si>
    <t>وضعیت هر بانک    به ترتیب مانده</t>
  </si>
  <si>
    <t>مانده اولیه</t>
  </si>
  <si>
    <t>مانده فعلی</t>
  </si>
  <si>
    <t>سهم</t>
  </si>
  <si>
    <t>شماره حساب</t>
  </si>
  <si>
    <t>یادداشت</t>
  </si>
  <si>
    <t>جمع</t>
  </si>
  <si>
    <t>جریان نقدی — ماه به ماه</t>
  </si>
  <si>
    <t>دریافت، پرداخت و خالص هر ماه شمسی  ·  ستون ماه از تاریخ تراکنش ساخته می‌شود</t>
  </si>
  <si>
    <t>بهترین ماه (خالص)</t>
  </si>
  <si>
    <t>بیشترین دریافت</t>
  </si>
  <si>
    <t>بیشترین پرداخت</t>
  </si>
  <si>
    <t>میانگین ماهانه</t>
  </si>
  <si>
    <t>Month</t>
  </si>
  <si>
    <t>تعداد</t>
  </si>
  <si>
    <t>Count</t>
  </si>
  <si>
    <t>Inflow</t>
  </si>
  <si>
    <t>Outflow</t>
  </si>
  <si>
    <t>خالص</t>
  </si>
  <si>
    <t>Net</t>
  </si>
  <si>
    <t>تجمعی</t>
  </si>
  <si>
    <t>Cumulative</t>
  </si>
  <si>
    <t>نمودار</t>
  </si>
  <si>
    <t>Bar</t>
  </si>
  <si>
    <t>جمع سال</t>
  </si>
  <si>
    <t>تحلیل تراکنش‌ها</t>
  </si>
  <si>
    <t>بر پایه نوع عملیات، روش پرداخت و طرف حساب  ·  سه مدل تحلیل در یک صفحه</t>
  </si>
  <si>
    <t>تحلیل بر اساس نوع عملیات    کدام عملیات بیشترین گردش را دارد؟</t>
  </si>
  <si>
    <t>نوع عملیات</t>
  </si>
  <si>
    <t>Operation</t>
  </si>
  <si>
    <t>In</t>
  </si>
  <si>
    <t>Out</t>
  </si>
  <si>
    <t>سهم پرداخت</t>
  </si>
  <si>
    <t>Share</t>
  </si>
  <si>
    <t>دریافت از مشتری</t>
  </si>
  <si>
    <t>پرداخت به مشتری</t>
  </si>
  <si>
    <t>دریافت نقدی و واریز به بانک</t>
  </si>
  <si>
    <t>پرداخت هزینه</t>
  </si>
  <si>
    <t>پرداخت انعام مصطفی</t>
  </si>
  <si>
    <t>دریافت هزینه باسکول دیگران</t>
  </si>
  <si>
    <t>پرداخت به باسکول دیگران</t>
  </si>
  <si>
    <t>پاس چک (پرداخت چک)</t>
  </si>
  <si>
    <t>برگشت چک دریافتی</t>
  </si>
  <si>
    <t>واریز چک به حساب</t>
  </si>
  <si>
    <t>دریافت تسهیلات</t>
  </si>
  <si>
    <t>بازپرداخت تسهیلات</t>
  </si>
  <si>
    <t>سایر دریافت</t>
  </si>
  <si>
    <t>سایر پرداخت</t>
  </si>
  <si>
    <t>تحلیل بر اساس روش پرداخت    نقد، چک، انتقال، کارت/پوز، حواله</t>
  </si>
  <si>
    <t>روش</t>
  </si>
  <si>
    <t>نقد</t>
  </si>
  <si>
    <t>چک</t>
  </si>
  <si>
    <t>حواله</t>
  </si>
  <si>
    <t>بزرگ‌ترین طرف حساب‌ها    جمع گردش هر طرف حساب در دفتر تراکنش‌ها</t>
  </si>
  <si>
    <t>۰۳</t>
  </si>
  <si>
    <t>نام</t>
  </si>
  <si>
    <t>جمع بدهکار</t>
  </si>
  <si>
    <t>جمع بستانکار</t>
  </si>
  <si>
    <t xml:space="preserve">     فهرست بالا با LARGE مرتب می‌شود؛ برای دیدن ریز هر طرف حساب، شیت Post را فیلتر کنید یا از فایل گزارش (03) استفاده کنید.</t>
  </si>
  <si>
    <t>کارت به کارت و پز — تحلیل بانکی</t>
  </si>
  <si>
    <t>هر واریزی کارت/پوز کدام بانک را شارژ کرده است؟  ·  پایه کنترل با باسکول</t>
  </si>
  <si>
    <t>کل کارت/پوز</t>
  </si>
  <si>
    <t>کل پز باسکول</t>
  </si>
  <si>
    <t>کارت به کارت سایر</t>
  </si>
  <si>
    <t>سهم ۲۰۰۶</t>
  </si>
  <si>
    <t>Bank</t>
  </si>
  <si>
    <t>Card</t>
  </si>
  <si>
    <t>از آن: پز باسکول</t>
  </si>
  <si>
    <t>POS</t>
  </si>
  <si>
    <t>سایر کارت‌ها</t>
  </si>
  <si>
    <t>Other</t>
  </si>
  <si>
    <t>هشدار</t>
  </si>
  <si>
    <t>Alert</t>
  </si>
  <si>
    <t xml:space="preserve">     پز باسکول همان واریزی سرجمع روز بعد است. اگر جمع پز این صفحه با جمع پز شیت POS در 01_Entry یکی نبود، یعنی یک واریزی ثبت نشده یا یک تراکنش به بانک اشتباه زده شده است.</t>
  </si>
  <si>
    <t>دفتر چک‌ها</t>
  </si>
  <si>
    <t>چک‌های دریافتی و پرداختی  ·  سررسید، وضعیت و مبلغ در یک نگاه</t>
  </si>
  <si>
    <t>تعداد چک</t>
  </si>
  <si>
    <t>در جریان</t>
  </si>
  <si>
    <t>پاس شده</t>
  </si>
  <si>
    <t>برگشتی</t>
  </si>
  <si>
    <t>تاریخ صدور
Issued</t>
  </si>
  <si>
    <t>سررسید
Due</t>
  </si>
  <si>
    <t>شماره چک
No.</t>
  </si>
  <si>
    <t>نوع
Type</t>
  </si>
  <si>
    <t>کد طرف
Party</t>
  </si>
  <si>
    <t>نام طرف
Name</t>
  </si>
  <si>
    <t>بانک
Bank</t>
  </si>
  <si>
    <t>مبلغ
Amount</t>
  </si>
  <si>
    <t>تاریخ پاس
Cleared</t>
  </si>
  <si>
    <t>1405/07/02</t>
  </si>
  <si>
    <t>1405/08/02</t>
  </si>
  <si>
    <t>4521</t>
  </si>
  <si>
    <t>پرداختی</t>
  </si>
  <si>
    <t>X012</t>
  </si>
  <si>
    <t>حمل و تخلیه</t>
  </si>
  <si>
    <t>1405/08/04</t>
  </si>
  <si>
    <t>7732</t>
  </si>
  <si>
    <t>دریافتی</t>
  </si>
  <si>
    <t>C002</t>
  </si>
  <si>
    <t>چک باغدار</t>
  </si>
  <si>
    <t>1405/09/06</t>
  </si>
  <si>
    <t>8890</t>
  </si>
  <si>
    <t>X013</t>
  </si>
  <si>
    <t>دستمزد</t>
  </si>
  <si>
    <t>1405/08/08</t>
  </si>
  <si>
    <t>1120</t>
  </si>
  <si>
    <t>SL001</t>
  </si>
  <si>
    <t>برگشت خورد</t>
  </si>
  <si>
    <t>1405/09/10</t>
  </si>
  <si>
    <t>9031</t>
  </si>
  <si>
    <t>باطل</t>
  </si>
  <si>
    <t>باطل شد</t>
  </si>
  <si>
    <t>1405/08/11</t>
  </si>
  <si>
    <t>6654</t>
  </si>
  <si>
    <t>C004</t>
  </si>
  <si>
    <t>داده‌های ثابت — کپی قفل‌شده از فایل مادر 00_Master.xlsx</t>
  </si>
  <si>
    <t>این شیت فقط مطالعه است. هر کشوی این فایل از همین‌جا می‌خواند؛ برای تغییر، فایل مادر را ویرایش کنید و این فایل را دوباره بسازید.</t>
  </si>
  <si>
    <t>بانک‌ها و حساب‌های شرکت</t>
  </si>
  <si>
    <t>BANKS</t>
  </si>
  <si>
    <t>صادرات ۹۰۰۹ — جاری اصلی</t>
  </si>
  <si>
    <t>بله</t>
  </si>
  <si>
    <t>حساب جاری اصلی شرکت</t>
  </si>
  <si>
    <t>صادرات ۲۰۰۶ — پوز باسکول</t>
  </si>
  <si>
    <t>پوز باسکول به این حساب وصل است</t>
  </si>
  <si>
    <t>ملت</t>
  </si>
  <si>
    <t>BN04</t>
  </si>
  <si>
    <t>کشاورزی</t>
  </si>
  <si>
    <t>BN05</t>
  </si>
  <si>
    <t>سپه</t>
  </si>
  <si>
    <t>BN06</t>
  </si>
  <si>
    <t>مهر ایران</t>
  </si>
  <si>
    <t>BN07</t>
  </si>
  <si>
    <t>تجارت</t>
  </si>
  <si>
    <t>BN08</t>
  </si>
  <si>
    <t>پاسارگاد</t>
  </si>
  <si>
    <t>BN09</t>
  </si>
  <si>
    <t>رفاه</t>
  </si>
  <si>
    <t>BN10</t>
  </si>
  <si>
    <t>قرض‌الحسنه</t>
  </si>
  <si>
    <t>حساب‌ها (همه طرف‌حساب‌ها و حساب‌های معین)</t>
  </si>
  <si>
    <t>ACCOUNTS</t>
  </si>
  <si>
    <t>C001</t>
  </si>
  <si>
    <t>زینب زاهدی</t>
  </si>
  <si>
    <t>باغدار</t>
  </si>
  <si>
    <t>عمده</t>
  </si>
  <si>
    <t>طرف حساب</t>
  </si>
  <si>
    <t>سید عباس موسوی</t>
  </si>
  <si>
    <t>صادراتی</t>
  </si>
  <si>
    <t>C003</t>
  </si>
  <si>
    <t>حاج احمد عیسی پور</t>
  </si>
  <si>
    <t>خرده‌فروش</t>
  </si>
  <si>
    <t>امید زاهدی</t>
  </si>
  <si>
    <t>C005</t>
  </si>
  <si>
    <t>بار شخصی قاسم زاهدی</t>
  </si>
  <si>
    <t>C006</t>
  </si>
  <si>
    <t>هوشنگ عیسی پور</t>
  </si>
  <si>
    <t>C007</t>
  </si>
  <si>
    <t>علی آهنگر</t>
  </si>
  <si>
    <t>C008</t>
  </si>
  <si>
    <t>صفدر مسلمی</t>
  </si>
  <si>
    <t>C009</t>
  </si>
  <si>
    <t>همایون بابایی</t>
  </si>
  <si>
    <t>C010</t>
  </si>
  <si>
    <t>دبیر فرجی</t>
  </si>
  <si>
    <t>C011</t>
  </si>
  <si>
    <t>محمود علیجانی</t>
  </si>
  <si>
    <t>C012</t>
  </si>
  <si>
    <t>افشین بشتکار</t>
  </si>
  <si>
    <t>C013</t>
  </si>
  <si>
    <t>میرقربان موسویان</t>
  </si>
  <si>
    <t>C014</t>
  </si>
  <si>
    <t>باباجانی (تراجیکلا)</t>
  </si>
  <si>
    <t>C015</t>
  </si>
  <si>
    <t>کاظم میرزازاده</t>
  </si>
  <si>
    <t>C016</t>
  </si>
  <si>
    <t>علی جانبرارپور</t>
  </si>
  <si>
    <t>C017</t>
  </si>
  <si>
    <t>لیلا محمودنیا</t>
  </si>
  <si>
    <t>C018</t>
  </si>
  <si>
    <t>اسماعیل خانیا</t>
  </si>
  <si>
    <t>C019</t>
  </si>
  <si>
    <t>یوسف یوسف نژاد</t>
  </si>
  <si>
    <t>C020</t>
  </si>
  <si>
    <t>علی نوایی</t>
  </si>
  <si>
    <t>C021</t>
  </si>
  <si>
    <t>دومیری</t>
  </si>
  <si>
    <t>C022</t>
  </si>
  <si>
    <t>شمسعلی علیجانی</t>
  </si>
  <si>
    <t>C023</t>
  </si>
  <si>
    <t>یوسف نیا (موزیج)</t>
  </si>
  <si>
    <t>C024</t>
  </si>
  <si>
    <t>کاظم ذبیح پور</t>
  </si>
  <si>
    <t>C025</t>
  </si>
  <si>
    <t>علی غلام رضاپور</t>
  </si>
  <si>
    <t>C026</t>
  </si>
  <si>
    <t>حسین شکرالله نیا</t>
  </si>
  <si>
    <t>C027</t>
  </si>
  <si>
    <t>سید مهدی حسینی (دوست حاج هوشنگ)</t>
  </si>
  <si>
    <t>C028</t>
  </si>
  <si>
    <t>آقای عزیزی</t>
  </si>
  <si>
    <t>C029</t>
  </si>
  <si>
    <t>آقای حبیبی (بانک صادرات)</t>
  </si>
  <si>
    <t>C030</t>
  </si>
  <si>
    <t>محمد علی اصغرزاده</t>
  </si>
  <si>
    <t>C031</t>
  </si>
  <si>
    <t>فغان پور</t>
  </si>
  <si>
    <t>C032</t>
  </si>
  <si>
    <t>عباس پور (بهنمیر)</t>
  </si>
  <si>
    <t>C033</t>
  </si>
  <si>
    <t>رمضان خانیا (فرهاد پلنگ)</t>
  </si>
  <si>
    <t>C034</t>
  </si>
  <si>
    <t>محمد رضایی</t>
  </si>
  <si>
    <t>C035</t>
  </si>
  <si>
    <t>داریوش اسماعیلی</t>
  </si>
  <si>
    <t>C036</t>
  </si>
  <si>
    <t>محسن قبادی</t>
  </si>
  <si>
    <t>C037</t>
  </si>
  <si>
    <t>خانم قلی پور (یوسف نیا)</t>
  </si>
  <si>
    <t>C038</t>
  </si>
  <si>
    <t>مهدی ولیپور</t>
  </si>
  <si>
    <t>C039</t>
  </si>
  <si>
    <t>رمضان علی محمدیان</t>
  </si>
  <si>
    <t>C040</t>
  </si>
  <si>
    <t>محمود آهنگر</t>
  </si>
  <si>
    <t>C041</t>
  </si>
  <si>
    <t>محمد حسین عزیزی</t>
  </si>
  <si>
    <t>C042</t>
  </si>
  <si>
    <t>مغداد طلایی</t>
  </si>
  <si>
    <t>C043</t>
  </si>
  <si>
    <t>سید عبدالله میراقازاده</t>
  </si>
  <si>
    <t>C044</t>
  </si>
  <si>
    <t>رجب پور</t>
  </si>
  <si>
    <t>C045</t>
  </si>
  <si>
    <t>سعید بابایی</t>
  </si>
  <si>
    <t>C046</t>
  </si>
  <si>
    <t>مطلب عیسی پور</t>
  </si>
  <si>
    <t>C047</t>
  </si>
  <si>
    <t>عزیز زاده</t>
  </si>
  <si>
    <t>C048</t>
  </si>
  <si>
    <t>تقی اصغرنیا</t>
  </si>
  <si>
    <t>C049</t>
  </si>
  <si>
    <t>مدانلو</t>
  </si>
  <si>
    <t>C050</t>
  </si>
  <si>
    <t>خدیجه اصغرنیا</t>
  </si>
  <si>
    <t>C051</t>
  </si>
  <si>
    <t>اصغر عزیزی</t>
  </si>
  <si>
    <t>C052</t>
  </si>
  <si>
    <t>غلامی</t>
  </si>
  <si>
    <t>C053</t>
  </si>
  <si>
    <t>علی عزیزنژاد</t>
  </si>
  <si>
    <t>C054</t>
  </si>
  <si>
    <t>حسن عیسی پور</t>
  </si>
  <si>
    <t>C055</t>
  </si>
  <si>
    <t>عسگری محمودی</t>
  </si>
  <si>
    <t>C056</t>
  </si>
  <si>
    <t>اسماعیل حیدری</t>
  </si>
  <si>
    <t>C057</t>
  </si>
  <si>
    <t>کبری اصغرنیا</t>
  </si>
  <si>
    <t>قم — سید حسین حسینی</t>
  </si>
  <si>
    <t>بارفروش</t>
  </si>
  <si>
    <t>میدان بار شهرستان</t>
  </si>
  <si>
    <t>SL002</t>
  </si>
  <si>
    <t>مشهد — محمد توکلی</t>
  </si>
  <si>
    <t>SL003</t>
  </si>
  <si>
    <t>اراک — پوریا خوش‌نمکیان</t>
  </si>
  <si>
    <t>SL004</t>
  </si>
  <si>
    <t>تبریز — نورزاده</t>
  </si>
  <si>
    <t>SL005</t>
  </si>
  <si>
    <t>زنجان — خانی</t>
  </si>
  <si>
    <t>S001</t>
  </si>
  <si>
    <t>حسن کوچک‌زاده</t>
  </si>
  <si>
    <t>فروشنده سبد</t>
  </si>
  <si>
    <t>سبد پلاستیکی</t>
  </si>
  <si>
    <t>S002</t>
  </si>
  <si>
    <t>سید محمد موسویان</t>
  </si>
  <si>
    <t>S003</t>
  </si>
  <si>
    <t>سید ربیع موسویان</t>
  </si>
  <si>
    <t>E001</t>
  </si>
  <si>
    <t>قاسم زاهدی تیر</t>
  </si>
  <si>
    <t>کارمند</t>
  </si>
  <si>
    <t>مدیرعامل</t>
  </si>
  <si>
    <t>E002</t>
  </si>
  <si>
    <t>(نام حسابدار)</t>
  </si>
  <si>
    <t>حسابدار</t>
  </si>
  <si>
    <t>E003</t>
  </si>
  <si>
    <t>(نام فروشنده ۱)</t>
  </si>
  <si>
    <t>فروشنده</t>
  </si>
  <si>
    <t>E004</t>
  </si>
  <si>
    <t>(نام انباردار)</t>
  </si>
  <si>
    <t>انباردار</t>
  </si>
  <si>
    <t>E005</t>
  </si>
  <si>
    <t>رضا کاظمی (نمونه)</t>
  </si>
  <si>
    <t>سرپرست خط</t>
  </si>
  <si>
    <t>E006</t>
  </si>
  <si>
    <t>علی احمدی (نمونه)</t>
  </si>
  <si>
    <t>کارگر</t>
  </si>
  <si>
    <t>X001</t>
  </si>
  <si>
    <t>انعام مصطفی</t>
  </si>
  <si>
    <t>سایر حساب</t>
  </si>
  <si>
    <t>انعام و پاداش</t>
  </si>
  <si>
    <t>X002</t>
  </si>
  <si>
    <t>درآمد باسکول (احمد زاهدی)</t>
  </si>
  <si>
    <t>درآمد باسکول</t>
  </si>
  <si>
    <t>معین</t>
  </si>
  <si>
    <t>X003</t>
  </si>
  <si>
    <t>صندوق شرکت</t>
  </si>
  <si>
    <t>صندوق</t>
  </si>
  <si>
    <t>X004</t>
  </si>
  <si>
    <t>موجودی مرکبات (انبار)</t>
  </si>
  <si>
    <t>موجودی</t>
  </si>
  <si>
    <t>X005</t>
  </si>
  <si>
    <t>موجودی سبد و ظروف</t>
  </si>
  <si>
    <t>X006</t>
  </si>
  <si>
    <t>فروش مرکبات</t>
  </si>
  <si>
    <t>درآمد</t>
  </si>
  <si>
    <t>X007</t>
  </si>
  <si>
    <t>فروش سبد</t>
  </si>
  <si>
    <t>X008</t>
  </si>
  <si>
    <t>درآمد آبگیری</t>
  </si>
  <si>
    <t>X009</t>
  </si>
  <si>
    <t>هزینه ضایعات و افت</t>
  </si>
  <si>
    <t>هزینه</t>
  </si>
  <si>
    <t>X010</t>
  </si>
  <si>
    <t>چک‌های پرداختی (در جریان)</t>
  </si>
  <si>
    <t>چک پرداختی</t>
  </si>
  <si>
    <t>X011</t>
  </si>
  <si>
    <t>حساب واسط بانک و پز (در راه)</t>
  </si>
  <si>
    <t>حساب واسط</t>
  </si>
  <si>
    <t>هزینه حمل و تخلیه</t>
  </si>
  <si>
    <t>هزینه دستمزد</t>
  </si>
  <si>
    <t>X014</t>
  </si>
  <si>
    <t>کارمزد بانکی</t>
  </si>
  <si>
    <t>X015</t>
  </si>
  <si>
    <t>سایر درآمدها</t>
  </si>
  <si>
    <t>X016</t>
  </si>
  <si>
    <t>سایر هزینه‌ها</t>
  </si>
  <si>
    <t>X017</t>
  </si>
  <si>
    <t>مالیات و عوارض</t>
  </si>
  <si>
    <t>مالیات</t>
  </si>
  <si>
    <t>X018</t>
  </si>
  <si>
    <t>تخفیف و افت بار</t>
  </si>
  <si>
    <t>X019</t>
  </si>
  <si>
    <t>موجودی مواد بسته‌بندی</t>
  </si>
  <si>
    <t>X020</t>
  </si>
  <si>
    <t>حساب کنترل ترازنامه</t>
  </si>
  <si>
    <t>F001</t>
  </si>
  <si>
    <t>زمین باغدشت (نمونه)</t>
  </si>
  <si>
    <t>دارایی ثابت</t>
  </si>
  <si>
    <t>زمین و ساختمان</t>
  </si>
  <si>
    <t>F002</t>
  </si>
  <si>
    <t>وانت حمل بار (نمونه)</t>
  </si>
  <si>
    <t>خودرو و حمل‌ونقل</t>
  </si>
  <si>
    <t>F003</t>
  </si>
  <si>
    <t>ماشین‌آلات خط سورتینگ (نمونه)</t>
  </si>
  <si>
    <t>ماشین‌آلات و تجهیزات</t>
  </si>
  <si>
    <t>L001</t>
  </si>
  <si>
    <t>وام بانک ملت (نمونه)</t>
  </si>
  <si>
    <t>وام و تسهیلات</t>
  </si>
  <si>
    <t>وام بانکی</t>
  </si>
  <si>
    <t>CAP001</t>
  </si>
  <si>
    <t>سرمایه و آورده صاحبان (نمونه)</t>
  </si>
  <si>
    <t>سرمایه و آورده صاحبان</t>
  </si>
  <si>
    <t>سرمایه اولیه</t>
  </si>
  <si>
    <t>BD001</t>
  </si>
  <si>
    <t>باسکول میدان بار (نمونه)</t>
  </si>
  <si>
    <t>باسکول دیگران</t>
  </si>
  <si>
    <t>باسکول محلی</t>
  </si>
  <si>
    <t>بانک و صندوق</t>
  </si>
  <si>
    <t>حساب‌های بانکی</t>
  </si>
  <si>
    <t>بانک ملت</t>
  </si>
  <si>
    <t>بانک کشاورزی</t>
  </si>
  <si>
    <t>بانک سپه</t>
  </si>
  <si>
    <t>بانک مهر ایران</t>
  </si>
  <si>
    <t>بانک تجارت</t>
  </si>
  <si>
    <t>بانک پاسارگاد</t>
  </si>
  <si>
    <t>بانک رفاه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</si>
  <si>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</si>
  <si>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</si>
  <si>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</si>
  <si>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</si>
  <si>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</si>
  <si>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</si>
  <si>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</si>
  <si>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</si>
  <si>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</si>
  <si>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</si>
  <si>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</si>
  <si>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</si>
  <si>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</si>
  <si>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</si>
  <si>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</si>
  <si>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</si>
  <si>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</si>
  <si>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</si>
  <si>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</si>
  <si>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</si>
  <si>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</si>
  <si>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</si>
  <si>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</si>
  <si>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</si>
  <si>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</si>
  <si>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</si>
  <si>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</si>
  <si>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</si>
  <si>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</si>
  <si>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</si>
  <si>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</si>
  <si>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</si>
  <si>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</si>
  <si>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</si>
  <si>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</si>
  <si>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</si>
  <si>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</si>
  <si>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</si>
  <si>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</si>
  <si>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</si>
  <si>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</si>
  <si>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</si>
  <si>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</si>
  <si>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</si>
  <si>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</si>
  <si>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</si>
  <si>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</si>
  <si>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</si>
  <si>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</si>
  <si>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</si>
  <si>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</si>
  <si>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</si>
  <si>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</si>
  <si>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</si>
  <si>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</si>
  <si>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</si>
  <si>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</si>
  <si>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</si>
  <si>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</si>
  <si>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</si>
  <si>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</si>
  <si>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</si>
  <si>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</si>
  <si>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SL006</t>
  </si>
  <si>
    <t>SL007</t>
  </si>
  <si>
    <t>SL008</t>
  </si>
  <si>
    <t>SL009</t>
  </si>
  <si>
    <t>SL010</t>
  </si>
  <si>
    <t>SL011</t>
  </si>
  <si>
    <t>SL012</t>
  </si>
  <si>
    <t>SL013</t>
  </si>
  <si>
    <t>SL014</t>
  </si>
  <si>
    <t>SL015</t>
  </si>
  <si>
    <t>SL016</t>
  </si>
  <si>
    <t>SL017</t>
  </si>
  <si>
    <t>SL018</t>
  </si>
  <si>
    <t>SL019</t>
  </si>
  <si>
    <t>SL020</t>
  </si>
  <si>
    <t>SL021</t>
  </si>
  <si>
    <t>SL022</t>
  </si>
  <si>
    <t>SL023</t>
  </si>
  <si>
    <t>SL024</t>
  </si>
  <si>
    <t>SL025</t>
  </si>
  <si>
    <t>SL026</t>
  </si>
  <si>
    <t>SL027</t>
  </si>
  <si>
    <t>SL028</t>
  </si>
  <si>
    <t>SL029</t>
  </si>
  <si>
    <t>SL030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</si>
  <si>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</si>
  <si>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</si>
  <si>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</si>
  <si>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</si>
  <si>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</si>
  <si>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</si>
  <si>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</si>
  <si>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</si>
  <si>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</si>
  <si>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</si>
  <si>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</si>
  <si>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</si>
  <si>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</si>
  <si>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</si>
  <si>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</si>
  <si>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</si>
  <si>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</si>
  <si>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E007</t>
  </si>
  <si>
    <t>E008</t>
  </si>
  <si>
    <t>E009</t>
  </si>
  <si>
    <t>E010</t>
  </si>
  <si>
    <t>F004</t>
  </si>
  <si>
    <t>F005</t>
  </si>
  <si>
    <t>F006</t>
  </si>
  <si>
    <t>F007</t>
  </si>
  <si>
    <t>F008</t>
  </si>
  <si>
    <t>F009</t>
  </si>
  <si>
    <t>F010</t>
  </si>
  <si>
    <t>L002</t>
  </si>
  <si>
    <t>L003</t>
  </si>
  <si>
    <t>L004</t>
  </si>
  <si>
    <t>L005</t>
  </si>
  <si>
    <t>CAP002</t>
  </si>
  <si>
    <t>CAP003</t>
  </si>
  <si>
    <t>CAP004</t>
  </si>
  <si>
    <t>CAP005</t>
  </si>
  <si>
    <t>BD002</t>
  </si>
  <si>
    <t>BD003</t>
  </si>
  <si>
    <t>BD004</t>
  </si>
  <si>
    <t>BD005</t>
  </si>
  <si>
    <t>BD006</t>
  </si>
  <si>
    <t>BD007</t>
  </si>
  <si>
    <t>BD008</t>
  </si>
  <si>
    <t>BD009</t>
  </si>
  <si>
    <t>BD010</t>
  </si>
  <si>
    <t>BD011</t>
  </si>
  <si>
    <t>BD012</t>
  </si>
  <si>
    <t>BD013</t>
  </si>
  <si>
    <t>BD014</t>
  </si>
  <si>
    <t>BD015</t>
  </si>
  <si>
    <t>BD016</t>
  </si>
  <si>
    <t>BD017</t>
  </si>
  <si>
    <t>BD018</t>
  </si>
  <si>
    <t>BD019</t>
  </si>
  <si>
    <t>BD020</t>
  </si>
  <si>
    <t>نوع عملیات بانکی — قاعده بدهکار/بستانکار</t>
  </si>
  <si>
    <t>BANK OPERATIONS</t>
  </si>
  <si>
    <t>IN</t>
  </si>
  <si>
    <t>CODE</t>
  </si>
  <si>
    <t>B01</t>
  </si>
  <si>
    <t>واریز مشتری به حساب شرکت — طرف حساب را با کد وارد کنید</t>
  </si>
  <si>
    <t>OUT</t>
  </si>
  <si>
    <t>B02</t>
  </si>
  <si>
    <t>پرداخت/حواله شرکت به طرف حساب</t>
  </si>
  <si>
    <t>FIXED</t>
  </si>
  <si>
    <t>B03</t>
  </si>
  <si>
    <t>پول نقد از صندوق به بانک می‌رود</t>
  </si>
  <si>
    <t>B04</t>
  </si>
  <si>
    <t>هزینه‌ها: حمل، دستمزد، کارمزد، مالیات…</t>
  </si>
  <si>
    <t>TRF</t>
  </si>
  <si>
    <t>NONE</t>
  </si>
  <si>
    <t>B05</t>
  </si>
  <si>
    <t>فقط جابه‌جایی بین بانک‌های خود شرکت؛ تراز شرکت تغییر نمی‌کند</t>
  </si>
  <si>
    <t>B06</t>
  </si>
  <si>
    <t>بدهی انعام مصطفی تسویه می‌شود</t>
  </si>
  <si>
    <t>PICK</t>
  </si>
  <si>
    <t>B07</t>
  </si>
  <si>
    <t>پول از طرف باسکول دیگران؛ در حساب همان شخص بستانکار می‌شود</t>
  </si>
  <si>
    <t>B08</t>
  </si>
  <si>
    <t>تسویه با شخص باسکول دیگران</t>
  </si>
  <si>
    <t>B09</t>
  </si>
  <si>
    <t>سرجمع پز روز قبل؛ حساب واسط X011 را تسویه می‌کند (درآمد در دفتر روزنامه ثبت شده)</t>
  </si>
  <si>
    <t>B10</t>
  </si>
  <si>
    <t>چک پرداختی پاس می‌شود</t>
  </si>
  <si>
    <t>B11</t>
  </si>
  <si>
    <t>چک دریافتی برگشت خورد</t>
  </si>
  <si>
    <t>B12</t>
  </si>
  <si>
    <t>چک دریافتی وصول شد</t>
  </si>
  <si>
    <t>B13</t>
  </si>
  <si>
    <t>وام/تسهیلات بانکی</t>
  </si>
  <si>
    <t>B14</t>
  </si>
  <si>
    <t>قسط یا اصل وام</t>
  </si>
  <si>
    <t>B15</t>
  </si>
  <si>
    <t>B16</t>
  </si>
  <si>
    <t>B17</t>
  </si>
  <si>
    <t>واریزی‌ای که قبلاً در شیت پرداخت (Pay) ثبت شده؛ واسط X011 را صفر می‌کند</t>
  </si>
  <si>
    <t>B18</t>
  </si>
  <si>
    <t>پرداختی که قبلاً در شیت پرداخت (Pay) ثبت شده؛ واسط X011 را صفر می‌کند</t>
  </si>
  <si>
    <t>روش پرداخت</t>
  </si>
  <si>
    <t>METHODS</t>
  </si>
  <si>
    <t>وضعیت چک</t>
  </si>
  <si>
    <t>CHEQUE</t>
  </si>
  <si>
    <t>شخص باسکول دیگران</t>
  </si>
  <si>
    <t>OTHER SCALES</t>
  </si>
  <si>
    <t>BD001 – باسکول میدان بار (نمونه)</t>
  </si>
  <si>
    <t>BD002 – (بدون نام)</t>
  </si>
  <si>
    <t>BD003 – (بدون نام)</t>
  </si>
  <si>
    <t>BD004 – (بدون نام)</t>
  </si>
  <si>
    <t>BD005 – (بدون نام)</t>
  </si>
  <si>
    <t>BD006 – (بدون نام)</t>
  </si>
  <si>
    <t>BD007 – (بدون نام)</t>
  </si>
  <si>
    <t>BD008 – (بدون نام)</t>
  </si>
  <si>
    <t>BD009 – (بدون نام)</t>
  </si>
  <si>
    <t>BD010 – (بدون نام)</t>
  </si>
  <si>
    <t>BD011 – (بدون نام)</t>
  </si>
  <si>
    <t>BD012 – (بدون نام)</t>
  </si>
  <si>
    <t>BD013 – (بدون نام)</t>
  </si>
  <si>
    <t>BD014 – (بدون نام)</t>
  </si>
  <si>
    <t>BD015 – (بدون نام)</t>
  </si>
  <si>
    <t>BD016 – (بدون نام)</t>
  </si>
  <si>
    <t>BD017 – (بدون نام)</t>
  </si>
  <si>
    <t>BD018 – (بدون نام)</t>
  </si>
  <si>
    <t>BD019 – (بدون نام)</t>
  </si>
  <si>
    <t>BD020 – (بدون نام)</t>
  </si>
  <si>
    <t>نوع چک</t>
  </si>
  <si>
    <t>CHEQUE TYPE</t>
  </si>
  <si>
    <t>گروه‌های حساب</t>
  </si>
  <si>
    <t>GROUPS</t>
  </si>
  <si>
    <t>تأمین‌کننده</t>
  </si>
  <si>
    <t>راهنمای کامل فایل تراکنش‌ها</t>
  </si>
  <si>
    <t>از تعریف کشوها تا قواعد بدهکار/بستانکار و روش‌های کنترل</t>
  </si>
  <si>
    <t xml:space="preserve">این فایل چه می‌کند؟    </t>
  </si>
  <si>
    <t>فایل 02_Bank محل ثبت تراکنش‌های بانکی است. برخلاف بقیه فایل‌ها که داده را از 01_Entry می‌خوانند، این فایل منبع مستقل ورود اطلاعات بانکی است، چون صورت‌حساب بانک از بیرون می‌آید.</t>
  </si>
  <si>
    <t xml:space="preserve">     •  خروجی: شیت Post (دفتر تراکنش‌ها) که همه تحلیل‌ها و مانده‌ها از آن ساخته می‌شود.</t>
  </si>
  <si>
    <t xml:space="preserve">     •  هر تراکنش دو خط دفتر می‌سازد: خط بانک و خط طرف حساب.</t>
  </si>
  <si>
    <t xml:space="preserve">     •  کد حساب‌های بانکی در همه فایل‌ها BNxx است (BN01…BN10). در دفتر روزنامه (01_Entry) هیچ سندی مستقیم روی BNxx زده نمی‌شود: هر حرکت بانکی از حساب واسط X011 عبور می‌کند و مانده واقعی هر بانک فقط از همین فایل (شیت Post) خوانده می‌شود.</t>
  </si>
  <si>
    <t xml:space="preserve">     •  دفتر روزنامه تنها دفتر مالی است: هر رویداد اقتصادی (فروش، هزینه، بدهی) باید در 01_Entry ثبت شود و این فایل حرکت واقعی پول را. برای هزینه‌ای که از بانک پرداخت می‌شود، در 01_Entry یک «پرداخت» با روش «انتقال بانکی» و حساب هزینه بزنید و همین‌جا همان مبلغ را با نوع «تسویه پرداخت (واسط)» ثبت کنید.</t>
  </si>
  <si>
    <t xml:space="preserve">کشوها از کجا می‌آیند؟    </t>
  </si>
  <si>
    <t>همه فهرست‌های کشویی در فایل مادر (00_Master) تعریف شده‌اند و در شیت Sync این فایل کپی شده‌اند:</t>
  </si>
  <si>
    <t xml:space="preserve">     •  بانک عامل و بانک مقصد ← شیت Bnk فایل مادر.</t>
  </si>
  <si>
    <t xml:space="preserve">     •  نوع عملیات بانکی ← جدول «Bank Operations» در شیت List فایل مادر (۱۸ نوع، قابل افزودن).</t>
  </si>
  <si>
    <t xml:space="preserve">     •  روش پرداخت و وضعیت چک ← شیت List.</t>
  </si>
  <si>
    <t xml:space="preserve">     •  شخص باسکول دیگران ← حساب‌های BD001…BD020 در شیت Acc.</t>
  </si>
  <si>
    <t xml:space="preserve">     •  کد طرف حساب یک کشوی «هشدار» است: می‌توانید کد جدید را تایپ کنید، ولی اگر کد در فایل مادر نباشد ⚠ می‌گیرید.</t>
  </si>
  <si>
    <t xml:space="preserve">انتقال داخلی بین بانک‌ها    </t>
  </si>
  <si>
    <t>وقتی پول از یک حساب شرکت به حساب دیگر منتقل می‌شود، این یک تراکنش واقعی نیست و تراز شرکت تغییر نمی‌کند.</t>
  </si>
  <si>
    <t xml:space="preserve">     •  نوع عملیات = «انتقال داخلی بین بانک‌ها».</t>
  </si>
  <si>
    <t xml:space="preserve">     •  بانک عامل = بانک مبدأ (پول از آن خارج می‌شود).</t>
  </si>
  <si>
    <t xml:space="preserve">     •  بانک مقصد = بانکی که پول به آن واریز می‌شود.</t>
  </si>
  <si>
    <t xml:space="preserve">     •  نتیجه: خط اول بستانکار بانک مبدأ، خط دوم بدهکار بانک مقصد؛ جمع شرکت صفر می‌ماند.</t>
  </si>
  <si>
    <t xml:space="preserve">     •  دفتر روزنامه برای «انتقال داخلی» هیچ سندی نمی‌سازد، چون پولی از شرکت خارج نمی‌شود؛ فقط همین فایل هر دو طرف را ثبت می‌کند. در شیت پرداخت 01_Entry هم روش «انتقال داخلی» را انتخاب کنید تا سند اضافه زده نشود.</t>
  </si>
  <si>
    <t xml:space="preserve">انعام مصطفی    </t>
  </si>
  <si>
    <t>۰۴</t>
  </si>
  <si>
    <t>حساب انعام مصطفی کد X001 دارد و در فایل مادر تعریف شده است. پرداخت به او با نوع «پرداخت انعام مصطفی» ثبت می‌شود: بانک عامل بستانکار و حساب X001 بدهکار می‌شود؛ یعنی بدهی شرکت به ایشان تسویه می‌شود.</t>
  </si>
  <si>
    <t xml:space="preserve">     •  برای دیدن مانده انعام مصطفی، در شیت Post ستون کد حساب را روی X001 فیلتر کنید.</t>
  </si>
  <si>
    <t xml:space="preserve">     •  کنترل خودکار ۲۰۰۶ ↔ مصطفی در شیت POS فایل 01_Entry (کنترل مانده واسط X011) انجام می‌شود و باید صفر بماند.</t>
  </si>
  <si>
    <t xml:space="preserve">باسکول دیگران    </t>
  </si>
  <si>
    <t>۰۵</t>
  </si>
  <si>
    <t>دریافت هزینه باسکول دیگران: بانک عامل بدهکار (پول وارد شده) و حساب همان شخص بستانکار؛ یعنی شرکت به او بدهکار می‌شود.</t>
  </si>
  <si>
    <t xml:space="preserve">     •  شخص را از کشوی «شخص باسکول دیگران» انتخاب کنید؛ کد (BDxxx) در ستون مخفی محاسبه می‌شود.</t>
  </si>
  <si>
    <t xml:space="preserve">     •  پرداخت به باسکول دیگران برعکس عمل می‌کند و بدهی را کم می‌کند.</t>
  </si>
  <si>
    <t xml:space="preserve">     •  گزارش بدهی هر شخص: شیت Anal یا فیلتر حساب BDxxx در شیت Post.</t>
  </si>
  <si>
    <t xml:space="preserve">چک‌ها    </t>
  </si>
  <si>
    <t>۰۶</t>
  </si>
  <si>
    <t>شیت Chq دفتر چک است: شماره، سررسید، مبلغ، وضعیت (در جریان/پاس شده/برگشتی/باطل).</t>
  </si>
  <si>
    <t xml:space="preserve">     •  وقتی چک پاس شد، در Txn یک ردیف «پاس چک» ثبت کنید تا حساب X010 و بانک به‌روز شود.</t>
  </si>
  <si>
    <t xml:space="preserve">     •  چک برگشتی با نوع «برگشت چک دریافتی» ثبت می‌شود.</t>
  </si>
  <si>
    <t xml:space="preserve">کنترل‌ها و هشدارها    </t>
  </si>
  <si>
    <t>۰۷</t>
  </si>
  <si>
    <t xml:space="preserve">     •  ستون وضعیت Txn: ⚠ مبلغ / ⚠ بانک عامل / ⚠ بانک مقصد / ⚠ طرف حساب.</t>
  </si>
  <si>
    <t xml:space="preserve">     •  در انتهای Txn جمع بدهکار و بستانکار باید برابر باشند؛ کادر «تراز» سبز می‌شود.</t>
  </si>
  <si>
    <t xml:space="preserve">     •  شیت Card: واریزی پز باسکول هر بانک با پز ثبت‌شده در دفتر روزنامه مقایسه می‌شود؛ این دو باید برابر باشند.</t>
  </si>
  <si>
    <t xml:space="preserve">     •  اگر نوع عملیات را از گروه «تسویه…» انتخاب نکنید (مثلاً «پرداخت هزینه» با کد طرف حساب)، آن مبلغ در دفتر روزنامه سند ندارد و جمع واسط X011 صفر نمی‌شود؛ شیت 05_Bal (شیت Audit) این اختلاف را نشان می‌دهد.</t>
  </si>
  <si>
    <t xml:space="preserve">چاپ و صفحه‌آرایی    </t>
  </si>
  <si>
    <t>۰۸</t>
  </si>
  <si>
    <t>همه شیت‌ها راست‌به‌چپ و آماده چاپ A4 هستند: تکرار سرستون، جا شدن در عرض یک صفحه، سربرگ و فوتر با شماره صفحه.</t>
  </si>
  <si>
    <t xml:space="preserve">     •  برای چاپ فقط ناحیه داده، از سربرگ Page Layout ← Print Area استفاده کنید (از پیش تنظیم شده).</t>
  </si>
  <si>
    <t xml:space="preserve">ارتباط با بقیه فایل‌ها    </t>
  </si>
  <si>
    <t>۰۹</t>
  </si>
  <si>
    <t xml:space="preserve">     •  00_Master ← تعریف بانک‌ها، حساب‌ها و انواع عملیات.</t>
  </si>
  <si>
    <t xml:space="preserve">     •  01_Entry ← عملیات باسکول و پرداخت‌های نقدی/چکی؛ پز باسکول آنجا ثبت می‌شود.</t>
  </si>
  <si>
    <t xml:space="preserve">     •  08_Dash ← داشبوردی که هم از این فایل و هم از 01_Entry می‌خواند.</t>
  </si>
  <si>
    <t xml:space="preserve">     •  05_Bal ← مانده هر بانک در شیت IBank از همین فایل (Post) خوانده می‌شود؛ جمع آن با شیت SUM همین فایل و داشبورد یکی است.</t>
  </si>
  <si>
    <t xml:space="preserve">     •  03_Report / 04_Inv ← گزارش‌ها و صورت‌حساب‌ها.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</si>
</sst>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;[Red]-#,##0"/>
    <numFmt numFmtId="166" formatCode="00"/>
    <numFmt numFmtId="167" formatCode="0.0%"/>
  </numFmts>
  <fonts count="42">
    <font>
      <sz val="10"/>
      <color theme="1"/>
      <name val="B Nazanin"/>
      <family val="2"/>
    </font>
    <font>
      <b/>
      <sz val="7.5"/>
      <color rgb="FFD8E6DF"/>
      <name val="Tahoma"/>
      <family val="2"/>
    </font>
    <font>
      <b/>
      <sz val="22"/>
      <color rgb="FFFFFFFF"/>
      <name val="B Titr"/>
      <family val="2"/>
    </font>
    <font>
      <sz val="11"/>
      <color rgb="FFD8E6DF"/>
      <name val="B Nazanin"/>
      <family val="2"/>
      <scheme val="minor"/>
    </font>
    <font>
      <b/>
      <sz val="8"/>
      <color rgb="FF6B7A76"/>
      <name val="B Nazanin"/>
      <family val="2"/>
      <scheme val="minor"/>
    </font>
    <font>
      <b/>
      <sz val="17"/>
      <color rgb="FF14453D"/>
      <name val="Tahoma"/>
      <family val="2"/>
    </font>
    <font>
      <b/>
      <sz val="17"/>
      <color rgb="FF3F7A57"/>
      <name val="Tahoma"/>
      <family val="2"/>
    </font>
    <font>
      <b/>
      <sz val="17"/>
      <color rgb="FFB4544A"/>
      <name val="Tahoma"/>
      <family val="2"/>
    </font>
    <font>
      <b/>
      <sz val="17"/>
      <color rgb="FF2B5C7A"/>
      <name val="Tahoma"/>
      <family val="2"/>
    </font>
    <font>
      <b/>
      <sz val="12"/>
      <color rgb="FFFFFFFF"/>
      <name val="B Nazanin"/>
      <family val="2"/>
      <scheme val="minor"/>
    </font>
    <font>
      <b/>
      <sz val="9"/>
      <color rgb="FFC89B3C"/>
      <name val="Tahoma"/>
      <family val="2"/>
    </font>
    <font>
      <b/>
      <sz val="11"/>
      <color rgb="FFFFFFFF"/>
      <name val="B Nazanin"/>
      <family val="2"/>
      <scheme val="minor"/>
    </font>
    <font>
      <sz val="8"/>
      <color rgb="FF6B7A76"/>
      <name val="B Nazanin"/>
      <family val="2"/>
      <scheme val="minor"/>
    </font>
    <font>
      <b/>
      <sz val="10"/>
      <color rgb="FFFFFFFF"/>
      <name val="Tahoma"/>
      <family val="2"/>
    </font>
    <font>
      <sz val="10"/>
      <color rgb="FF2B2A26"/>
      <name val="B Nazanin"/>
      <family val="2"/>
      <scheme val="minor"/>
    </font>
    <font>
      <sz val="9.5"/>
      <color rgb="FF2B2A26"/>
      <name val="B Nazanin"/>
      <family val="2"/>
      <scheme val="minor"/>
    </font>
    <font>
      <b/>
      <sz val="17"/>
      <color rgb="FFC4623F"/>
      <name val="Tahoma"/>
      <family val="2"/>
    </font>
    <font>
      <b/>
      <sz val="9"/>
      <color rgb="FFFFFFFF"/>
      <name val="B Nazanin"/>
      <family val="2"/>
      <scheme val="minor"/>
    </font>
    <font>
      <sz val="8.5"/>
      <color theme="1"/>
      <name val="Tahoma"/>
      <family val="2"/>
    </font>
    <font>
      <sz val="9"/>
      <color theme="1"/>
      <name val="Tahoma"/>
      <family val="2"/>
    </font>
    <font>
      <sz val="9.5"/>
      <color theme="1"/>
      <name val="B Nazanin"/>
      <family val="2"/>
      <scheme val="minor"/>
    </font>
    <font>
      <sz val="9"/>
      <color theme="1"/>
      <name val="B Nazanin"/>
      <family val="2"/>
      <scheme val="minor"/>
    </font>
    <font>
      <b/>
      <sz val="9"/>
      <color theme="1"/>
      <name val="B Nazanin"/>
      <family val="2"/>
      <scheme val="minor"/>
    </font>
    <font>
      <b/>
      <sz val="10.5"/>
      <color rgb="FFFFFFFF"/>
      <name val="B Nazanin"/>
      <family val="2"/>
      <scheme val="minor"/>
    </font>
    <font>
      <b/>
      <sz val="10"/>
      <color rgb="FFFFFFFF"/>
      <name val="B Nazanin"/>
      <family val="2"/>
      <scheme val="minor"/>
    </font>
    <font>
      <b/>
      <sz val="8"/>
      <color rgb="FFFFFFFF"/>
      <name val="B Nazanin"/>
      <family val="2"/>
      <scheme val="minor"/>
    </font>
    <font>
      <sz val="8"/>
      <color theme="1"/>
      <name val="Tahoma"/>
      <family val="2"/>
    </font>
    <font>
      <sz val="8"/>
      <color theme="1"/>
      <name val="B Nazanin"/>
      <family val="2"/>
      <scheme val="minor"/>
    </font>
    <font>
      <b/>
      <sz val="9.5"/>
      <color rgb="FFFFFFFF"/>
      <name val="B Nazanin"/>
      <family val="2"/>
      <scheme val="minor"/>
    </font>
    <font>
      <b/>
      <sz val="9.5"/>
      <color rgb="FF14453D"/>
      <name val="B Nazanin"/>
      <family val="2"/>
      <scheme val="minor"/>
    </font>
    <font>
      <b/>
      <sz val="10"/>
      <color theme="1"/>
      <name val="Tahoma"/>
      <family val="2"/>
    </font>
    <font>
      <sz val="8.5"/>
      <color theme="1"/>
      <name val="B Nazanin"/>
      <family val="2"/>
      <scheme val="minor"/>
    </font>
    <font>
      <sz val="6.8"/>
      <color rgb="FFD8E6DF"/>
      <name val="Tahoma"/>
      <family val="2"/>
    </font>
    <font>
      <b/>
      <sz val="9"/>
      <color rgb="FF14453D"/>
      <name val="Tahoma"/>
      <family val="2"/>
    </font>
    <font>
      <b/>
      <sz val="9"/>
      <color theme="1"/>
      <name val="Tahoma"/>
      <family val="2"/>
    </font>
    <font>
      <sz val="7"/>
      <color rgb="FF3F7A57"/>
      <name val="Tahoma"/>
      <family val="2"/>
    </font>
    <font>
      <sz val="7"/>
      <color rgb="FFC89B3C"/>
      <name val="Tahoma"/>
      <family val="2"/>
    </font>
    <font>
      <b/>
      <sz val="17"/>
      <color rgb="FFC89B3C"/>
      <name val="Tahoma"/>
      <family val="2"/>
    </font>
    <font>
      <b/>
      <sz val="15"/>
      <color rgb="FF14453D"/>
      <name val="B Titr"/>
      <family val="2"/>
    </font>
    <font>
      <sz val="9.5"/>
      <color rgb="FF6B7A76"/>
      <name val="B Nazanin"/>
      <family val="2"/>
      <scheme val="minor"/>
    </font>
    <font>
      <sz val="10"/>
      <color rgb="FF14453D"/>
      <name val="B Nazanin"/>
      <family val="2"/>
      <scheme val="minor"/>
    </font>
    <font>
      <sz val="8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14453D"/>
        <bgColor indexed="64"/>
      </patternFill>
    </fill>
    <fill>
      <patternFill patternType="solid">
        <fgColor rgb="FFC89B3C"/>
        <bgColor indexed="64"/>
      </patternFill>
    </fill>
    <fill>
      <patternFill patternType="solid">
        <fgColor rgb="FFF7F1E6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7FA99B"/>
        <bgColor indexed="64"/>
      </patternFill>
    </fill>
    <fill>
      <patternFill patternType="solid">
        <fgColor rgb="FF2B5C7A"/>
        <bgColor indexed="64"/>
      </patternFill>
    </fill>
    <fill>
      <patternFill patternType="solid">
        <fgColor rgb="FFC4623F"/>
        <bgColor indexed="64"/>
      </patternFill>
    </fill>
    <fill>
      <patternFill patternType="solid">
        <fgColor rgb="FF8E6C88"/>
        <bgColor indexed="64"/>
      </patternFill>
    </fill>
    <fill>
      <patternFill patternType="solid">
        <fgColor rgb="FFE4F0E8"/>
        <bgColor indexed="64"/>
      </patternFill>
    </fill>
    <fill>
      <patternFill patternType="solid">
        <fgColor rgb="FFF3EADB"/>
        <bgColor indexed="64"/>
      </patternFill>
    </fill>
    <fill>
      <patternFill patternType="solid">
        <fgColor rgb="FFF6F5F0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DCD3"/>
        <bgColor indexed="64"/>
      </patternFill>
    </fill>
    <fill>
      <patternFill patternType="solid">
        <fgColor rgb="FF1E5D52"/>
        <bgColor indexed="64"/>
      </patternFill>
    </fill>
    <fill>
      <patternFill patternType="solid">
        <fgColor rgb="FFEFDFB8"/>
        <bgColor indexed="64"/>
      </patternFill>
    </fill>
  </fills>
  <borders count="8">
    <border>
      <left/>
      <right/>
      <top/>
      <bottom/>
      <diagonal/>
    </border>
    <border>
      <left style="thin">
        <color rgb="FFDDD5C4"/>
      </left>
      <right style="thin">
        <color rgb="FFDDD5C4"/>
      </right>
      <top style="thin">
        <color rgb="FFDDD5C4"/>
      </top>
      <bottom style="thin">
        <color rgb="FFDDD5C4"/>
      </bottom>
      <diagonal/>
    </border>
    <border>
      <left style="thin">
        <color rgb="FFEDE6D8"/>
      </left>
      <right style="thin">
        <color rgb="FFEDE6D8"/>
      </right>
      <top style="thin">
        <color rgb="FFEDE6D8"/>
      </top>
      <bottom style="thin">
        <color rgb="FFEDE6D8"/>
      </bottom>
      <diagonal/>
    </border>
    <border>
      <left style="thin">
        <color rgb="FF14453D"/>
      </left>
      <right style="thin">
        <color rgb="FF14453D"/>
      </right>
      <top style="thin">
        <color rgb="FF14453D"/>
      </top>
      <bottom style="thin">
        <color rgb="FF14453D"/>
      </bottom>
      <diagonal/>
    </border>
    <border>
      <left style="thin">
        <color rgb="FFEFDFB8"/>
      </left>
      <right style="thin">
        <color rgb="FFEFDFB8"/>
      </right>
      <top style="thin">
        <color rgb="FFEFDFB8"/>
      </top>
      <bottom style="thin">
        <color rgb="FFEFDFB8"/>
      </bottom>
      <diagonal/>
    </border>
    <border>
      <left style="thin">
        <color rgb="FFC89B3C"/>
      </left>
      <right style="thin">
        <color rgb="FFC89B3C"/>
      </right>
      <top style="thin">
        <color rgb="FFC89B3C"/>
      </top>
      <bottom style="thin">
        <color rgb="FFC89B3C"/>
      </bottom>
      <diagonal/>
    </border>
    <border>
      <left style="thin">
        <color rgb="FF1E5D52"/>
      </left>
      <right style="thin">
        <color rgb="FF1E5D52"/>
      </right>
      <top style="thin">
        <color rgb="FF1E5D52"/>
      </top>
      <bottom style="thin">
        <color rgb="FF1E5D52"/>
      </bottom>
      <diagonal/>
    </border>
    <border>
      <left style="thin">
        <color rgb="FFC4623F"/>
      </left>
      <right style="thin">
        <color rgb="FFC4623F"/>
      </right>
      <top style="thin">
        <color rgb="FFC4623F"/>
      </top>
      <bottom style="thin">
        <color rgb="FFC4623F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3" borderId="0" xfId="0" applyFill="1"/>
    <xf numFmtId="0" fontId="4" fillId="4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0" fontId="11" fillId="3" borderId="0" xfId="0" applyFont="1" applyFill="1" applyAlignment="1">
      <alignment horizontal="right" vertical="center"/>
    </xf>
    <xf numFmtId="0" fontId="11" fillId="6" borderId="0" xfId="0" applyFont="1" applyFill="1" applyAlignment="1">
      <alignment horizontal="right" vertical="center"/>
    </xf>
    <xf numFmtId="0" fontId="12" fillId="5" borderId="1" xfId="0" applyFont="1" applyFill="1" applyBorder="1" applyAlignment="1">
      <alignment horizontal="right" vertical="center" wrapText="1"/>
    </xf>
    <xf numFmtId="0" fontId="11" fillId="7" borderId="0" xfId="0" applyFont="1" applyFill="1" applyAlignment="1">
      <alignment horizontal="right" vertical="center"/>
    </xf>
    <xf numFmtId="0" fontId="11" fillId="8" borderId="0" xfId="0" applyFont="1" applyFill="1" applyAlignment="1">
      <alignment horizontal="right" vertical="center"/>
    </xf>
    <xf numFmtId="0" fontId="11" fillId="9" borderId="0" xfId="0" applyFont="1" applyFill="1" applyAlignment="1">
      <alignment horizontal="right" vertical="center"/>
    </xf>
    <xf numFmtId="0" fontId="13" fillId="3" borderId="0" xfId="0" applyFont="1" applyFill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0" fontId="15" fillId="10" borderId="2" xfId="0" applyFont="1" applyFill="1" applyBorder="1" applyAlignment="1">
      <alignment horizontal="right" vertical="center" wrapText="1"/>
    </xf>
    <xf numFmtId="165" fontId="8" fillId="5" borderId="1" xfId="0" applyNumberFormat="1" applyFont="1" applyFill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right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/>
    </xf>
    <xf numFmtId="0" fontId="19" fillId="13" borderId="4" xfId="0" applyFont="1" applyFill="1" applyBorder="1" applyAlignment="1">
      <alignment horizontal="center" vertical="center"/>
    </xf>
    <xf numFmtId="0" fontId="20" fillId="13" borderId="4" xfId="0" applyFont="1" applyFill="1" applyBorder="1" applyAlignment="1">
      <alignment horizontal="right" vertical="center"/>
    </xf>
    <xf numFmtId="0" fontId="21" fillId="12" borderId="2" xfId="0" applyFont="1" applyFill="1" applyBorder="1" applyAlignment="1">
      <alignment horizontal="right" vertical="center"/>
    </xf>
    <xf numFmtId="164" fontId="19" fillId="13" borderId="4" xfId="0" applyNumberFormat="1" applyFont="1" applyFill="1" applyBorder="1" applyAlignment="1">
      <alignment horizontal="center" vertical="center"/>
    </xf>
    <xf numFmtId="164" fontId="19" fillId="12" borderId="2" xfId="0" applyNumberFormat="1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164" fontId="13" fillId="3" borderId="5" xfId="0" applyNumberFormat="1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/>
    </xf>
    <xf numFmtId="0" fontId="26" fillId="0" borderId="0" xfId="0" applyFont="1" applyAlignment="1">
      <alignment horizontal="right"/>
    </xf>
    <xf numFmtId="0" fontId="27" fillId="12" borderId="0" xfId="0" applyFont="1" applyFill="1" applyAlignment="1">
      <alignment horizontal="right"/>
    </xf>
    <xf numFmtId="164" fontId="26" fillId="12" borderId="0" xfId="0" applyNumberFormat="1" applyFont="1" applyFill="1" applyAlignment="1">
      <alignment horizontal="center"/>
    </xf>
    <xf numFmtId="166" fontId="26" fillId="12" borderId="0" xfId="0" applyNumberFormat="1" applyFont="1" applyFill="1" applyAlignment="1">
      <alignment horizontal="center"/>
    </xf>
    <xf numFmtId="0" fontId="26" fillId="12" borderId="0" xfId="0" applyFont="1" applyFill="1" applyAlignment="1">
      <alignment horizontal="center"/>
    </xf>
    <xf numFmtId="0" fontId="28" fillId="2" borderId="3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right" vertical="center"/>
    </xf>
    <xf numFmtId="164" fontId="19" fillId="14" borderId="2" xfId="0" applyNumberFormat="1" applyFont="1" applyFill="1" applyBorder="1" applyAlignment="1">
      <alignment horizontal="center"/>
    </xf>
    <xf numFmtId="165" fontId="30" fillId="5" borderId="2" xfId="0" applyNumberFormat="1" applyFont="1" applyFill="1" applyBorder="1" applyAlignment="1">
      <alignment horizontal="center"/>
    </xf>
    <xf numFmtId="167" fontId="19" fillId="14" borderId="2" xfId="0" applyNumberFormat="1" applyFont="1" applyFill="1" applyBorder="1" applyAlignment="1">
      <alignment horizontal="center"/>
    </xf>
    <xf numFmtId="0" fontId="18" fillId="12" borderId="2" xfId="0" applyFont="1" applyFill="1" applyBorder="1" applyAlignment="1">
      <alignment horizontal="center"/>
    </xf>
    <xf numFmtId="0" fontId="31" fillId="12" borderId="2" xfId="0" applyFont="1" applyFill="1" applyBorder="1" applyAlignment="1">
      <alignment horizontal="right"/>
    </xf>
    <xf numFmtId="0" fontId="24" fillId="3" borderId="5" xfId="0" applyFont="1" applyFill="1" applyBorder="1" applyAlignment="1">
      <alignment horizontal="center"/>
    </xf>
    <xf numFmtId="164" fontId="13" fillId="3" borderId="5" xfId="0" applyNumberFormat="1" applyFont="1" applyFill="1" applyBorder="1" applyAlignment="1">
      <alignment horizontal="center"/>
    </xf>
    <xf numFmtId="167" fontId="13" fillId="3" borderId="5" xfId="0" applyNumberFormat="1" applyFont="1" applyFill="1" applyBorder="1" applyAlignment="1">
      <alignment horizontal="center"/>
    </xf>
    <xf numFmtId="166" fontId="5" fillId="5" borderId="1" xfId="0" applyNumberFormat="1" applyFont="1" applyFill="1" applyBorder="1" applyAlignment="1">
      <alignment horizontal="center" vertical="center"/>
    </xf>
    <xf numFmtId="0" fontId="28" fillId="2" borderId="3" xfId="0" applyFont="1" applyFill="1" applyBorder="1" applyAlignment="1">
      <alignment horizontal="center"/>
    </xf>
    <xf numFmtId="0" fontId="32" fillId="2" borderId="0" xfId="0" applyFont="1" applyFill="1" applyAlignment="1">
      <alignment horizontal="center"/>
    </xf>
    <xf numFmtId="166" fontId="33" fillId="4" borderId="1" xfId="0" applyNumberFormat="1" applyFont="1" applyFill="1" applyBorder="1" applyAlignment="1">
      <alignment horizontal="center"/>
    </xf>
    <xf numFmtId="164" fontId="19" fillId="10" borderId="2" xfId="0" applyNumberFormat="1" applyFont="1" applyFill="1" applyBorder="1" applyAlignment="1">
      <alignment horizontal="center"/>
    </xf>
    <xf numFmtId="164" fontId="19" fillId="15" borderId="2" xfId="0" applyNumberFormat="1" applyFont="1" applyFill="1" applyBorder="1" applyAlignment="1">
      <alignment horizontal="center"/>
    </xf>
    <xf numFmtId="165" fontId="34" fillId="5" borderId="2" xfId="0" applyNumberFormat="1" applyFont="1" applyFill="1" applyBorder="1" applyAlignment="1">
      <alignment horizontal="center"/>
    </xf>
    <xf numFmtId="165" fontId="19" fillId="14" borderId="2" xfId="0" applyNumberFormat="1" applyFont="1" applyFill="1" applyBorder="1" applyAlignment="1">
      <alignment horizontal="center"/>
    </xf>
    <xf numFmtId="0" fontId="35" fillId="14" borderId="0" xfId="0" applyFont="1" applyFill="1" applyAlignment="1">
      <alignment horizontal="right"/>
    </xf>
    <xf numFmtId="0" fontId="21" fillId="4" borderId="1" xfId="0" applyFont="1" applyFill="1" applyBorder="1" applyAlignment="1">
      <alignment horizontal="right"/>
    </xf>
    <xf numFmtId="167" fontId="18" fillId="14" borderId="2" xfId="0" applyNumberFormat="1" applyFont="1" applyFill="1" applyBorder="1" applyAlignment="1">
      <alignment horizontal="center"/>
    </xf>
    <xf numFmtId="0" fontId="36" fillId="14" borderId="0" xfId="0" applyFont="1" applyFill="1" applyAlignment="1">
      <alignment horizontal="right"/>
    </xf>
    <xf numFmtId="0" fontId="17" fillId="16" borderId="6" xfId="0" applyFont="1" applyFill="1" applyBorder="1" applyAlignment="1">
      <alignment horizontal="center"/>
    </xf>
    <xf numFmtId="0" fontId="17" fillId="2" borderId="3" xfId="0" applyFont="1" applyFill="1" applyBorder="1" applyAlignment="1">
      <alignment horizontal="center"/>
    </xf>
    <xf numFmtId="0" fontId="18" fillId="14" borderId="2" xfId="0" applyFont="1" applyFill="1" applyBorder="1" applyAlignment="1">
      <alignment horizontal="center"/>
    </xf>
    <xf numFmtId="0" fontId="21" fillId="14" borderId="2" xfId="0" applyFont="1" applyFill="1" applyBorder="1" applyAlignment="1">
      <alignment horizontal="right"/>
    </xf>
    <xf numFmtId="0" fontId="31" fillId="14" borderId="2" xfId="0" applyFont="1" applyFill="1" applyBorder="1" applyAlignment="1">
      <alignment horizontal="right"/>
    </xf>
    <xf numFmtId="0" fontId="15" fillId="4" borderId="2" xfId="0" applyFont="1" applyFill="1" applyBorder="1" applyAlignment="1">
      <alignment horizontal="right" vertical="center" wrapText="1"/>
    </xf>
    <xf numFmtId="164" fontId="37" fillId="5" borderId="1" xfId="0" applyNumberFormat="1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right"/>
    </xf>
    <xf numFmtId="0" fontId="19" fillId="14" borderId="2" xfId="0" applyFont="1" applyFill="1" applyBorder="1" applyAlignment="1">
      <alignment horizontal="center"/>
    </xf>
    <xf numFmtId="164" fontId="19" fillId="17" borderId="2" xfId="0" applyNumberFormat="1" applyFont="1" applyFill="1" applyBorder="1" applyAlignment="1">
      <alignment horizontal="center"/>
    </xf>
    <xf numFmtId="0" fontId="21" fillId="14" borderId="2" xfId="0" applyFont="1" applyFill="1" applyBorder="1" applyAlignment="1">
      <alignment horizontal="center"/>
    </xf>
    <xf numFmtId="0" fontId="21" fillId="13" borderId="4" xfId="0" applyFont="1" applyFill="1" applyBorder="1" applyAlignment="1">
      <alignment horizontal="right" vertical="center"/>
    </xf>
    <xf numFmtId="164" fontId="19" fillId="13" borderId="4" xfId="0" applyNumberFormat="1" applyFont="1" applyFill="1" applyBorder="1" applyAlignment="1">
      <alignment horizontal="center"/>
    </xf>
    <xf numFmtId="0" fontId="38" fillId="4" borderId="0" xfId="0" applyFont="1" applyFill="1" applyAlignment="1">
      <alignment horizontal="right" vertical="center"/>
    </xf>
    <xf numFmtId="0" fontId="39" fillId="0" borderId="0" xfId="0" applyFont="1" applyAlignment="1">
      <alignment horizontal="right" vertical="center" wrapText="1"/>
    </xf>
    <xf numFmtId="0" fontId="28" fillId="8" borderId="7" xfId="0" applyFont="1" applyFill="1" applyBorder="1" applyAlignment="1">
      <alignment horizontal="center" vertical="center"/>
    </xf>
    <xf numFmtId="0" fontId="28" fillId="16" borderId="6" xfId="0" applyFont="1" applyFill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right" vertical="center"/>
    </xf>
    <xf numFmtId="164" fontId="18" fillId="14" borderId="2" xfId="0" applyNumberFormat="1" applyFont="1" applyFill="1" applyBorder="1" applyAlignment="1">
      <alignment horizontal="center" vertical="center"/>
    </xf>
    <xf numFmtId="0" fontId="27" fillId="14" borderId="2" xfId="0" applyFont="1" applyFill="1" applyBorder="1" applyAlignment="1">
      <alignment horizontal="right" vertical="center" wrapText="1"/>
    </xf>
    <xf numFmtId="0" fontId="14" fillId="0" borderId="0" xfId="0" applyFont="1" applyAlignment="1">
      <alignment horizontal="right" vertical="top" wrapText="1"/>
    </xf>
    <xf numFmtId="0" fontId="40" fillId="5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6">
    <dxf>
      <fill>
        <patternFill>
          <bgColor rgb="FFE4F0E8"/>
        </patternFill>
      </fill>
    </dxf>
    <dxf>
      <fill>
        <patternFill>
          <bgColor rgb="FFF2DCD3"/>
        </patternFill>
      </fill>
    </dxf>
    <dxf>
      <fill>
        <patternFill>
          <bgColor rgb="FFE7E2F2"/>
        </patternFill>
      </fill>
    </dxf>
    <dxf>
      <font>
        <b/>
        <color rgb="FFC4623F"/>
      </font>
      <fill>
        <patternFill>
          <bgColor rgb="FFFBE3D8"/>
        </patternFill>
      </fill>
    </dxf>
    <dxf>
      <font>
        <b/>
        <color rgb="FF3F7A57"/>
      </font>
      <fill>
        <patternFill>
          <bgColor rgb="FFE4F0E8"/>
        </patternFill>
      </fill>
    </dxf>
    <dxf>
      <font>
        <b/>
        <color rgb="FFC89B3C"/>
      </font>
      <fill>
        <patternFill>
          <bgColor rgb="FFF3EAD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B Nazanin"/>
              </a:defRPr>
            </a:pPr>
            <a:r>
              <a:rPr lang="en-US" sz="1100" baseline="0">
                <a:latin typeface="B Nazanin"/>
              </a:rPr>
              <a:t>مانده هر بانک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مانده فعلی</c:v>
          </c:tx>
          <c:spPr>
            <a:solidFill>
              <a:srgbClr val="14453D"/>
            </a:solidFill>
            <a:ln>
              <a:noFill/>
            </a:ln>
          </c:spPr>
          <c:dLbls>
            <c:numFmt formatCode="#,##0" sourceLinked="0"/>
            <c:txPr>
              <a:bodyPr/>
              <a:lstStyle/>
              <a:p>
                <a:pPr>
                  <a:defRPr sz="700" baseline="0"/>
                </a:pPr>
                <a:endParaRPr lang="en-US"/>
              </a:p>
            </c:txPr>
            <c:showVal val="1"/>
          </c:dLbls>
          <c:cat>
            <c:numRef>
              <c:f>Sum!$A$12:$A$21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Sum!$E$12:$E$21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  <c:spPr>
        <a:solidFill>
          <a:srgbClr val="FCFAF4"/>
        </a:solidFill>
      </c:spPr>
    </c:plotArea>
    <c:plotVisOnly val="1"/>
  </c:chart>
  <c:spPr>
    <a:solidFill>
      <a:srgbClr val="FFFFFF"/>
    </a:solidFill>
    <a:ln>
      <a:solidFill>
        <a:srgbClr val="DDD5C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B Nazanin"/>
              </a:defRPr>
            </a:pPr>
            <a:r>
              <a:rPr lang="en-US" sz="1100" baseline="0">
                <a:latin typeface="B Nazanin"/>
              </a:rPr>
              <a:t>جریان نقدی ماهانه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دریافت</c:v>
          </c:tx>
          <c:spPr>
            <a:solidFill>
              <a:srgbClr val="7FA99B"/>
            </a:solidFill>
          </c:spPr>
          <c:cat>
            <c:numRef>
              <c:f>Flow!$A$13:$A$24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Flow!$C$13:$C$24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پرداخت</c:v>
          </c:tx>
          <c:spPr>
            <a:solidFill>
              <a:srgbClr val="C4623F"/>
            </a:solidFill>
          </c:spPr>
          <c:cat>
            <c:numRef>
              <c:f>Flow!$A$13:$A$24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Flow!$D$13:$D$24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40"/>
        <c:axId val="50020001"/>
        <c:axId val="50020002"/>
      </c:barChart>
      <c:lineChart>
        <c:grouping val="standard"/>
        <c:ser>
          <c:idx val="2"/>
          <c:order val="2"/>
          <c:tx>
            <c:v>خالص</c:v>
          </c:tx>
          <c:spPr>
            <a:ln w="31750">
              <a:solidFill>
                <a:srgbClr val="14453D"/>
              </a:solidFill>
            </a:ln>
          </c:spPr>
          <c:marker>
            <c:symbol val="circle"/>
            <c:size val="5"/>
            <c:spPr>
              <a:solidFill>
                <a:srgbClr val="C89B3C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Flow!$A$13:$A$24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Flow!$E$13:$E$24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spPr>
        <a:solidFill>
          <a:srgbClr val="FCFAF4"/>
        </a:solidFill>
      </c:spPr>
    </c:plotArea>
    <c:legend>
      <c:legendPos val="b"/>
      <c:layout/>
      <c:txPr>
        <a:bodyPr/>
        <a:lstStyle/>
        <a:p>
          <a:pPr>
            <a:defRPr sz="800" baseline="0">
              <a:latin typeface="B Nazanin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>
                <a:latin typeface="B Nazanin"/>
              </a:defRPr>
            </a:pPr>
            <a:r>
              <a:rPr lang="en-US" sz="1000" baseline="0">
                <a:latin typeface="B Nazanin"/>
              </a:rPr>
              <a:t>سهم هر نوع عملیات از پرداخت‌ها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پرداخت بر حسب عملیات</c:v>
          </c:tx>
          <c:dPt>
            <c:idx val="0"/>
            <c:spPr>
              <a:solidFill>
                <a:srgbClr val="14453D"/>
              </a:solidFill>
            </c:spPr>
          </c:dPt>
          <c:dPt>
            <c:idx val="1"/>
            <c:spPr>
              <a:solidFill>
                <a:srgbClr val="7FA99B"/>
              </a:solidFill>
            </c:spPr>
          </c:dPt>
          <c:dPt>
            <c:idx val="2"/>
            <c:spPr>
              <a:solidFill>
                <a:srgbClr val="C89B3C"/>
              </a:solidFill>
            </c:spPr>
          </c:dPt>
          <c:dPt>
            <c:idx val="3"/>
            <c:spPr>
              <a:solidFill>
                <a:srgbClr val="C4623F"/>
              </a:solidFill>
            </c:spPr>
          </c:dPt>
          <c:dPt>
            <c:idx val="4"/>
            <c:spPr>
              <a:solidFill>
                <a:srgbClr val="2B5C7A"/>
              </a:solidFill>
            </c:spPr>
          </c:dPt>
          <c:dPt>
            <c:idx val="5"/>
            <c:spPr>
              <a:solidFill>
                <a:srgbClr val="E0A458"/>
              </a:solidFill>
            </c:spPr>
          </c:dPt>
          <c:dPt>
            <c:idx val="6"/>
            <c:spPr>
              <a:solidFill>
                <a:srgbClr val="8E6C88"/>
              </a:solidFill>
            </c:spPr>
          </c:dPt>
          <c:dPt>
            <c:idx val="7"/>
            <c:spPr>
              <a:solidFill>
                <a:srgbClr val="4F7C6C"/>
              </a:solidFill>
            </c:spPr>
          </c:dPt>
          <c:dLbls>
            <c:txPr>
              <a:bodyPr/>
              <a:lstStyle/>
              <a:p>
                <a:pPr>
                  <a:defRPr sz="700" baseline="0"/>
                </a:pPr>
                <a:endParaRPr lang="en-US"/>
              </a:p>
            </c:txPr>
            <c:showPercent val="1"/>
          </c:dLbls>
          <c:cat>
            <c:strRef>
              <c:f>Anal!$A$10:$A$25</c:f>
              <c:strCache>
                <c:ptCount val="16"/>
                <c:pt idx="0">
                  <c:v>دریافت از مشتری</c:v>
                </c:pt>
                <c:pt idx="1">
                  <c:v>پرداخت به مشتری</c:v>
                </c:pt>
                <c:pt idx="2">
                  <c:v>دریافت نقدی و واریز به بانک</c:v>
                </c:pt>
                <c:pt idx="3">
                  <c:v>پرداخت هزینه</c:v>
                </c:pt>
                <c:pt idx="4">
                  <c:v>انتقال داخلی بین بانک‌ها</c:v>
                </c:pt>
                <c:pt idx="5">
                  <c:v>پرداخت انعام مصطفی</c:v>
                </c:pt>
                <c:pt idx="6">
                  <c:v>دریافت هزینه باسکول دیگران</c:v>
                </c:pt>
                <c:pt idx="7">
                  <c:v>پرداخت به باسکول دیگران</c:v>
                </c:pt>
                <c:pt idx="8">
                  <c:v>واریز پز باسکول (۲۰۰۶)</c:v>
                </c:pt>
                <c:pt idx="9">
                  <c:v>پاس چک (پرداخت چک)</c:v>
                </c:pt>
                <c:pt idx="10">
                  <c:v>برگشت چک دریافتی</c:v>
                </c:pt>
                <c:pt idx="11">
                  <c:v>واریز چک به حساب</c:v>
                </c:pt>
                <c:pt idx="12">
                  <c:v>دریافت تسهیلات</c:v>
                </c:pt>
                <c:pt idx="13">
                  <c:v>بازپرداخت تسهیلات</c:v>
                </c:pt>
                <c:pt idx="14">
                  <c:v>سایر دریافت</c:v>
                </c:pt>
                <c:pt idx="15">
                  <c:v>سایر پرداخت</c:v>
                </c:pt>
              </c:strCache>
            </c:strRef>
          </c:cat>
          <c:val>
            <c:numRef>
              <c:f>Anal!$D$10:$D$25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700" baseline="0">
              <a:latin typeface="B Nazanin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>
                <a:latin typeface="B Nazanin"/>
              </a:defRPr>
            </a:pPr>
            <a:r>
              <a:rPr lang="en-US" sz="1000" baseline="0">
                <a:latin typeface="B Nazanin"/>
              </a:rPr>
              <a:t>ترکیب روش‌های پرداخت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روش پرداخت</c:v>
          </c:tx>
          <c:dPt>
            <c:idx val="0"/>
            <c:spPr>
              <a:solidFill>
                <a:srgbClr val="7FA99B"/>
              </a:solidFill>
            </c:spPr>
          </c:dPt>
          <c:dPt>
            <c:idx val="1"/>
            <c:spPr>
              <a:solidFill>
                <a:srgbClr val="C89B3C"/>
              </a:solidFill>
            </c:spPr>
          </c:dPt>
          <c:dPt>
            <c:idx val="2"/>
            <c:spPr>
              <a:solidFill>
                <a:srgbClr val="14453D"/>
              </a:solidFill>
            </c:spPr>
          </c:dPt>
          <c:dPt>
            <c:idx val="3"/>
            <c:spPr>
              <a:solidFill>
                <a:srgbClr val="C4623F"/>
              </a:solidFill>
            </c:spPr>
          </c:dPt>
          <c:dPt>
            <c:idx val="4"/>
            <c:spPr>
              <a:solidFill>
                <a:srgbClr val="2B5C7A"/>
              </a:solidFill>
            </c:spPr>
          </c:dPt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Percent val="1"/>
          </c:dLbls>
          <c:cat>
            <c:strRef>
              <c:f>Anal!$A$30:$A$34</c:f>
              <c:strCache>
                <c:ptCount val="5"/>
                <c:pt idx="0">
                  <c:v>نقد</c:v>
                </c:pt>
                <c:pt idx="1">
                  <c:v>چک</c:v>
                </c:pt>
                <c:pt idx="2">
                  <c:v>انتقال بانکی</c:v>
                </c:pt>
                <c:pt idx="3">
                  <c:v>کارت/پوز</c:v>
                </c:pt>
                <c:pt idx="4">
                  <c:v>حواله</c:v>
                </c:pt>
              </c:strCache>
            </c:strRef>
          </c:cat>
          <c:val>
            <c:numRef>
              <c:f>Anal!$D$30:$D$34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700" baseline="0">
              <a:latin typeface="B Nazanin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B Nazanin"/>
              </a:defRPr>
            </a:pPr>
            <a:r>
              <a:rPr lang="en-US" sz="1100" baseline="0">
                <a:latin typeface="B Nazanin"/>
              </a:rPr>
              <a:t>کارت/پوز هر بانک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کارت/پوز</c:v>
          </c:tx>
          <c:spPr>
            <a:solidFill>
              <a:srgbClr val="7FA99B"/>
            </a:solidFill>
          </c:spPr>
          <c:cat>
            <c:numRef>
              <c:f>Card!$A$13:$A$22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Card!$C$13:$C$22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پز باسکول</c:v>
          </c:tx>
          <c:spPr>
            <a:solidFill>
              <a:srgbClr val="C89B3C"/>
            </a:solidFill>
          </c:spPr>
          <c:cat>
            <c:numRef>
              <c:f>Card!$A$13:$A$22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Card!$D$13:$D$22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  <c:spPr>
        <a:solidFill>
          <a:srgbClr val="FCFAF4"/>
        </a:solidFill>
      </c:spPr>
    </c:plotArea>
    <c:legend>
      <c:legendPos val="b"/>
      <c:layout/>
      <c:txPr>
        <a:bodyPr/>
        <a:lstStyle/>
        <a:p>
          <a:pPr>
            <a:defRPr sz="800" baseline="0">
              <a:latin typeface="B Nazanin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1.png"/><Relationship Id="rId5" Type="http://schemas.openxmlformats.org/officeDocument/2006/relationships/image" Target="../media/image12.png"/><Relationship Id="rId6" Type="http://schemas.openxmlformats.org/officeDocument/2006/relationships/image" Target="../media/image1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Relationship Id="rId3" Type="http://schemas.openxmlformats.org/officeDocument/2006/relationships/image" Target="../media/image3.png"/><Relationship Id="rId4" Type="http://schemas.openxmlformats.org/officeDocument/2006/relationships/image" Target="../media/image13.png"/><Relationship Id="rId5" Type="http://schemas.openxmlformats.org/officeDocument/2006/relationships/chart" Target="../charts/chart1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Relationship Id="rId3" Type="http://schemas.openxmlformats.org/officeDocument/2006/relationships/image" Target="../media/image3.png"/><Relationship Id="rId4" Type="http://schemas.openxmlformats.org/officeDocument/2006/relationships/image" Target="../media/image11.png"/><Relationship Id="rId5" Type="http://schemas.openxmlformats.org/officeDocument/2006/relationships/chart" Target="../charts/chart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Relationship Id="rId3" Type="http://schemas.openxmlformats.org/officeDocument/2006/relationships/image" Target="../media/image3.png"/><Relationship Id="rId4" Type="http://schemas.openxmlformats.org/officeDocument/2006/relationships/image" Target="../media/image11.png"/><Relationship Id="rId5" Type="http://schemas.openxmlformats.org/officeDocument/2006/relationships/image" Target="../media/image12.png"/><Relationship Id="rId6" Type="http://schemas.openxmlformats.org/officeDocument/2006/relationships/chart" Target="../charts/chart5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2.png"/><Relationship Id="rId6" Type="http://schemas.openxmlformats.org/officeDocument/2006/relationships/image" Target="../media/image1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57150</xdr:colOff>
      <xdr:row>2</xdr:row>
      <xdr:rowOff>57150</xdr:rowOff>
    </xdr:from>
    <xdr:to>
      <xdr:col>8</xdr:col>
      <xdr:colOff>331470</xdr:colOff>
      <xdr:row>2</xdr:row>
      <xdr:rowOff>331470</xdr:rowOff>
    </xdr:to>
    <xdr:pic>
      <xdr:nvPicPr>
        <xdr:cNvPr id="2" name="Picture 1" descr="bank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36195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2</xdr:col>
      <xdr:colOff>57150</xdr:colOff>
      <xdr:row>7</xdr:row>
      <xdr:rowOff>57150</xdr:rowOff>
    </xdr:from>
    <xdr:to>
      <xdr:col>2</xdr:col>
      <xdr:colOff>230886</xdr:colOff>
      <xdr:row>7</xdr:row>
      <xdr:rowOff>230886</xdr:rowOff>
    </xdr:to>
    <xdr:pic>
      <xdr:nvPicPr>
        <xdr:cNvPr id="3" name="Picture 2" descr="list_fores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63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4</xdr:col>
      <xdr:colOff>57150</xdr:colOff>
      <xdr:row>7</xdr:row>
      <xdr:rowOff>57150</xdr:rowOff>
    </xdr:from>
    <xdr:to>
      <xdr:col>4</xdr:col>
      <xdr:colOff>230886</xdr:colOff>
      <xdr:row>7</xdr:row>
      <xdr:rowOff>230886</xdr:rowOff>
    </xdr:to>
    <xdr:pic>
      <xdr:nvPicPr>
        <xdr:cNvPr id="4" name="Picture 3" descr="transfer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55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6</xdr:col>
      <xdr:colOff>57150</xdr:colOff>
      <xdr:row>7</xdr:row>
      <xdr:rowOff>57150</xdr:rowOff>
    </xdr:from>
    <xdr:to>
      <xdr:col>6</xdr:col>
      <xdr:colOff>230886</xdr:colOff>
      <xdr:row>7</xdr:row>
      <xdr:rowOff>230886</xdr:rowOff>
    </xdr:to>
    <xdr:pic>
      <xdr:nvPicPr>
        <xdr:cNvPr id="5" name="Picture 4" descr="transfer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8</xdr:col>
      <xdr:colOff>57150</xdr:colOff>
      <xdr:row>7</xdr:row>
      <xdr:rowOff>57150</xdr:rowOff>
    </xdr:from>
    <xdr:to>
      <xdr:col>8</xdr:col>
      <xdr:colOff>230886</xdr:colOff>
      <xdr:row>7</xdr:row>
      <xdr:rowOff>230886</xdr:rowOff>
    </xdr:to>
    <xdr:pic>
      <xdr:nvPicPr>
        <xdr:cNvPr id="6" name="Picture 5" descr="bank_fores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339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2</xdr:col>
      <xdr:colOff>57150</xdr:colOff>
      <xdr:row>9</xdr:row>
      <xdr:rowOff>57150</xdr:rowOff>
    </xdr:from>
    <xdr:to>
      <xdr:col>2</xdr:col>
      <xdr:colOff>258318</xdr:colOff>
      <xdr:row>9</xdr:row>
      <xdr:rowOff>258318</xdr:rowOff>
    </xdr:to>
    <xdr:pic>
      <xdr:nvPicPr>
        <xdr:cNvPr id="7" name="Picture 6" descr="bank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" y="2381250"/>
          <a:ext cx="201168" cy="201168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9</xdr:row>
      <xdr:rowOff>57150</xdr:rowOff>
    </xdr:from>
    <xdr:to>
      <xdr:col>5</xdr:col>
      <xdr:colOff>258318</xdr:colOff>
      <xdr:row>9</xdr:row>
      <xdr:rowOff>258318</xdr:rowOff>
    </xdr:to>
    <xdr:pic>
      <xdr:nvPicPr>
        <xdr:cNvPr id="8" name="Picture 7" descr="money_white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05150" y="2381250"/>
          <a:ext cx="201168" cy="201168"/>
        </a:xfrm>
        <a:prstGeom prst="rect">
          <a:avLst/>
        </a:prstGeom>
      </xdr:spPr>
    </xdr:pic>
    <xdr:clientData/>
  </xdr:twoCellAnchor>
  <xdr:twoCellAnchor editAs="absolute">
    <xdr:from>
      <xdr:col>8</xdr:col>
      <xdr:colOff>57150</xdr:colOff>
      <xdr:row>9</xdr:row>
      <xdr:rowOff>57150</xdr:rowOff>
    </xdr:from>
    <xdr:to>
      <xdr:col>8</xdr:col>
      <xdr:colOff>258318</xdr:colOff>
      <xdr:row>9</xdr:row>
      <xdr:rowOff>258318</xdr:rowOff>
    </xdr:to>
    <xdr:pic>
      <xdr:nvPicPr>
        <xdr:cNvPr id="9" name="Picture 8" descr="chart_white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33950" y="2381250"/>
          <a:ext cx="201168" cy="201168"/>
        </a:xfrm>
        <a:prstGeom prst="rect">
          <a:avLst/>
        </a:prstGeom>
      </xdr:spPr>
    </xdr:pic>
    <xdr:clientData/>
  </xdr:twoCellAnchor>
  <xdr:twoCellAnchor editAs="absolute">
    <xdr:from>
      <xdr:col>2</xdr:col>
      <xdr:colOff>57150</xdr:colOff>
      <xdr:row>12</xdr:row>
      <xdr:rowOff>57150</xdr:rowOff>
    </xdr:from>
    <xdr:to>
      <xdr:col>2</xdr:col>
      <xdr:colOff>258318</xdr:colOff>
      <xdr:row>12</xdr:row>
      <xdr:rowOff>258318</xdr:rowOff>
    </xdr:to>
    <xdr:pic>
      <xdr:nvPicPr>
        <xdr:cNvPr id="10" name="Picture 9" descr="gauge_white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6350" y="3286125"/>
          <a:ext cx="201168" cy="201168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12</xdr:row>
      <xdr:rowOff>57150</xdr:rowOff>
    </xdr:from>
    <xdr:to>
      <xdr:col>5</xdr:col>
      <xdr:colOff>258318</xdr:colOff>
      <xdr:row>12</xdr:row>
      <xdr:rowOff>258318</xdr:rowOff>
    </xdr:to>
    <xdr:pic>
      <xdr:nvPicPr>
        <xdr:cNvPr id="11" name="Picture 10" descr="card_white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05150" y="3286125"/>
          <a:ext cx="201168" cy="201168"/>
        </a:xfrm>
        <a:prstGeom prst="rect">
          <a:avLst/>
        </a:prstGeom>
      </xdr:spPr>
    </xdr:pic>
    <xdr:clientData/>
  </xdr:twoCellAnchor>
  <xdr:twoCellAnchor editAs="absolute">
    <xdr:from>
      <xdr:col>8</xdr:col>
      <xdr:colOff>57150</xdr:colOff>
      <xdr:row>12</xdr:row>
      <xdr:rowOff>57150</xdr:rowOff>
    </xdr:from>
    <xdr:to>
      <xdr:col>8</xdr:col>
      <xdr:colOff>258318</xdr:colOff>
      <xdr:row>12</xdr:row>
      <xdr:rowOff>258318</xdr:rowOff>
    </xdr:to>
    <xdr:pic>
      <xdr:nvPicPr>
        <xdr:cNvPr id="12" name="Picture 11" descr="cheque_white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33950" y="3286125"/>
          <a:ext cx="201168" cy="201168"/>
        </a:xfrm>
        <a:prstGeom prst="rect">
          <a:avLst/>
        </a:prstGeom>
      </xdr:spPr>
    </xdr:pic>
    <xdr:clientData/>
  </xdr:twoCellAnchor>
  <xdr:twoCellAnchor editAs="absolute">
    <xdr:from>
      <xdr:col>0</xdr:col>
      <xdr:colOff>57150</xdr:colOff>
      <xdr:row>28</xdr:row>
      <xdr:rowOff>57150</xdr:rowOff>
    </xdr:from>
    <xdr:to>
      <xdr:col>0</xdr:col>
      <xdr:colOff>240030</xdr:colOff>
      <xdr:row>28</xdr:row>
      <xdr:rowOff>240030</xdr:rowOff>
    </xdr:to>
    <xdr:pic>
      <xdr:nvPicPr>
        <xdr:cNvPr id="13" name="Picture 12" descr="flag_forest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50" y="7381875"/>
          <a:ext cx="182880" cy="1828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19</xdr:col>
      <xdr:colOff>57150</xdr:colOff>
      <xdr:row>2</xdr:row>
      <xdr:rowOff>57150</xdr:rowOff>
    </xdr:from>
    <xdr:to>
      <xdr:col>19</xdr:col>
      <xdr:colOff>331470</xdr:colOff>
      <xdr:row>2</xdr:row>
      <xdr:rowOff>331470</xdr:rowOff>
    </xdr:to>
    <xdr:pic>
      <xdr:nvPicPr>
        <xdr:cNvPr id="2" name="Picture 1" descr="bank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31150" y="36195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3</xdr:col>
      <xdr:colOff>57150</xdr:colOff>
      <xdr:row>7</xdr:row>
      <xdr:rowOff>57150</xdr:rowOff>
    </xdr:from>
    <xdr:to>
      <xdr:col>3</xdr:col>
      <xdr:colOff>230886</xdr:colOff>
      <xdr:row>7</xdr:row>
      <xdr:rowOff>230886</xdr:rowOff>
    </xdr:to>
    <xdr:pic>
      <xdr:nvPicPr>
        <xdr:cNvPr id="3" name="Picture 2" descr="list_fores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6692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7</xdr:col>
      <xdr:colOff>57150</xdr:colOff>
      <xdr:row>7</xdr:row>
      <xdr:rowOff>57150</xdr:rowOff>
    </xdr:from>
    <xdr:to>
      <xdr:col>7</xdr:col>
      <xdr:colOff>230886</xdr:colOff>
      <xdr:row>7</xdr:row>
      <xdr:rowOff>230886</xdr:rowOff>
    </xdr:to>
    <xdr:pic>
      <xdr:nvPicPr>
        <xdr:cNvPr id="4" name="Picture 3" descr="transfer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580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11</xdr:col>
      <xdr:colOff>57150</xdr:colOff>
      <xdr:row>7</xdr:row>
      <xdr:rowOff>57150</xdr:rowOff>
    </xdr:from>
    <xdr:to>
      <xdr:col>11</xdr:col>
      <xdr:colOff>230886</xdr:colOff>
      <xdr:row>7</xdr:row>
      <xdr:rowOff>230886</xdr:rowOff>
    </xdr:to>
    <xdr:pic>
      <xdr:nvPicPr>
        <xdr:cNvPr id="5" name="Picture 4" descr="transfer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4917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15</xdr:col>
      <xdr:colOff>57150</xdr:colOff>
      <xdr:row>7</xdr:row>
      <xdr:rowOff>57150</xdr:rowOff>
    </xdr:from>
    <xdr:to>
      <xdr:col>15</xdr:col>
      <xdr:colOff>230886</xdr:colOff>
      <xdr:row>7</xdr:row>
      <xdr:rowOff>230886</xdr:rowOff>
    </xdr:to>
    <xdr:pic>
      <xdr:nvPicPr>
        <xdr:cNvPr id="6" name="Picture 5" descr="money_fores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735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19</xdr:col>
      <xdr:colOff>57150</xdr:colOff>
      <xdr:row>7</xdr:row>
      <xdr:rowOff>57150</xdr:rowOff>
    </xdr:from>
    <xdr:to>
      <xdr:col>19</xdr:col>
      <xdr:colOff>230886</xdr:colOff>
      <xdr:row>7</xdr:row>
      <xdr:rowOff>230886</xdr:rowOff>
    </xdr:to>
    <xdr:pic>
      <xdr:nvPicPr>
        <xdr:cNvPr id="7" name="Picture 6" descr="warn_fores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6311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0</xdr:col>
      <xdr:colOff>57150</xdr:colOff>
      <xdr:row>8</xdr:row>
      <xdr:rowOff>57150</xdr:rowOff>
    </xdr:from>
    <xdr:to>
      <xdr:col>0</xdr:col>
      <xdr:colOff>240030</xdr:colOff>
      <xdr:row>8</xdr:row>
      <xdr:rowOff>240030</xdr:rowOff>
    </xdr:to>
    <xdr:pic>
      <xdr:nvPicPr>
        <xdr:cNvPr id="8" name="Picture 7" descr="flag_fores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" y="2047875"/>
          <a:ext cx="182880" cy="1828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57150</xdr:colOff>
      <xdr:row>2</xdr:row>
      <xdr:rowOff>57150</xdr:rowOff>
    </xdr:from>
    <xdr:to>
      <xdr:col>7</xdr:col>
      <xdr:colOff>331470</xdr:colOff>
      <xdr:row>2</xdr:row>
      <xdr:rowOff>331470</xdr:rowOff>
    </xdr:to>
    <xdr:pic>
      <xdr:nvPicPr>
        <xdr:cNvPr id="2" name="Picture 1" descr="bank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8075" y="36195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1</xdr:col>
      <xdr:colOff>57150</xdr:colOff>
      <xdr:row>7</xdr:row>
      <xdr:rowOff>57150</xdr:rowOff>
    </xdr:from>
    <xdr:to>
      <xdr:col>1</xdr:col>
      <xdr:colOff>230886</xdr:colOff>
      <xdr:row>7</xdr:row>
      <xdr:rowOff>230886</xdr:rowOff>
    </xdr:to>
    <xdr:pic>
      <xdr:nvPicPr>
        <xdr:cNvPr id="3" name="Picture 2" descr="money_fores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832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3</xdr:col>
      <xdr:colOff>57150</xdr:colOff>
      <xdr:row>7</xdr:row>
      <xdr:rowOff>57150</xdr:rowOff>
    </xdr:from>
    <xdr:to>
      <xdr:col>3</xdr:col>
      <xdr:colOff>230886</xdr:colOff>
      <xdr:row>7</xdr:row>
      <xdr:rowOff>230886</xdr:rowOff>
    </xdr:to>
    <xdr:pic>
      <xdr:nvPicPr>
        <xdr:cNvPr id="4" name="Picture 3" descr="transfer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3382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7</xdr:row>
      <xdr:rowOff>57150</xdr:rowOff>
    </xdr:from>
    <xdr:to>
      <xdr:col>5</xdr:col>
      <xdr:colOff>230886</xdr:colOff>
      <xdr:row>7</xdr:row>
      <xdr:rowOff>230886</xdr:rowOff>
    </xdr:to>
    <xdr:pic>
      <xdr:nvPicPr>
        <xdr:cNvPr id="5" name="Picture 4" descr="transfer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2932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7</xdr:col>
      <xdr:colOff>57150</xdr:colOff>
      <xdr:row>7</xdr:row>
      <xdr:rowOff>57150</xdr:rowOff>
    </xdr:from>
    <xdr:to>
      <xdr:col>7</xdr:col>
      <xdr:colOff>230886</xdr:colOff>
      <xdr:row>7</xdr:row>
      <xdr:rowOff>230886</xdr:rowOff>
    </xdr:to>
    <xdr:pic>
      <xdr:nvPicPr>
        <xdr:cNvPr id="6" name="Picture 5" descr="chart_fores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58075" y="1619250"/>
          <a:ext cx="173736" cy="173736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24</xdr:row>
      <xdr:rowOff>57150</xdr:rowOff>
    </xdr:from>
    <xdr:to>
      <xdr:col>3</xdr:col>
      <xdr:colOff>676275</xdr:colOff>
      <xdr:row>35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57150</xdr:colOff>
      <xdr:row>2</xdr:row>
      <xdr:rowOff>57150</xdr:rowOff>
    </xdr:from>
    <xdr:to>
      <xdr:col>7</xdr:col>
      <xdr:colOff>331470</xdr:colOff>
      <xdr:row>2</xdr:row>
      <xdr:rowOff>331470</xdr:rowOff>
    </xdr:to>
    <xdr:pic>
      <xdr:nvPicPr>
        <xdr:cNvPr id="2" name="Picture 1" descr="chart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0" y="36195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1</xdr:col>
      <xdr:colOff>57150</xdr:colOff>
      <xdr:row>7</xdr:row>
      <xdr:rowOff>57150</xdr:rowOff>
    </xdr:from>
    <xdr:to>
      <xdr:col>1</xdr:col>
      <xdr:colOff>230886</xdr:colOff>
      <xdr:row>7</xdr:row>
      <xdr:rowOff>230886</xdr:rowOff>
    </xdr:to>
    <xdr:pic>
      <xdr:nvPicPr>
        <xdr:cNvPr id="3" name="Picture 2" descr="chart_fores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48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3</xdr:col>
      <xdr:colOff>57150</xdr:colOff>
      <xdr:row>7</xdr:row>
      <xdr:rowOff>57150</xdr:rowOff>
    </xdr:from>
    <xdr:to>
      <xdr:col>3</xdr:col>
      <xdr:colOff>230886</xdr:colOff>
      <xdr:row>7</xdr:row>
      <xdr:rowOff>230886</xdr:rowOff>
    </xdr:to>
    <xdr:pic>
      <xdr:nvPicPr>
        <xdr:cNvPr id="4" name="Picture 3" descr="transfer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6697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7</xdr:row>
      <xdr:rowOff>57150</xdr:rowOff>
    </xdr:from>
    <xdr:to>
      <xdr:col>5</xdr:col>
      <xdr:colOff>230886</xdr:colOff>
      <xdr:row>7</xdr:row>
      <xdr:rowOff>230886</xdr:rowOff>
    </xdr:to>
    <xdr:pic>
      <xdr:nvPicPr>
        <xdr:cNvPr id="5" name="Picture 4" descr="transfer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582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7</xdr:col>
      <xdr:colOff>57150</xdr:colOff>
      <xdr:row>7</xdr:row>
      <xdr:rowOff>57150</xdr:rowOff>
    </xdr:from>
    <xdr:to>
      <xdr:col>7</xdr:col>
      <xdr:colOff>230886</xdr:colOff>
      <xdr:row>7</xdr:row>
      <xdr:rowOff>230886</xdr:rowOff>
    </xdr:to>
    <xdr:pic>
      <xdr:nvPicPr>
        <xdr:cNvPr id="6" name="Picture 5" descr="money_fores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24600" y="1619250"/>
          <a:ext cx="173736" cy="173736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26</xdr:row>
      <xdr:rowOff>57150</xdr:rowOff>
    </xdr:from>
    <xdr:to>
      <xdr:col>6</xdr:col>
      <xdr:colOff>228600</xdr:colOff>
      <xdr:row>40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57150</xdr:colOff>
      <xdr:row>2</xdr:row>
      <xdr:rowOff>57150</xdr:rowOff>
    </xdr:from>
    <xdr:to>
      <xdr:col>6</xdr:col>
      <xdr:colOff>331470</xdr:colOff>
      <xdr:row>2</xdr:row>
      <xdr:rowOff>331470</xdr:rowOff>
    </xdr:to>
    <xdr:pic>
      <xdr:nvPicPr>
        <xdr:cNvPr id="2" name="Picture 1" descr="chart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36195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0</xdr:col>
      <xdr:colOff>57150</xdr:colOff>
      <xdr:row>47</xdr:row>
      <xdr:rowOff>57150</xdr:rowOff>
    </xdr:from>
    <xdr:to>
      <xdr:col>0</xdr:col>
      <xdr:colOff>240030</xdr:colOff>
      <xdr:row>47</xdr:row>
      <xdr:rowOff>240030</xdr:rowOff>
    </xdr:to>
    <xdr:pic>
      <xdr:nvPicPr>
        <xdr:cNvPr id="3" name="Picture 2" descr="search_fores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9601200"/>
          <a:ext cx="182880" cy="182880"/>
        </a:xfrm>
        <a:prstGeom prst="rect">
          <a:avLst/>
        </a:prstGeom>
      </xdr:spPr>
    </xdr:pic>
    <xdr:clientData/>
  </xdr:twoCellAnchor>
  <xdr:twoCellAnchor>
    <xdr:from>
      <xdr:col>8</xdr:col>
      <xdr:colOff>57150</xdr:colOff>
      <xdr:row>7</xdr:row>
      <xdr:rowOff>38100</xdr:rowOff>
    </xdr:from>
    <xdr:to>
      <xdr:col>14</xdr:col>
      <xdr:colOff>19050</xdr:colOff>
      <xdr:row>19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57150</xdr:colOff>
      <xdr:row>28</xdr:row>
      <xdr:rowOff>38100</xdr:rowOff>
    </xdr:from>
    <xdr:to>
      <xdr:col>13</xdr:col>
      <xdr:colOff>152400</xdr:colOff>
      <xdr:row>37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57150</xdr:colOff>
      <xdr:row>2</xdr:row>
      <xdr:rowOff>57150</xdr:rowOff>
    </xdr:from>
    <xdr:to>
      <xdr:col>6</xdr:col>
      <xdr:colOff>331470</xdr:colOff>
      <xdr:row>2</xdr:row>
      <xdr:rowOff>331470</xdr:rowOff>
    </xdr:to>
    <xdr:pic>
      <xdr:nvPicPr>
        <xdr:cNvPr id="2" name="Picture 1" descr="card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0" y="36195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1</xdr:col>
      <xdr:colOff>57150</xdr:colOff>
      <xdr:row>7</xdr:row>
      <xdr:rowOff>57150</xdr:rowOff>
    </xdr:from>
    <xdr:to>
      <xdr:col>1</xdr:col>
      <xdr:colOff>230886</xdr:colOff>
      <xdr:row>7</xdr:row>
      <xdr:rowOff>230886</xdr:rowOff>
    </xdr:to>
    <xdr:pic>
      <xdr:nvPicPr>
        <xdr:cNvPr id="3" name="Picture 2" descr="card_fores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832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7</xdr:row>
      <xdr:rowOff>57150</xdr:rowOff>
    </xdr:from>
    <xdr:to>
      <xdr:col>5</xdr:col>
      <xdr:colOff>230886</xdr:colOff>
      <xdr:row>7</xdr:row>
      <xdr:rowOff>230886</xdr:rowOff>
    </xdr:to>
    <xdr:pic>
      <xdr:nvPicPr>
        <xdr:cNvPr id="4" name="Picture 3" descr="transfer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930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6</xdr:col>
      <xdr:colOff>57150</xdr:colOff>
      <xdr:row>7</xdr:row>
      <xdr:rowOff>57150</xdr:rowOff>
    </xdr:from>
    <xdr:to>
      <xdr:col>6</xdr:col>
      <xdr:colOff>230886</xdr:colOff>
      <xdr:row>7</xdr:row>
      <xdr:rowOff>230886</xdr:rowOff>
    </xdr:to>
    <xdr:pic>
      <xdr:nvPicPr>
        <xdr:cNvPr id="5" name="Picture 4" descr="money_fores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7700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0</xdr:col>
      <xdr:colOff>57150</xdr:colOff>
      <xdr:row>34</xdr:row>
      <xdr:rowOff>57150</xdr:rowOff>
    </xdr:from>
    <xdr:to>
      <xdr:col>0</xdr:col>
      <xdr:colOff>240030</xdr:colOff>
      <xdr:row>34</xdr:row>
      <xdr:rowOff>240030</xdr:rowOff>
    </xdr:to>
    <xdr:pic>
      <xdr:nvPicPr>
        <xdr:cNvPr id="6" name="Picture 5" descr="warn_fores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150" y="7000875"/>
          <a:ext cx="182880" cy="18288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23</xdr:row>
      <xdr:rowOff>57150</xdr:rowOff>
    </xdr:from>
    <xdr:to>
      <xdr:col>4</xdr:col>
      <xdr:colOff>752475</xdr:colOff>
      <xdr:row>34</xdr:row>
      <xdr:rowOff>342900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57150</xdr:colOff>
      <xdr:row>2</xdr:row>
      <xdr:rowOff>57150</xdr:rowOff>
    </xdr:from>
    <xdr:to>
      <xdr:col>11</xdr:col>
      <xdr:colOff>331470</xdr:colOff>
      <xdr:row>2</xdr:row>
      <xdr:rowOff>331470</xdr:rowOff>
    </xdr:to>
    <xdr:pic>
      <xdr:nvPicPr>
        <xdr:cNvPr id="2" name="Picture 1" descr="cheque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15575" y="36195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2</xdr:col>
      <xdr:colOff>57150</xdr:colOff>
      <xdr:row>7</xdr:row>
      <xdr:rowOff>57150</xdr:rowOff>
    </xdr:from>
    <xdr:to>
      <xdr:col>2</xdr:col>
      <xdr:colOff>230886</xdr:colOff>
      <xdr:row>7</xdr:row>
      <xdr:rowOff>230886</xdr:rowOff>
    </xdr:to>
    <xdr:pic>
      <xdr:nvPicPr>
        <xdr:cNvPr id="3" name="Picture 2" descr="cheque_fores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5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7</xdr:row>
      <xdr:rowOff>57150</xdr:rowOff>
    </xdr:from>
    <xdr:to>
      <xdr:col>5</xdr:col>
      <xdr:colOff>230886</xdr:colOff>
      <xdr:row>7</xdr:row>
      <xdr:rowOff>230886</xdr:rowOff>
    </xdr:to>
    <xdr:pic>
      <xdr:nvPicPr>
        <xdr:cNvPr id="4" name="Picture 3" descr="calendar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290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7</xdr:col>
      <xdr:colOff>57150</xdr:colOff>
      <xdr:row>7</xdr:row>
      <xdr:rowOff>57150</xdr:rowOff>
    </xdr:from>
    <xdr:to>
      <xdr:col>7</xdr:col>
      <xdr:colOff>230886</xdr:colOff>
      <xdr:row>7</xdr:row>
      <xdr:rowOff>230886</xdr:rowOff>
    </xdr:to>
    <xdr:pic>
      <xdr:nvPicPr>
        <xdr:cNvPr id="5" name="Picture 4" descr="check_fores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5792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9</xdr:col>
      <xdr:colOff>57150</xdr:colOff>
      <xdr:row>7</xdr:row>
      <xdr:rowOff>57150</xdr:rowOff>
    </xdr:from>
    <xdr:to>
      <xdr:col>9</xdr:col>
      <xdr:colOff>230886</xdr:colOff>
      <xdr:row>7</xdr:row>
      <xdr:rowOff>230886</xdr:rowOff>
    </xdr:to>
    <xdr:pic>
      <xdr:nvPicPr>
        <xdr:cNvPr id="6" name="Picture 5" descr="warn_fores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534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11</xdr:col>
      <xdr:colOff>57150</xdr:colOff>
      <xdr:row>7</xdr:row>
      <xdr:rowOff>57150</xdr:rowOff>
    </xdr:from>
    <xdr:to>
      <xdr:col>11</xdr:col>
      <xdr:colOff>230886</xdr:colOff>
      <xdr:row>7</xdr:row>
      <xdr:rowOff>230886</xdr:rowOff>
    </xdr:to>
    <xdr:pic>
      <xdr:nvPicPr>
        <xdr:cNvPr id="7" name="Picture 6" descr="money_forest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15575" y="1619250"/>
          <a:ext cx="173736" cy="17373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57150</xdr:colOff>
      <xdr:row>2</xdr:row>
      <xdr:rowOff>57150</xdr:rowOff>
    </xdr:from>
    <xdr:to>
      <xdr:col>8</xdr:col>
      <xdr:colOff>331470</xdr:colOff>
      <xdr:row>2</xdr:row>
      <xdr:rowOff>331470</xdr:rowOff>
    </xdr:to>
    <xdr:pic>
      <xdr:nvPicPr>
        <xdr:cNvPr id="2" name="Picture 1" descr="help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361950"/>
          <a:ext cx="274320" cy="274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9"/>
  <sheetViews>
    <sheetView showGridLines="0" rightToLeft="1" tabSelected="1" zoomScale="85" zoomScaleNormal="85" workbookViewId="0"/>
  </sheetViews>
  <sheetFormatPr defaultRowHeight="15"/>
  <sheetData>
    <row r="1" spans="1:9" ht="6" customHeight="1">
      <c r="A1" s="1"/>
      <c r="B1" s="1"/>
      <c r="C1" s="1"/>
      <c r="D1" s="1"/>
      <c r="E1" s="1"/>
      <c r="F1" s="1"/>
      <c r="G1" s="1"/>
      <c r="H1" s="1"/>
      <c r="I1" s="1"/>
    </row>
    <row r="2" spans="1:9" ht="18" customHeight="1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 ht="38.25" customHeight="1">
      <c r="A3" s="3" t="s">
        <v>1</v>
      </c>
      <c r="B3" s="3"/>
      <c r="C3" s="3"/>
      <c r="D3" s="3"/>
      <c r="E3" s="3"/>
      <c r="F3" s="3"/>
      <c r="G3" s="3"/>
      <c r="H3" s="3"/>
      <c r="I3" s="3"/>
    </row>
    <row r="4" spans="1:9" ht="21.75" customHeight="1">
      <c r="A4" s="4" t="s">
        <v>2</v>
      </c>
      <c r="B4" s="4"/>
      <c r="C4" s="4"/>
      <c r="D4" s="4"/>
      <c r="E4" s="4"/>
      <c r="F4" s="4"/>
      <c r="G4" s="4"/>
      <c r="H4" s="4"/>
      <c r="I4" s="4"/>
    </row>
    <row r="5" spans="1:9" ht="3.75" customHeight="1">
      <c r="A5" s="5"/>
      <c r="B5" s="5"/>
      <c r="C5" s="5"/>
      <c r="D5" s="5"/>
      <c r="E5" s="5"/>
      <c r="F5" s="5"/>
      <c r="G5" s="5"/>
      <c r="H5" s="5"/>
      <c r="I5" s="5"/>
    </row>
    <row r="7" spans="1:9" ht="20.25" customHeight="1">
      <c r="A7" s="6" t="s">
        <v>3</v>
      </c>
      <c r="B7" s="6"/>
      <c r="C7" s="6"/>
      <c r="D7" s="6" t="s">
        <v>4</v>
      </c>
      <c r="E7" s="6"/>
      <c r="F7" s="6" t="s">
        <v>5</v>
      </c>
      <c r="G7" s="6"/>
      <c r="H7" s="6" t="s">
        <v>6</v>
      </c>
      <c r="I7" s="6"/>
    </row>
    <row r="8" spans="1:9" ht="33.75" customHeight="1">
      <c r="A8" s="7">
        <f>COUNTA(Txn!$B$13:$B$152)</f>
        <v>0</v>
      </c>
      <c r="B8" s="7"/>
      <c r="C8" s="7"/>
      <c r="D8" s="8">
        <f>SUM(Txn!$O$13:$O$152)</f>
        <v>0</v>
      </c>
      <c r="E8" s="8"/>
      <c r="F8" s="9">
        <f>SUM(Txn!$P$13:$P$152)</f>
        <v>0</v>
      </c>
      <c r="G8" s="9"/>
      <c r="H8" s="10">
        <f>SUM(Sum!$E$12:$E$21)</f>
        <v>0</v>
      </c>
      <c r="I8" s="10"/>
    </row>
    <row r="9" spans="1:9" ht="26.25" customHeight="1">
      <c r="A9" s="11" t="s">
        <v>7</v>
      </c>
      <c r="B9" s="11"/>
      <c r="C9" s="11"/>
      <c r="D9" s="11"/>
      <c r="E9" s="11"/>
      <c r="F9" s="11"/>
      <c r="G9" s="11"/>
      <c r="H9" s="12" t="s">
        <v>8</v>
      </c>
      <c r="I9" s="12"/>
    </row>
    <row r="10" spans="1:9" ht="26.25" customHeight="1">
      <c r="A10" s="13" t="s">
        <v>9</v>
      </c>
      <c r="D10" s="14" t="s">
        <v>11</v>
      </c>
      <c r="G10" s="15" t="s">
        <v>13</v>
      </c>
    </row>
    <row r="11" spans="1:9" ht="30" customHeight="1">
      <c r="A11" s="16" t="s">
        <v>10</v>
      </c>
      <c r="B11" s="16"/>
      <c r="C11" s="16"/>
      <c r="D11" s="16" t="s">
        <v>12</v>
      </c>
      <c r="E11" s="16"/>
      <c r="F11" s="16"/>
      <c r="G11" s="16" t="s">
        <v>14</v>
      </c>
      <c r="H11" s="16"/>
      <c r="I11" s="16"/>
    </row>
    <row r="13" spans="1:9" ht="26.25" customHeight="1">
      <c r="A13" s="17" t="s">
        <v>15</v>
      </c>
      <c r="D13" s="18" t="s">
        <v>17</v>
      </c>
      <c r="G13" s="19" t="s">
        <v>19</v>
      </c>
    </row>
    <row r="14" spans="1:9" ht="30" customHeight="1">
      <c r="A14" s="16" t="s">
        <v>16</v>
      </c>
      <c r="B14" s="16"/>
      <c r="C14" s="16"/>
      <c r="D14" s="16" t="s">
        <v>18</v>
      </c>
      <c r="E14" s="16"/>
      <c r="F14" s="16"/>
      <c r="G14" s="16" t="s">
        <v>20</v>
      </c>
      <c r="H14" s="16"/>
      <c r="I14" s="16"/>
    </row>
    <row r="22" spans="1:9" ht="26.25" customHeight="1">
      <c r="A22" s="11" t="s">
        <v>21</v>
      </c>
      <c r="B22" s="11"/>
      <c r="C22" s="11"/>
      <c r="D22" s="11"/>
      <c r="E22" s="11"/>
      <c r="F22" s="11"/>
      <c r="G22" s="11"/>
      <c r="H22" s="12" t="s">
        <v>22</v>
      </c>
      <c r="I22" s="12"/>
    </row>
    <row r="23" spans="1:9" ht="24" customHeight="1">
      <c r="A23" s="20" t="s">
        <v>23</v>
      </c>
      <c r="B23" s="21" t="s">
        <v>24</v>
      </c>
      <c r="C23" s="21"/>
      <c r="D23" s="21"/>
      <c r="E23" s="21"/>
      <c r="F23" s="21"/>
      <c r="G23" s="21"/>
      <c r="H23" s="21"/>
      <c r="I23" s="21"/>
    </row>
    <row r="24" spans="1:9" ht="24" customHeight="1">
      <c r="A24" s="20" t="s">
        <v>25</v>
      </c>
      <c r="B24" s="21" t="s">
        <v>26</v>
      </c>
      <c r="C24" s="21"/>
      <c r="D24" s="21"/>
      <c r="E24" s="21"/>
      <c r="F24" s="21"/>
      <c r="G24" s="21"/>
      <c r="H24" s="21"/>
      <c r="I24" s="21"/>
    </row>
    <row r="25" spans="1:9" ht="24" customHeight="1">
      <c r="A25" s="20" t="s">
        <v>27</v>
      </c>
      <c r="B25" s="21" t="s">
        <v>28</v>
      </c>
      <c r="C25" s="21"/>
      <c r="D25" s="21"/>
      <c r="E25" s="21"/>
      <c r="F25" s="21"/>
      <c r="G25" s="21"/>
      <c r="H25" s="21"/>
      <c r="I25" s="21"/>
    </row>
    <row r="26" spans="1:9" ht="24" customHeight="1">
      <c r="A26" s="20" t="s">
        <v>29</v>
      </c>
      <c r="B26" s="21" t="s">
        <v>30</v>
      </c>
      <c r="C26" s="21"/>
      <c r="D26" s="21"/>
      <c r="E26" s="21"/>
      <c r="F26" s="21"/>
      <c r="G26" s="21"/>
      <c r="H26" s="21"/>
      <c r="I26" s="21"/>
    </row>
    <row r="27" spans="1:9" ht="24" customHeight="1">
      <c r="A27" s="20" t="s">
        <v>31</v>
      </c>
      <c r="B27" s="21" t="s">
        <v>32</v>
      </c>
      <c r="C27" s="21"/>
      <c r="D27" s="21"/>
      <c r="E27" s="21"/>
      <c r="F27" s="21"/>
      <c r="G27" s="21"/>
      <c r="H27" s="21"/>
      <c r="I27" s="21"/>
    </row>
    <row r="29" spans="1:9" ht="33.75" customHeight="1">
      <c r="A29" s="22" t="s">
        <v>33</v>
      </c>
      <c r="B29" s="22"/>
      <c r="C29" s="22"/>
      <c r="D29" s="22"/>
      <c r="E29" s="22"/>
      <c r="F29" s="22"/>
      <c r="G29" s="22"/>
      <c r="H29" s="22"/>
      <c r="I29" s="22"/>
    </row>
  </sheetData>
  <mergeCells count="27">
    <mergeCell ref="A2:I2"/>
    <mergeCell ref="A3:I3"/>
    <mergeCell ref="A4:I4"/>
    <mergeCell ref="A7:C7"/>
    <mergeCell ref="A8:C8"/>
    <mergeCell ref="D7:E7"/>
    <mergeCell ref="D8:E8"/>
    <mergeCell ref="F7:G7"/>
    <mergeCell ref="F8:G8"/>
    <mergeCell ref="H7:I7"/>
    <mergeCell ref="H8:I8"/>
    <mergeCell ref="A9:G9"/>
    <mergeCell ref="H9:I9"/>
    <mergeCell ref="A11:C11"/>
    <mergeCell ref="D11:F11"/>
    <mergeCell ref="G11:I11"/>
    <mergeCell ref="A14:C14"/>
    <mergeCell ref="D14:F14"/>
    <mergeCell ref="G14:I14"/>
    <mergeCell ref="A22:G22"/>
    <mergeCell ref="H22:I22"/>
    <mergeCell ref="B23:I23"/>
    <mergeCell ref="B24:I24"/>
    <mergeCell ref="B25:I25"/>
    <mergeCell ref="B26:I26"/>
    <mergeCell ref="B27:I27"/>
    <mergeCell ref="A29:I29"/>
  </mergeCells>
  <hyperlinks>
    <hyperlink ref="A10" location="Txn!A1" display="    تراکنش‌ها  Txn"/>
    <hyperlink ref="D10" location="Sum!A1" display="    مانده بانک‌ها  Sum"/>
    <hyperlink ref="G10" location="Flow!A1" display="    جریان نقدی  Flow"/>
    <hyperlink ref="A13" location="Anal!A1" display="    تحلیل  Anal"/>
    <hyperlink ref="D13" location="Card!A1" display="    کارت/پوز  Card"/>
    <hyperlink ref="G13" location="Chq!A1" display="    چک‌ها  Chq"/>
  </hyperlinks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53"/>
  <sheetViews>
    <sheetView showGridLines="0" rightToLeft="1" zoomScale="85" zoomScaleNormal="85" workbookViewId="0">
      <pane xSplit="4" ySplit="12" topLeftCell="E13" activePane="bottomRight" state="frozen"/>
      <selection pane="topRight" activeCell="E1" sqref="E1"/>
      <selection pane="bottomLeft" activeCell="A13" sqref="A13"/>
      <selection pane="bottomRight"/>
    </sheetView>
  </sheetViews>
  <sheetFormatPr defaultRowHeight="15"/>
  <cols>
    <col min="1" max="1" width="6.7109375" customWidth="1"/>
    <col min="2" max="3" width="11.7109375" customWidth="1"/>
    <col min="4" max="4" width="24.7109375" customWidth="1"/>
    <col min="5" max="5" width="20.7109375" customWidth="1"/>
    <col min="6" max="6" width="18.7109375" customWidth="1"/>
    <col min="7" max="8" width="13.7109375" customWidth="1"/>
    <col min="9" max="9" width="22.7109375" customWidth="1"/>
    <col min="10" max="10" width="14.7109375" customWidth="1"/>
    <col min="11" max="11" width="26.7109375" customWidth="1"/>
    <col min="12" max="12" width="14.7109375" customWidth="1"/>
    <col min="13" max="13" width="15.7109375" customWidth="1"/>
    <col min="14" max="14" width="22.7109375" customWidth="1"/>
    <col min="15" max="16" width="14.7109375" customWidth="1"/>
    <col min="17" max="18" width="13.7109375" customWidth="1"/>
    <col min="19" max="19" width="12.7109375" customWidth="1"/>
    <col min="20" max="20" width="22.7109375" customWidth="1"/>
    <col min="21" max="21" width="7.7109375" hidden="1" customWidth="1"/>
    <col min="22" max="22" width="8.7109375" hidden="1" customWidth="1"/>
    <col min="23" max="23" width="9.7109375" hidden="1" customWidth="1"/>
    <col min="24" max="25" width="10.7109375" hidden="1" customWidth="1"/>
    <col min="26" max="26" width="11.7109375" hidden="1" customWidth="1"/>
  </cols>
  <sheetData>
    <row r="1" spans="1:26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6" ht="18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 ht="38.25" customHeight="1">
      <c r="A3" s="3" t="s">
        <v>34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ht="21.75" customHeight="1">
      <c r="A4" s="4" t="s">
        <v>35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6" ht="3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7" spans="1:26" ht="20.25" customHeight="1">
      <c r="A7" s="6" t="s">
        <v>36</v>
      </c>
      <c r="B7" s="6"/>
      <c r="C7" s="6"/>
      <c r="D7" s="6"/>
      <c r="E7" s="6" t="s">
        <v>37</v>
      </c>
      <c r="F7" s="6"/>
      <c r="G7" s="6"/>
      <c r="H7" s="6"/>
      <c r="I7" s="6" t="s">
        <v>38</v>
      </c>
      <c r="J7" s="6"/>
      <c r="K7" s="6"/>
      <c r="L7" s="6"/>
      <c r="M7" s="6" t="s">
        <v>39</v>
      </c>
      <c r="N7" s="6"/>
      <c r="O7" s="6"/>
      <c r="P7" s="6"/>
      <c r="Q7" s="6" t="s">
        <v>40</v>
      </c>
      <c r="R7" s="6"/>
      <c r="S7" s="6"/>
      <c r="T7" s="6"/>
    </row>
    <row r="8" spans="1:26" ht="33.75" customHeight="1">
      <c r="A8" s="7">
        <f>COUNTA($B$13:$B$152)</f>
        <v>0</v>
      </c>
      <c r="B8" s="7"/>
      <c r="C8" s="7"/>
      <c r="D8" s="7"/>
      <c r="E8" s="8">
        <f>SUM($O$13:$O$152)</f>
        <v>0</v>
      </c>
      <c r="F8" s="8"/>
      <c r="G8" s="8"/>
      <c r="H8" s="8"/>
      <c r="I8" s="9">
        <f>SUM($P$13:$P$152)</f>
        <v>0</v>
      </c>
      <c r="J8" s="9"/>
      <c r="K8" s="9"/>
      <c r="L8" s="9"/>
      <c r="M8" s="23">
        <f>SUM($O$13:$O$152)-SUM($P$13:$P$152)</f>
        <v>0</v>
      </c>
      <c r="N8" s="23"/>
      <c r="O8" s="23"/>
      <c r="P8" s="23"/>
      <c r="Q8" s="24">
        <f>COUNTIF($S$13:$S$152,"⚠*")</f>
        <v>0</v>
      </c>
      <c r="R8" s="24"/>
      <c r="S8" s="24"/>
      <c r="T8" s="24"/>
    </row>
    <row r="9" spans="1:26" ht="33.75" customHeight="1">
      <c r="A9" s="25" t="s">
        <v>41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1" spans="1:26" ht="26.25" customHeight="1">
      <c r="A11" s="11" t="s">
        <v>42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2" t="s">
        <v>8</v>
      </c>
      <c r="T11" s="12"/>
    </row>
    <row r="12" spans="1:26" ht="33.75" customHeight="1">
      <c r="A12" s="26" t="s">
        <v>43</v>
      </c>
      <c r="B12" s="26" t="s">
        <v>44</v>
      </c>
      <c r="C12" s="26" t="s">
        <v>45</v>
      </c>
      <c r="D12" s="26" t="s">
        <v>46</v>
      </c>
      <c r="E12" s="26" t="s">
        <v>47</v>
      </c>
      <c r="F12" s="26" t="s">
        <v>48</v>
      </c>
      <c r="G12" s="26" t="s">
        <v>49</v>
      </c>
      <c r="H12" s="26" t="s">
        <v>50</v>
      </c>
      <c r="I12" s="26" t="s">
        <v>51</v>
      </c>
      <c r="J12" s="26" t="s">
        <v>52</v>
      </c>
      <c r="K12" s="26" t="s">
        <v>53</v>
      </c>
      <c r="L12" s="26" t="s">
        <v>54</v>
      </c>
      <c r="M12" s="26" t="s">
        <v>55</v>
      </c>
      <c r="N12" s="26" t="s">
        <v>56</v>
      </c>
      <c r="O12" s="26" t="s">
        <v>57</v>
      </c>
      <c r="P12" s="26" t="s">
        <v>58</v>
      </c>
      <c r="Q12" s="26" t="s">
        <v>59</v>
      </c>
      <c r="R12" s="26" t="s">
        <v>60</v>
      </c>
      <c r="S12" s="26" t="s">
        <v>61</v>
      </c>
      <c r="T12" s="26" t="s">
        <v>62</v>
      </c>
    </row>
    <row r="13" spans="1:26" ht="21" customHeight="1">
      <c r="A13" s="27">
        <f>IF($B13="","",COUNTA($B$13:$B13))</f>
        <v>0</v>
      </c>
      <c r="B13" s="28" t="s">
        <v>63</v>
      </c>
      <c r="C13" s="28" t="s">
        <v>64</v>
      </c>
      <c r="D13" s="29" t="s">
        <v>65</v>
      </c>
      <c r="E13" s="29" t="s">
        <v>66</v>
      </c>
      <c r="F13" s="29"/>
      <c r="G13" s="28" t="s">
        <v>67</v>
      </c>
      <c r="H13" s="28"/>
      <c r="I13" s="30">
        <f>IF($H13="","",IFERROR(VLOOKUP($H13,AcctTbl,2,0),"کد ناشناخته"))</f>
        <v>0</v>
      </c>
      <c r="J13" s="27">
        <f>IF($H13="","",IFERROR(VLOOKUP($H13,AcctTbl,3,0),""))</f>
        <v>0</v>
      </c>
      <c r="K13" s="29" t="s">
        <v>68</v>
      </c>
      <c r="L13" s="28" t="s">
        <v>64</v>
      </c>
      <c r="M13" s="31">
        <v>120000</v>
      </c>
      <c r="N13" s="29"/>
      <c r="O13" s="32">
        <f>IF($B13="",0,IF($U13="IN",N($M13),0))</f>
        <v>0</v>
      </c>
      <c r="P13" s="32">
        <f>IF($B13="",0,IF(OR($U13="OUT",$U13="TRF"),N($M13),0))</f>
        <v>0</v>
      </c>
      <c r="Q13" s="32">
        <f>IF($B13="",0,IF(OR($U13="OUT",$U13="TRF"),N($M13),0))</f>
        <v>0</v>
      </c>
      <c r="R13" s="32">
        <f>IF($B13="",0,IF($U13="IN",N($M13),0))</f>
        <v>0</v>
      </c>
      <c r="S13" s="33">
        <f>IF($B13="","",IF($M13="","⚠ مبلغ",IF($E13="","⚠ بانک عامل",IF(AND($U13="TRF",$F13=""),"⚠ بانک مقصد",IF(AND($V13&lt;&gt;"NONE",$V13&lt;&gt;"",$Z13=""),"⚠ طرف حساب","✓")))))</f>
        <v>0</v>
      </c>
      <c r="T13" s="29"/>
      <c r="U13" s="27">
        <f>IFERROR(VLOOKUP($D13,BankOpTbl,2,0),"")</f>
        <v>0</v>
      </c>
      <c r="V13" s="27">
        <f>IFERROR(VLOOKUP($D13,BankOpTbl,3,0),"")</f>
        <v>0</v>
      </c>
      <c r="W13" s="27">
        <f>IFERROR(VLOOKUP($D13,BankOpTbl,4,0),"")</f>
        <v>0</v>
      </c>
      <c r="X13" s="27">
        <f>IF($E13="","",IFERROR(VLOOKUP($E13,BankTbl,4,0),""))</f>
        <v>0</v>
      </c>
      <c r="Y13" s="27">
        <f>IF($F13="","",IFERROR(VLOOKUP($F13,BankTbl,4,0),""))</f>
        <v>0</v>
      </c>
      <c r="Z13" s="27">
        <f>IF($B13="","",IF($V13="PICK",LEFT($N13,5),IF($V13="FIXED",$W13,IF($V13="CODE",$H13,""))))</f>
        <v>0</v>
      </c>
    </row>
    <row r="14" spans="1:26" ht="21" customHeight="1">
      <c r="A14" s="27">
        <f>IF($B14="","",COUNTA($B$13:$B14))</f>
        <v>0</v>
      </c>
      <c r="B14" s="28" t="s">
        <v>69</v>
      </c>
      <c r="C14" s="28" t="s">
        <v>70</v>
      </c>
      <c r="D14" s="29" t="s">
        <v>65</v>
      </c>
      <c r="E14" s="29" t="s">
        <v>66</v>
      </c>
      <c r="F14" s="29"/>
      <c r="G14" s="28" t="s">
        <v>67</v>
      </c>
      <c r="H14" s="28"/>
      <c r="I14" s="30">
        <f>IF($H14="","",IFERROR(VLOOKUP($H14,AcctTbl,2,0),"کد ناشناخته"))</f>
        <v>0</v>
      </c>
      <c r="J14" s="27">
        <f>IF($H14="","",IFERROR(VLOOKUP($H14,AcctTbl,3,0),""))</f>
        <v>0</v>
      </c>
      <c r="K14" s="29" t="s">
        <v>68</v>
      </c>
      <c r="L14" s="28" t="s">
        <v>70</v>
      </c>
      <c r="M14" s="31">
        <v>90000</v>
      </c>
      <c r="N14" s="29"/>
      <c r="O14" s="32">
        <f>IF($B14="",0,IF($U14="IN",N($M14),0))</f>
        <v>0</v>
      </c>
      <c r="P14" s="32">
        <f>IF($B14="",0,IF(OR($U14="OUT",$U14="TRF"),N($M14),0))</f>
        <v>0</v>
      </c>
      <c r="Q14" s="32">
        <f>IF($B14="",0,IF(OR($U14="OUT",$U14="TRF"),N($M14),0))</f>
        <v>0</v>
      </c>
      <c r="R14" s="32">
        <f>IF($B14="",0,IF($U14="IN",N($M14),0))</f>
        <v>0</v>
      </c>
      <c r="S14" s="33">
        <f>IF($B14="","",IF($M14="","⚠ مبلغ",IF($E14="","⚠ بانک عامل",IF(AND($U14="TRF",$F14=""),"⚠ بانک مقصد",IF(AND($V14&lt;&gt;"NONE",$V14&lt;&gt;"",$Z14=""),"⚠ طرف حساب","✓")))))</f>
        <v>0</v>
      </c>
      <c r="T14" s="29"/>
      <c r="U14" s="27">
        <f>IFERROR(VLOOKUP($D14,BankOpTbl,2,0),"")</f>
        <v>0</v>
      </c>
      <c r="V14" s="27">
        <f>IFERROR(VLOOKUP($D14,BankOpTbl,3,0),"")</f>
        <v>0</v>
      </c>
      <c r="W14" s="27">
        <f>IFERROR(VLOOKUP($D14,BankOpTbl,4,0),"")</f>
        <v>0</v>
      </c>
      <c r="X14" s="27">
        <f>IF($E14="","",IFERROR(VLOOKUP($E14,BankTbl,4,0),""))</f>
        <v>0</v>
      </c>
      <c r="Y14" s="27">
        <f>IF($F14="","",IFERROR(VLOOKUP($F14,BankTbl,4,0),""))</f>
        <v>0</v>
      </c>
      <c r="Z14" s="27">
        <f>IF($B14="","",IF($V14="PICK",LEFT($N14,5),IF($V14="FIXED",$W14,IF($V14="CODE",$H14,""))))</f>
        <v>0</v>
      </c>
    </row>
    <row r="15" spans="1:26" ht="21" customHeight="1">
      <c r="A15" s="27">
        <f>IF($B15="","",COUNTA($B$13:$B15))</f>
        <v>0</v>
      </c>
      <c r="B15" s="28" t="s">
        <v>71</v>
      </c>
      <c r="C15" s="28" t="s">
        <v>72</v>
      </c>
      <c r="D15" s="29" t="s">
        <v>73</v>
      </c>
      <c r="E15" s="29" t="s">
        <v>66</v>
      </c>
      <c r="F15" s="29"/>
      <c r="G15" s="28" t="s">
        <v>74</v>
      </c>
      <c r="H15" s="28"/>
      <c r="I15" s="30">
        <f>IF($H15="","",IFERROR(VLOOKUP($H15,AcctTbl,2,0),"کد ناشناخته"))</f>
        <v>0</v>
      </c>
      <c r="J15" s="27">
        <f>IF($H15="","",IFERROR(VLOOKUP($H15,AcctTbl,3,0),""))</f>
        <v>0</v>
      </c>
      <c r="K15" s="29" t="s">
        <v>75</v>
      </c>
      <c r="L15" s="28" t="s">
        <v>72</v>
      </c>
      <c r="M15" s="31">
        <v>500000</v>
      </c>
      <c r="N15" s="29"/>
      <c r="O15" s="32">
        <f>IF($B15="",0,IF($U15="IN",N($M15),0))</f>
        <v>0</v>
      </c>
      <c r="P15" s="32">
        <f>IF($B15="",0,IF(OR($U15="OUT",$U15="TRF"),N($M15),0))</f>
        <v>0</v>
      </c>
      <c r="Q15" s="32">
        <f>IF($B15="",0,IF(OR($U15="OUT",$U15="TRF"),N($M15),0))</f>
        <v>0</v>
      </c>
      <c r="R15" s="32">
        <f>IF($B15="",0,IF($U15="IN",N($M15),0))</f>
        <v>0</v>
      </c>
      <c r="S15" s="33">
        <f>IF($B15="","",IF($M15="","⚠ مبلغ",IF($E15="","⚠ بانک عامل",IF(AND($U15="TRF",$F15=""),"⚠ بانک مقصد",IF(AND($V15&lt;&gt;"NONE",$V15&lt;&gt;"",$Z15=""),"⚠ طرف حساب","✓")))))</f>
        <v>0</v>
      </c>
      <c r="T15" s="29"/>
      <c r="U15" s="27">
        <f>IFERROR(VLOOKUP($D15,BankOpTbl,2,0),"")</f>
        <v>0</v>
      </c>
      <c r="V15" s="27">
        <f>IFERROR(VLOOKUP($D15,BankOpTbl,3,0),"")</f>
        <v>0</v>
      </c>
      <c r="W15" s="27">
        <f>IFERROR(VLOOKUP($D15,BankOpTbl,4,0),"")</f>
        <v>0</v>
      </c>
      <c r="X15" s="27">
        <f>IF($E15="","",IFERROR(VLOOKUP($E15,BankTbl,4,0),""))</f>
        <v>0</v>
      </c>
      <c r="Y15" s="27">
        <f>IF($F15="","",IFERROR(VLOOKUP($F15,BankTbl,4,0),""))</f>
        <v>0</v>
      </c>
      <c r="Z15" s="27">
        <f>IF($B15="","",IF($V15="PICK",LEFT($N15,5),IF($V15="FIXED",$W15,IF($V15="CODE",$H15,""))))</f>
        <v>0</v>
      </c>
    </row>
    <row r="16" spans="1:26" ht="21" customHeight="1">
      <c r="A16" s="27">
        <f>IF($B16="","",COUNTA($B$13:$B16))</f>
        <v>0</v>
      </c>
      <c r="B16" s="28" t="s">
        <v>76</v>
      </c>
      <c r="C16" s="28" t="s">
        <v>77</v>
      </c>
      <c r="D16" s="29" t="s">
        <v>78</v>
      </c>
      <c r="E16" s="29" t="s">
        <v>79</v>
      </c>
      <c r="F16" s="29"/>
      <c r="G16" s="28" t="s">
        <v>74</v>
      </c>
      <c r="H16" s="28"/>
      <c r="I16" s="30">
        <f>IF($H16="","",IFERROR(VLOOKUP($H16,AcctTbl,2,0),"کد ناشناخته"))</f>
        <v>0</v>
      </c>
      <c r="J16" s="27">
        <f>IF($H16="","",IFERROR(VLOOKUP($H16,AcctTbl,3,0),""))</f>
        <v>0</v>
      </c>
      <c r="K16" s="29" t="s">
        <v>80</v>
      </c>
      <c r="L16" s="28" t="s">
        <v>77</v>
      </c>
      <c r="M16" s="31">
        <v>300000000</v>
      </c>
      <c r="N16" s="29"/>
      <c r="O16" s="32">
        <f>IF($B16="",0,IF($U16="IN",N($M16),0))</f>
        <v>0</v>
      </c>
      <c r="P16" s="32">
        <f>IF($B16="",0,IF(OR($U16="OUT",$U16="TRF"),N($M16),0))</f>
        <v>0</v>
      </c>
      <c r="Q16" s="32">
        <f>IF($B16="",0,IF(OR($U16="OUT",$U16="TRF"),N($M16),0))</f>
        <v>0</v>
      </c>
      <c r="R16" s="32">
        <f>IF($B16="",0,IF($U16="IN",N($M16),0))</f>
        <v>0</v>
      </c>
      <c r="S16" s="33">
        <f>IF($B16="","",IF($M16="","⚠ مبلغ",IF($E16="","⚠ بانک عامل",IF(AND($U16="TRF",$F16=""),"⚠ بانک مقصد",IF(AND($V16&lt;&gt;"NONE",$V16&lt;&gt;"",$Z16=""),"⚠ طرف حساب","✓")))))</f>
        <v>0</v>
      </c>
      <c r="T16" s="29"/>
      <c r="U16" s="27">
        <f>IFERROR(VLOOKUP($D16,BankOpTbl,2,0),"")</f>
        <v>0</v>
      </c>
      <c r="V16" s="27">
        <f>IFERROR(VLOOKUP($D16,BankOpTbl,3,0),"")</f>
        <v>0</v>
      </c>
      <c r="W16" s="27">
        <f>IFERROR(VLOOKUP($D16,BankOpTbl,4,0),"")</f>
        <v>0</v>
      </c>
      <c r="X16" s="27">
        <f>IF($E16="","",IFERROR(VLOOKUP($E16,BankTbl,4,0),""))</f>
        <v>0</v>
      </c>
      <c r="Y16" s="27">
        <f>IF($F16="","",IFERROR(VLOOKUP($F16,BankTbl,4,0),""))</f>
        <v>0</v>
      </c>
      <c r="Z16" s="27">
        <f>IF($B16="","",IF($V16="PICK",LEFT($N16,5),IF($V16="FIXED",$W16,IF($V16="CODE",$H16,""))))</f>
        <v>0</v>
      </c>
    </row>
    <row r="17" spans="1:26" ht="21" customHeight="1">
      <c r="A17" s="27">
        <f>IF($B17="","",COUNTA($B$13:$B17))</f>
        <v>0</v>
      </c>
      <c r="B17" s="28" t="s">
        <v>81</v>
      </c>
      <c r="C17" s="28" t="s">
        <v>82</v>
      </c>
      <c r="D17" s="29" t="s">
        <v>73</v>
      </c>
      <c r="E17" s="29" t="s">
        <v>66</v>
      </c>
      <c r="F17" s="29"/>
      <c r="G17" s="28" t="s">
        <v>74</v>
      </c>
      <c r="H17" s="28"/>
      <c r="I17" s="30">
        <f>IF($H17="","",IFERROR(VLOOKUP($H17,AcctTbl,2,0),"کد ناشناخته"))</f>
        <v>0</v>
      </c>
      <c r="J17" s="27">
        <f>IF($H17="","",IFERROR(VLOOKUP($H17,AcctTbl,3,0),""))</f>
        <v>0</v>
      </c>
      <c r="K17" s="29" t="s">
        <v>83</v>
      </c>
      <c r="L17" s="28" t="s">
        <v>82</v>
      </c>
      <c r="M17" s="31">
        <v>80000000</v>
      </c>
      <c r="N17" s="29"/>
      <c r="O17" s="32">
        <f>IF($B17="",0,IF($U17="IN",N($M17),0))</f>
        <v>0</v>
      </c>
      <c r="P17" s="32">
        <f>IF($B17="",0,IF(OR($U17="OUT",$U17="TRF"),N($M17),0))</f>
        <v>0</v>
      </c>
      <c r="Q17" s="32">
        <f>IF($B17="",0,IF(OR($U17="OUT",$U17="TRF"),N($M17),0))</f>
        <v>0</v>
      </c>
      <c r="R17" s="32">
        <f>IF($B17="",0,IF($U17="IN",N($M17),0))</f>
        <v>0</v>
      </c>
      <c r="S17" s="33">
        <f>IF($B17="","",IF($M17="","⚠ مبلغ",IF($E17="","⚠ بانک عامل",IF(AND($U17="TRF",$F17=""),"⚠ بانک مقصد",IF(AND($V17&lt;&gt;"NONE",$V17&lt;&gt;"",$Z17=""),"⚠ طرف حساب","✓")))))</f>
        <v>0</v>
      </c>
      <c r="T17" s="29"/>
      <c r="U17" s="27">
        <f>IFERROR(VLOOKUP($D17,BankOpTbl,2,0),"")</f>
        <v>0</v>
      </c>
      <c r="V17" s="27">
        <f>IFERROR(VLOOKUP($D17,BankOpTbl,3,0),"")</f>
        <v>0</v>
      </c>
      <c r="W17" s="27">
        <f>IFERROR(VLOOKUP($D17,BankOpTbl,4,0),"")</f>
        <v>0</v>
      </c>
      <c r="X17" s="27">
        <f>IF($E17="","",IFERROR(VLOOKUP($E17,BankTbl,4,0),""))</f>
        <v>0</v>
      </c>
      <c r="Y17" s="27">
        <f>IF($F17="","",IFERROR(VLOOKUP($F17,BankTbl,4,0),""))</f>
        <v>0</v>
      </c>
      <c r="Z17" s="27">
        <f>IF($B17="","",IF($V17="PICK",LEFT($N17,5),IF($V17="FIXED",$W17,IF($V17="CODE",$H17,""))))</f>
        <v>0</v>
      </c>
    </row>
    <row r="18" spans="1:26" ht="21" customHeight="1">
      <c r="A18" s="27">
        <f>IF($B18="","",COUNTA($B$13:$B18))</f>
        <v>0</v>
      </c>
      <c r="B18" s="28" t="s">
        <v>84</v>
      </c>
      <c r="C18" s="28" t="s">
        <v>85</v>
      </c>
      <c r="D18" s="29" t="s">
        <v>78</v>
      </c>
      <c r="E18" s="29" t="s">
        <v>66</v>
      </c>
      <c r="F18" s="29"/>
      <c r="G18" s="28" t="s">
        <v>74</v>
      </c>
      <c r="H18" s="28"/>
      <c r="I18" s="30">
        <f>IF($H18="","",IFERROR(VLOOKUP($H18,AcctTbl,2,0),"کد ناشناخته"))</f>
        <v>0</v>
      </c>
      <c r="J18" s="27">
        <f>IF($H18="","",IFERROR(VLOOKUP($H18,AcctTbl,3,0),""))</f>
        <v>0</v>
      </c>
      <c r="K18" s="29" t="s">
        <v>86</v>
      </c>
      <c r="L18" s="28" t="s">
        <v>85</v>
      </c>
      <c r="M18" s="31">
        <v>120000000</v>
      </c>
      <c r="N18" s="29"/>
      <c r="O18" s="32">
        <f>IF($B18="",0,IF($U18="IN",N($M18),0))</f>
        <v>0</v>
      </c>
      <c r="P18" s="32">
        <f>IF($B18="",0,IF(OR($U18="OUT",$U18="TRF"),N($M18),0))</f>
        <v>0</v>
      </c>
      <c r="Q18" s="32">
        <f>IF($B18="",0,IF(OR($U18="OUT",$U18="TRF"),N($M18),0))</f>
        <v>0</v>
      </c>
      <c r="R18" s="32">
        <f>IF($B18="",0,IF($U18="IN",N($M18),0))</f>
        <v>0</v>
      </c>
      <c r="S18" s="33">
        <f>IF($B18="","",IF($M18="","⚠ مبلغ",IF($E18="","⚠ بانک عامل",IF(AND($U18="TRF",$F18=""),"⚠ بانک مقصد",IF(AND($V18&lt;&gt;"NONE",$V18&lt;&gt;"",$Z18=""),"⚠ طرف حساب","✓")))))</f>
        <v>0</v>
      </c>
      <c r="T18" s="29"/>
      <c r="U18" s="27">
        <f>IFERROR(VLOOKUP($D18,BankOpTbl,2,0),"")</f>
        <v>0</v>
      </c>
      <c r="V18" s="27">
        <f>IFERROR(VLOOKUP($D18,BankOpTbl,3,0),"")</f>
        <v>0</v>
      </c>
      <c r="W18" s="27">
        <f>IFERROR(VLOOKUP($D18,BankOpTbl,4,0),"")</f>
        <v>0</v>
      </c>
      <c r="X18" s="27">
        <f>IF($E18="","",IFERROR(VLOOKUP($E18,BankTbl,4,0),""))</f>
        <v>0</v>
      </c>
      <c r="Y18" s="27">
        <f>IF($F18="","",IFERROR(VLOOKUP($F18,BankTbl,4,0),""))</f>
        <v>0</v>
      </c>
      <c r="Z18" s="27">
        <f>IF($B18="","",IF($V18="PICK",LEFT($N18,5),IF($V18="FIXED",$W18,IF($V18="CODE",$H18,""))))</f>
        <v>0</v>
      </c>
    </row>
    <row r="19" spans="1:26" ht="21" customHeight="1">
      <c r="A19" s="27">
        <f>IF($B19="","",COUNTA($B$13:$B19))</f>
        <v>0</v>
      </c>
      <c r="B19" s="28" t="s">
        <v>84</v>
      </c>
      <c r="C19" s="28" t="s">
        <v>87</v>
      </c>
      <c r="D19" s="29" t="s">
        <v>65</v>
      </c>
      <c r="E19" s="29" t="s">
        <v>66</v>
      </c>
      <c r="F19" s="29"/>
      <c r="G19" s="28" t="s">
        <v>67</v>
      </c>
      <c r="H19" s="28"/>
      <c r="I19" s="30">
        <f>IF($H19="","",IFERROR(VLOOKUP($H19,AcctTbl,2,0),"کد ناشناخته"))</f>
        <v>0</v>
      </c>
      <c r="J19" s="27">
        <f>IF($H19="","",IFERROR(VLOOKUP($H19,AcctTbl,3,0),""))</f>
        <v>0</v>
      </c>
      <c r="K19" s="29" t="s">
        <v>68</v>
      </c>
      <c r="L19" s="28" t="s">
        <v>87</v>
      </c>
      <c r="M19" s="31">
        <v>80000</v>
      </c>
      <c r="N19" s="29"/>
      <c r="O19" s="32">
        <f>IF($B19="",0,IF($U19="IN",N($M19),0))</f>
        <v>0</v>
      </c>
      <c r="P19" s="32">
        <f>IF($B19="",0,IF(OR($U19="OUT",$U19="TRF"),N($M19),0))</f>
        <v>0</v>
      </c>
      <c r="Q19" s="32">
        <f>IF($B19="",0,IF(OR($U19="OUT",$U19="TRF"),N($M19),0))</f>
        <v>0</v>
      </c>
      <c r="R19" s="32">
        <f>IF($B19="",0,IF($U19="IN",N($M19),0))</f>
        <v>0</v>
      </c>
      <c r="S19" s="33">
        <f>IF($B19="","",IF($M19="","⚠ مبلغ",IF($E19="","⚠ بانک عامل",IF(AND($U19="TRF",$F19=""),"⚠ بانک مقصد",IF(AND($V19&lt;&gt;"NONE",$V19&lt;&gt;"",$Z19=""),"⚠ طرف حساب","✓")))))</f>
        <v>0</v>
      </c>
      <c r="T19" s="29"/>
      <c r="U19" s="27">
        <f>IFERROR(VLOOKUP($D19,BankOpTbl,2,0),"")</f>
        <v>0</v>
      </c>
      <c r="V19" s="27">
        <f>IFERROR(VLOOKUP($D19,BankOpTbl,3,0),"")</f>
        <v>0</v>
      </c>
      <c r="W19" s="27">
        <f>IFERROR(VLOOKUP($D19,BankOpTbl,4,0),"")</f>
        <v>0</v>
      </c>
      <c r="X19" s="27">
        <f>IF($E19="","",IFERROR(VLOOKUP($E19,BankTbl,4,0),""))</f>
        <v>0</v>
      </c>
      <c r="Y19" s="27">
        <f>IF($F19="","",IFERROR(VLOOKUP($F19,BankTbl,4,0),""))</f>
        <v>0</v>
      </c>
      <c r="Z19" s="27">
        <f>IF($B19="","",IF($V19="PICK",LEFT($N19,5),IF($V19="FIXED",$W19,IF($V19="CODE",$H19,""))))</f>
        <v>0</v>
      </c>
    </row>
    <row r="20" spans="1:26" ht="21" customHeight="1">
      <c r="A20" s="27">
        <f>IF($B20="","",COUNTA($B$13:$B20))</f>
        <v>0</v>
      </c>
      <c r="B20" s="28" t="s">
        <v>88</v>
      </c>
      <c r="C20" s="28" t="s">
        <v>89</v>
      </c>
      <c r="D20" s="29" t="s">
        <v>73</v>
      </c>
      <c r="E20" s="29" t="s">
        <v>79</v>
      </c>
      <c r="F20" s="29"/>
      <c r="G20" s="28" t="s">
        <v>74</v>
      </c>
      <c r="H20" s="28"/>
      <c r="I20" s="30">
        <f>IF($H20="","",IFERROR(VLOOKUP($H20,AcctTbl,2,0),"کد ناشناخته"))</f>
        <v>0</v>
      </c>
      <c r="J20" s="27">
        <f>IF($H20="","",IFERROR(VLOOKUP($H20,AcctTbl,3,0),""))</f>
        <v>0</v>
      </c>
      <c r="K20" s="29" t="s">
        <v>90</v>
      </c>
      <c r="L20" s="28" t="s">
        <v>89</v>
      </c>
      <c r="M20" s="31">
        <v>200000000</v>
      </c>
      <c r="N20" s="29"/>
      <c r="O20" s="32">
        <f>IF($B20="",0,IF($U20="IN",N($M20),0))</f>
        <v>0</v>
      </c>
      <c r="P20" s="32">
        <f>IF($B20="",0,IF(OR($U20="OUT",$U20="TRF"),N($M20),0))</f>
        <v>0</v>
      </c>
      <c r="Q20" s="32">
        <f>IF($B20="",0,IF(OR($U20="OUT",$U20="TRF"),N($M20),0))</f>
        <v>0</v>
      </c>
      <c r="R20" s="32">
        <f>IF($B20="",0,IF($U20="IN",N($M20),0))</f>
        <v>0</v>
      </c>
      <c r="S20" s="33">
        <f>IF($B20="","",IF($M20="","⚠ مبلغ",IF($E20="","⚠ بانک عامل",IF(AND($U20="TRF",$F20=""),"⚠ بانک مقصد",IF(AND($V20&lt;&gt;"NONE",$V20&lt;&gt;"",$Z20=""),"⚠ طرف حساب","✓")))))</f>
        <v>0</v>
      </c>
      <c r="T20" s="29"/>
      <c r="U20" s="27">
        <f>IFERROR(VLOOKUP($D20,BankOpTbl,2,0),"")</f>
        <v>0</v>
      </c>
      <c r="V20" s="27">
        <f>IFERROR(VLOOKUP($D20,BankOpTbl,3,0),"")</f>
        <v>0</v>
      </c>
      <c r="W20" s="27">
        <f>IFERROR(VLOOKUP($D20,BankOpTbl,4,0),"")</f>
        <v>0</v>
      </c>
      <c r="X20" s="27">
        <f>IF($E20="","",IFERROR(VLOOKUP($E20,BankTbl,4,0),""))</f>
        <v>0</v>
      </c>
      <c r="Y20" s="27">
        <f>IF($F20="","",IFERROR(VLOOKUP($F20,BankTbl,4,0),""))</f>
        <v>0</v>
      </c>
      <c r="Z20" s="27">
        <f>IF($B20="","",IF($V20="PICK",LEFT($N20,5),IF($V20="FIXED",$W20,IF($V20="CODE",$H20,""))))</f>
        <v>0</v>
      </c>
    </row>
    <row r="21" spans="1:26" ht="21" customHeight="1">
      <c r="A21" s="27">
        <f>IF($B21="","",COUNTA($B$13:$B21))</f>
        <v>0</v>
      </c>
      <c r="B21" s="28" t="s">
        <v>91</v>
      </c>
      <c r="C21" s="28" t="s">
        <v>92</v>
      </c>
      <c r="D21" s="29" t="s">
        <v>78</v>
      </c>
      <c r="E21" s="29" t="s">
        <v>66</v>
      </c>
      <c r="F21" s="29"/>
      <c r="G21" s="28" t="s">
        <v>74</v>
      </c>
      <c r="H21" s="28"/>
      <c r="I21" s="30">
        <f>IF($H21="","",IFERROR(VLOOKUP($H21,AcctTbl,2,0),"کد ناشناخته"))</f>
        <v>0</v>
      </c>
      <c r="J21" s="27">
        <f>IF($H21="","",IFERROR(VLOOKUP($H21,AcctTbl,3,0),""))</f>
        <v>0</v>
      </c>
      <c r="K21" s="29" t="s">
        <v>86</v>
      </c>
      <c r="L21" s="28" t="s">
        <v>92</v>
      </c>
      <c r="M21" s="31">
        <v>100000000</v>
      </c>
      <c r="N21" s="29"/>
      <c r="O21" s="32">
        <f>IF($B21="",0,IF($U21="IN",N($M21),0))</f>
        <v>0</v>
      </c>
      <c r="P21" s="32">
        <f>IF($B21="",0,IF(OR($U21="OUT",$U21="TRF"),N($M21),0))</f>
        <v>0</v>
      </c>
      <c r="Q21" s="32">
        <f>IF($B21="",0,IF(OR($U21="OUT",$U21="TRF"),N($M21),0))</f>
        <v>0</v>
      </c>
      <c r="R21" s="32">
        <f>IF($B21="",0,IF($U21="IN",N($M21),0))</f>
        <v>0</v>
      </c>
      <c r="S21" s="33">
        <f>IF($B21="","",IF($M21="","⚠ مبلغ",IF($E21="","⚠ بانک عامل",IF(AND($U21="TRF",$F21=""),"⚠ بانک مقصد",IF(AND($V21&lt;&gt;"NONE",$V21&lt;&gt;"",$Z21=""),"⚠ طرف حساب","✓")))))</f>
        <v>0</v>
      </c>
      <c r="T21" s="29"/>
      <c r="U21" s="27">
        <f>IFERROR(VLOOKUP($D21,BankOpTbl,2,0),"")</f>
        <v>0</v>
      </c>
      <c r="V21" s="27">
        <f>IFERROR(VLOOKUP($D21,BankOpTbl,3,0),"")</f>
        <v>0</v>
      </c>
      <c r="W21" s="27">
        <f>IFERROR(VLOOKUP($D21,BankOpTbl,4,0),"")</f>
        <v>0</v>
      </c>
      <c r="X21" s="27">
        <f>IF($E21="","",IFERROR(VLOOKUP($E21,BankTbl,4,0),""))</f>
        <v>0</v>
      </c>
      <c r="Y21" s="27">
        <f>IF($F21="","",IFERROR(VLOOKUP($F21,BankTbl,4,0),""))</f>
        <v>0</v>
      </c>
      <c r="Z21" s="27">
        <f>IF($B21="","",IF($V21="PICK",LEFT($N21,5),IF($V21="FIXED",$W21,IF($V21="CODE",$H21,""))))</f>
        <v>0</v>
      </c>
    </row>
    <row r="22" spans="1:26" ht="21" customHeight="1">
      <c r="A22" s="27">
        <f>IF($B22="","",COUNTA($B$13:$B22))</f>
        <v>0</v>
      </c>
      <c r="B22" s="28" t="s">
        <v>91</v>
      </c>
      <c r="C22" s="28" t="s">
        <v>93</v>
      </c>
      <c r="D22" s="29" t="s">
        <v>65</v>
      </c>
      <c r="E22" s="29" t="s">
        <v>66</v>
      </c>
      <c r="F22" s="29"/>
      <c r="G22" s="28" t="s">
        <v>67</v>
      </c>
      <c r="H22" s="28"/>
      <c r="I22" s="30">
        <f>IF($H22="","",IFERROR(VLOOKUP($H22,AcctTbl,2,0),"کد ناشناخته"))</f>
        <v>0</v>
      </c>
      <c r="J22" s="27">
        <f>IF($H22="","",IFERROR(VLOOKUP($H22,AcctTbl,3,0),""))</f>
        <v>0</v>
      </c>
      <c r="K22" s="29" t="s">
        <v>94</v>
      </c>
      <c r="L22" s="28" t="s">
        <v>93</v>
      </c>
      <c r="M22" s="31">
        <v>300000</v>
      </c>
      <c r="N22" s="29"/>
      <c r="O22" s="32">
        <f>IF($B22="",0,IF($U22="IN",N($M22),0))</f>
        <v>0</v>
      </c>
      <c r="P22" s="32">
        <f>IF($B22="",0,IF(OR($U22="OUT",$U22="TRF"),N($M22),0))</f>
        <v>0</v>
      </c>
      <c r="Q22" s="32">
        <f>IF($B22="",0,IF(OR($U22="OUT",$U22="TRF"),N($M22),0))</f>
        <v>0</v>
      </c>
      <c r="R22" s="32">
        <f>IF($B22="",0,IF($U22="IN",N($M22),0))</f>
        <v>0</v>
      </c>
      <c r="S22" s="33">
        <f>IF($B22="","",IF($M22="","⚠ مبلغ",IF($E22="","⚠ بانک عامل",IF(AND($U22="TRF",$F22=""),"⚠ بانک مقصد",IF(AND($V22&lt;&gt;"NONE",$V22&lt;&gt;"",$Z22=""),"⚠ طرف حساب","✓")))))</f>
        <v>0</v>
      </c>
      <c r="T22" s="29"/>
      <c r="U22" s="27">
        <f>IFERROR(VLOOKUP($D22,BankOpTbl,2,0),"")</f>
        <v>0</v>
      </c>
      <c r="V22" s="27">
        <f>IFERROR(VLOOKUP($D22,BankOpTbl,3,0),"")</f>
        <v>0</v>
      </c>
      <c r="W22" s="27">
        <f>IFERROR(VLOOKUP($D22,BankOpTbl,4,0),"")</f>
        <v>0</v>
      </c>
      <c r="X22" s="27">
        <f>IF($E22="","",IFERROR(VLOOKUP($E22,BankTbl,4,0),""))</f>
        <v>0</v>
      </c>
      <c r="Y22" s="27">
        <f>IF($F22="","",IFERROR(VLOOKUP($F22,BankTbl,4,0),""))</f>
        <v>0</v>
      </c>
      <c r="Z22" s="27">
        <f>IF($B22="","",IF($V22="PICK",LEFT($N22,5),IF($V22="FIXED",$W22,IF($V22="CODE",$H22,""))))</f>
        <v>0</v>
      </c>
    </row>
    <row r="23" spans="1:26" ht="21" customHeight="1">
      <c r="A23" s="27">
        <f>IF($B23="","",COUNTA($B$13:$B23))</f>
        <v>0</v>
      </c>
      <c r="B23" s="28" t="s">
        <v>95</v>
      </c>
      <c r="C23" s="28" t="s">
        <v>96</v>
      </c>
      <c r="D23" s="29" t="s">
        <v>78</v>
      </c>
      <c r="E23" s="29" t="s">
        <v>79</v>
      </c>
      <c r="F23" s="29"/>
      <c r="G23" s="28" t="s">
        <v>74</v>
      </c>
      <c r="H23" s="28"/>
      <c r="I23" s="30">
        <f>IF($H23="","",IFERROR(VLOOKUP($H23,AcctTbl,2,0),"کد ناشناخته"))</f>
        <v>0</v>
      </c>
      <c r="J23" s="27">
        <f>IF($H23="","",IFERROR(VLOOKUP($H23,AcctTbl,3,0),""))</f>
        <v>0</v>
      </c>
      <c r="K23" s="29" t="s">
        <v>86</v>
      </c>
      <c r="L23" s="28" t="s">
        <v>96</v>
      </c>
      <c r="M23" s="31">
        <v>50000000</v>
      </c>
      <c r="N23" s="29"/>
      <c r="O23" s="32">
        <f>IF($B23="",0,IF($U23="IN",N($M23),0))</f>
        <v>0</v>
      </c>
      <c r="P23" s="32">
        <f>IF($B23="",0,IF(OR($U23="OUT",$U23="TRF"),N($M23),0))</f>
        <v>0</v>
      </c>
      <c r="Q23" s="32">
        <f>IF($B23="",0,IF(OR($U23="OUT",$U23="TRF"),N($M23),0))</f>
        <v>0</v>
      </c>
      <c r="R23" s="32">
        <f>IF($B23="",0,IF($U23="IN",N($M23),0))</f>
        <v>0</v>
      </c>
      <c r="S23" s="33">
        <f>IF($B23="","",IF($M23="","⚠ مبلغ",IF($E23="","⚠ بانک عامل",IF(AND($U23="TRF",$F23=""),"⚠ بانک مقصد",IF(AND($V23&lt;&gt;"NONE",$V23&lt;&gt;"",$Z23=""),"⚠ طرف حساب","✓")))))</f>
        <v>0</v>
      </c>
      <c r="T23" s="29"/>
      <c r="U23" s="27">
        <f>IFERROR(VLOOKUP($D23,BankOpTbl,2,0),"")</f>
        <v>0</v>
      </c>
      <c r="V23" s="27">
        <f>IFERROR(VLOOKUP($D23,BankOpTbl,3,0),"")</f>
        <v>0</v>
      </c>
      <c r="W23" s="27">
        <f>IFERROR(VLOOKUP($D23,BankOpTbl,4,0),"")</f>
        <v>0</v>
      </c>
      <c r="X23" s="27">
        <f>IF($E23="","",IFERROR(VLOOKUP($E23,BankTbl,4,0),""))</f>
        <v>0</v>
      </c>
      <c r="Y23" s="27">
        <f>IF($F23="","",IFERROR(VLOOKUP($F23,BankTbl,4,0),""))</f>
        <v>0</v>
      </c>
      <c r="Z23" s="27">
        <f>IF($B23="","",IF($V23="PICK",LEFT($N23,5),IF($V23="FIXED",$W23,IF($V23="CODE",$H23,""))))</f>
        <v>0</v>
      </c>
    </row>
    <row r="24" spans="1:26" ht="21" customHeight="1">
      <c r="A24" s="27">
        <f>IF($B24="","",COUNTA($B$13:$B24))</f>
        <v>0</v>
      </c>
      <c r="B24" s="28" t="s">
        <v>97</v>
      </c>
      <c r="C24" s="28" t="s">
        <v>98</v>
      </c>
      <c r="D24" s="29" t="s">
        <v>99</v>
      </c>
      <c r="E24" s="29" t="s">
        <v>79</v>
      </c>
      <c r="F24" s="29" t="s">
        <v>100</v>
      </c>
      <c r="G24" s="28" t="s">
        <v>74</v>
      </c>
      <c r="H24" s="28"/>
      <c r="I24" s="30">
        <f>IF($H24="","",IFERROR(VLOOKUP($H24,AcctTbl,2,0),"کد ناشناخته"))</f>
        <v>0</v>
      </c>
      <c r="J24" s="27">
        <f>IF($H24="","",IFERROR(VLOOKUP($H24,AcctTbl,3,0),""))</f>
        <v>0</v>
      </c>
      <c r="K24" s="29" t="s">
        <v>101</v>
      </c>
      <c r="L24" s="28" t="s">
        <v>102</v>
      </c>
      <c r="M24" s="31">
        <v>50000000</v>
      </c>
      <c r="N24" s="29"/>
      <c r="O24" s="32">
        <f>IF($B24="",0,IF($U24="IN",N($M24),0))</f>
        <v>0</v>
      </c>
      <c r="P24" s="32">
        <f>IF($B24="",0,IF(OR($U24="OUT",$U24="TRF"),N($M24),0))</f>
        <v>0</v>
      </c>
      <c r="Q24" s="32">
        <f>IF($B24="",0,IF(OR($U24="OUT",$U24="TRF"),N($M24),0))</f>
        <v>0</v>
      </c>
      <c r="R24" s="32">
        <f>IF($B24="",0,IF($U24="IN",N($M24),0))</f>
        <v>0</v>
      </c>
      <c r="S24" s="33">
        <f>IF($B24="","",IF($M24="","⚠ مبلغ",IF($E24="","⚠ بانک عامل",IF(AND($U24="TRF",$F24=""),"⚠ بانک مقصد",IF(AND($V24&lt;&gt;"NONE",$V24&lt;&gt;"",$Z24=""),"⚠ طرف حساب","✓")))))</f>
        <v>0</v>
      </c>
      <c r="T24" s="29"/>
      <c r="U24" s="27">
        <f>IFERROR(VLOOKUP($D24,BankOpTbl,2,0),"")</f>
        <v>0</v>
      </c>
      <c r="V24" s="27">
        <f>IFERROR(VLOOKUP($D24,BankOpTbl,3,0),"")</f>
        <v>0</v>
      </c>
      <c r="W24" s="27">
        <f>IFERROR(VLOOKUP($D24,BankOpTbl,4,0),"")</f>
        <v>0</v>
      </c>
      <c r="X24" s="27">
        <f>IF($E24="","",IFERROR(VLOOKUP($E24,BankTbl,4,0),""))</f>
        <v>0</v>
      </c>
      <c r="Y24" s="27">
        <f>IF($F24="","",IFERROR(VLOOKUP($F24,BankTbl,4,0),""))</f>
        <v>0</v>
      </c>
      <c r="Z24" s="27">
        <f>IF($B24="","",IF($V24="PICK",LEFT($N24,5),IF($V24="FIXED",$W24,IF($V24="CODE",$H24,""))))</f>
        <v>0</v>
      </c>
    </row>
    <row r="25" spans="1:26" ht="21" customHeight="1">
      <c r="A25" s="27">
        <f>IF($B25="","",COUNTA($B$13:$B25))</f>
        <v>0</v>
      </c>
      <c r="B25" s="28"/>
      <c r="C25" s="28"/>
      <c r="D25" s="29"/>
      <c r="E25" s="29"/>
      <c r="F25" s="29"/>
      <c r="G25" s="28"/>
      <c r="H25" s="28"/>
      <c r="I25" s="30">
        <f>IF($H25="","",IFERROR(VLOOKUP($H25,AcctTbl,2,0),"کد ناشناخته"))</f>
        <v>0</v>
      </c>
      <c r="J25" s="27">
        <f>IF($H25="","",IFERROR(VLOOKUP($H25,AcctTbl,3,0),""))</f>
        <v>0</v>
      </c>
      <c r="K25" s="29"/>
      <c r="L25" s="28"/>
      <c r="M25" s="31"/>
      <c r="N25" s="29"/>
      <c r="O25" s="32">
        <f>IF($B25="",0,IF($U25="IN",N($M25),0))</f>
        <v>0</v>
      </c>
      <c r="P25" s="32">
        <f>IF($B25="",0,IF(OR($U25="OUT",$U25="TRF"),N($M25),0))</f>
        <v>0</v>
      </c>
      <c r="Q25" s="32">
        <f>IF($B25="",0,IF(OR($U25="OUT",$U25="TRF"),N($M25),0))</f>
        <v>0</v>
      </c>
      <c r="R25" s="32">
        <f>IF($B25="",0,IF($U25="IN",N($M25),0))</f>
        <v>0</v>
      </c>
      <c r="S25" s="33">
        <f>IF($B25="","",IF($M25="","⚠ مبلغ",IF($E25="","⚠ بانک عامل",IF(AND($U25="TRF",$F25=""),"⚠ بانک مقصد",IF(AND($V25&lt;&gt;"NONE",$V25&lt;&gt;"",$Z25=""),"⚠ طرف حساب","✓")))))</f>
        <v>0</v>
      </c>
      <c r="T25" s="29"/>
      <c r="U25" s="27">
        <f>IFERROR(VLOOKUP($D25,BankOpTbl,2,0),"")</f>
        <v>0</v>
      </c>
      <c r="V25" s="27">
        <f>IFERROR(VLOOKUP($D25,BankOpTbl,3,0),"")</f>
        <v>0</v>
      </c>
      <c r="W25" s="27">
        <f>IFERROR(VLOOKUP($D25,BankOpTbl,4,0),"")</f>
        <v>0</v>
      </c>
      <c r="X25" s="27">
        <f>IF($E25="","",IFERROR(VLOOKUP($E25,BankTbl,4,0),""))</f>
        <v>0</v>
      </c>
      <c r="Y25" s="27">
        <f>IF($F25="","",IFERROR(VLOOKUP($F25,BankTbl,4,0),""))</f>
        <v>0</v>
      </c>
      <c r="Z25" s="27">
        <f>IF($B25="","",IF($V25="PICK",LEFT($N25,5),IF($V25="FIXED",$W25,IF($V25="CODE",$H25,""))))</f>
        <v>0</v>
      </c>
    </row>
    <row r="26" spans="1:26" ht="21" customHeight="1">
      <c r="A26" s="27">
        <f>IF($B26="","",COUNTA($B$13:$B26))</f>
        <v>0</v>
      </c>
      <c r="B26" s="28"/>
      <c r="C26" s="28"/>
      <c r="D26" s="29"/>
      <c r="E26" s="29"/>
      <c r="F26" s="29"/>
      <c r="G26" s="28"/>
      <c r="H26" s="28"/>
      <c r="I26" s="30">
        <f>IF($H26="","",IFERROR(VLOOKUP($H26,AcctTbl,2,0),"کد ناشناخته"))</f>
        <v>0</v>
      </c>
      <c r="J26" s="27">
        <f>IF($H26="","",IFERROR(VLOOKUP($H26,AcctTbl,3,0),""))</f>
        <v>0</v>
      </c>
      <c r="K26" s="29"/>
      <c r="L26" s="28"/>
      <c r="M26" s="31"/>
      <c r="N26" s="29"/>
      <c r="O26" s="32">
        <f>IF($B26="",0,IF($U26="IN",N($M26),0))</f>
        <v>0</v>
      </c>
      <c r="P26" s="32">
        <f>IF($B26="",0,IF(OR($U26="OUT",$U26="TRF"),N($M26),0))</f>
        <v>0</v>
      </c>
      <c r="Q26" s="32">
        <f>IF($B26="",0,IF(OR($U26="OUT",$U26="TRF"),N($M26),0))</f>
        <v>0</v>
      </c>
      <c r="R26" s="32">
        <f>IF($B26="",0,IF($U26="IN",N($M26),0))</f>
        <v>0</v>
      </c>
      <c r="S26" s="33">
        <f>IF($B26="","",IF($M26="","⚠ مبلغ",IF($E26="","⚠ بانک عامل",IF(AND($U26="TRF",$F26=""),"⚠ بانک مقصد",IF(AND($V26&lt;&gt;"NONE",$V26&lt;&gt;"",$Z26=""),"⚠ طرف حساب","✓")))))</f>
        <v>0</v>
      </c>
      <c r="T26" s="29"/>
      <c r="U26" s="27">
        <f>IFERROR(VLOOKUP($D26,BankOpTbl,2,0),"")</f>
        <v>0</v>
      </c>
      <c r="V26" s="27">
        <f>IFERROR(VLOOKUP($D26,BankOpTbl,3,0),"")</f>
        <v>0</v>
      </c>
      <c r="W26" s="27">
        <f>IFERROR(VLOOKUP($D26,BankOpTbl,4,0),"")</f>
        <v>0</v>
      </c>
      <c r="X26" s="27">
        <f>IF($E26="","",IFERROR(VLOOKUP($E26,BankTbl,4,0),""))</f>
        <v>0</v>
      </c>
      <c r="Y26" s="27">
        <f>IF($F26="","",IFERROR(VLOOKUP($F26,BankTbl,4,0),""))</f>
        <v>0</v>
      </c>
      <c r="Z26" s="27">
        <f>IF($B26="","",IF($V26="PICK",LEFT($N26,5),IF($V26="FIXED",$W26,IF($V26="CODE",$H26,""))))</f>
        <v>0</v>
      </c>
    </row>
    <row r="27" spans="1:26" ht="21" customHeight="1">
      <c r="A27" s="27">
        <f>IF($B27="","",COUNTA($B$13:$B27))</f>
        <v>0</v>
      </c>
      <c r="B27" s="28"/>
      <c r="C27" s="28"/>
      <c r="D27" s="29"/>
      <c r="E27" s="29"/>
      <c r="F27" s="29"/>
      <c r="G27" s="28"/>
      <c r="H27" s="28"/>
      <c r="I27" s="30">
        <f>IF($H27="","",IFERROR(VLOOKUP($H27,AcctTbl,2,0),"کد ناشناخته"))</f>
        <v>0</v>
      </c>
      <c r="J27" s="27">
        <f>IF($H27="","",IFERROR(VLOOKUP($H27,AcctTbl,3,0),""))</f>
        <v>0</v>
      </c>
      <c r="K27" s="29"/>
      <c r="L27" s="28"/>
      <c r="M27" s="31"/>
      <c r="N27" s="29"/>
      <c r="O27" s="32">
        <f>IF($B27="",0,IF($U27="IN",N($M27),0))</f>
        <v>0</v>
      </c>
      <c r="P27" s="32">
        <f>IF($B27="",0,IF(OR($U27="OUT",$U27="TRF"),N($M27),0))</f>
        <v>0</v>
      </c>
      <c r="Q27" s="32">
        <f>IF($B27="",0,IF(OR($U27="OUT",$U27="TRF"),N($M27),0))</f>
        <v>0</v>
      </c>
      <c r="R27" s="32">
        <f>IF($B27="",0,IF($U27="IN",N($M27),0))</f>
        <v>0</v>
      </c>
      <c r="S27" s="33">
        <f>IF($B27="","",IF($M27="","⚠ مبلغ",IF($E27="","⚠ بانک عامل",IF(AND($U27="TRF",$F27=""),"⚠ بانک مقصد",IF(AND($V27&lt;&gt;"NONE",$V27&lt;&gt;"",$Z27=""),"⚠ طرف حساب","✓")))))</f>
        <v>0</v>
      </c>
      <c r="T27" s="29"/>
      <c r="U27" s="27">
        <f>IFERROR(VLOOKUP($D27,BankOpTbl,2,0),"")</f>
        <v>0</v>
      </c>
      <c r="V27" s="27">
        <f>IFERROR(VLOOKUP($D27,BankOpTbl,3,0),"")</f>
        <v>0</v>
      </c>
      <c r="W27" s="27">
        <f>IFERROR(VLOOKUP($D27,BankOpTbl,4,0),"")</f>
        <v>0</v>
      </c>
      <c r="X27" s="27">
        <f>IF($E27="","",IFERROR(VLOOKUP($E27,BankTbl,4,0),""))</f>
        <v>0</v>
      </c>
      <c r="Y27" s="27">
        <f>IF($F27="","",IFERROR(VLOOKUP($F27,BankTbl,4,0),""))</f>
        <v>0</v>
      </c>
      <c r="Z27" s="27">
        <f>IF($B27="","",IF($V27="PICK",LEFT($N27,5),IF($V27="FIXED",$W27,IF($V27="CODE",$H27,""))))</f>
        <v>0</v>
      </c>
    </row>
    <row r="28" spans="1:26" ht="21" customHeight="1">
      <c r="A28" s="27">
        <f>IF($B28="","",COUNTA($B$13:$B28))</f>
        <v>0</v>
      </c>
      <c r="B28" s="28"/>
      <c r="C28" s="28"/>
      <c r="D28" s="29"/>
      <c r="E28" s="29"/>
      <c r="F28" s="29"/>
      <c r="G28" s="28"/>
      <c r="H28" s="28"/>
      <c r="I28" s="30">
        <f>IF($H28="","",IFERROR(VLOOKUP($H28,AcctTbl,2,0),"کد ناشناخته"))</f>
        <v>0</v>
      </c>
      <c r="J28" s="27">
        <f>IF($H28="","",IFERROR(VLOOKUP($H28,AcctTbl,3,0),""))</f>
        <v>0</v>
      </c>
      <c r="K28" s="29"/>
      <c r="L28" s="28"/>
      <c r="M28" s="31"/>
      <c r="N28" s="29"/>
      <c r="O28" s="32">
        <f>IF($B28="",0,IF($U28="IN",N($M28),0))</f>
        <v>0</v>
      </c>
      <c r="P28" s="32">
        <f>IF($B28="",0,IF(OR($U28="OUT",$U28="TRF"),N($M28),0))</f>
        <v>0</v>
      </c>
      <c r="Q28" s="32">
        <f>IF($B28="",0,IF(OR($U28="OUT",$U28="TRF"),N($M28),0))</f>
        <v>0</v>
      </c>
      <c r="R28" s="32">
        <f>IF($B28="",0,IF($U28="IN",N($M28),0))</f>
        <v>0</v>
      </c>
      <c r="S28" s="33">
        <f>IF($B28="","",IF($M28="","⚠ مبلغ",IF($E28="","⚠ بانک عامل",IF(AND($U28="TRF",$F28=""),"⚠ بانک مقصد",IF(AND($V28&lt;&gt;"NONE",$V28&lt;&gt;"",$Z28=""),"⚠ طرف حساب","✓")))))</f>
        <v>0</v>
      </c>
      <c r="T28" s="29"/>
      <c r="U28" s="27">
        <f>IFERROR(VLOOKUP($D28,BankOpTbl,2,0),"")</f>
        <v>0</v>
      </c>
      <c r="V28" s="27">
        <f>IFERROR(VLOOKUP($D28,BankOpTbl,3,0),"")</f>
        <v>0</v>
      </c>
      <c r="W28" s="27">
        <f>IFERROR(VLOOKUP($D28,BankOpTbl,4,0),"")</f>
        <v>0</v>
      </c>
      <c r="X28" s="27">
        <f>IF($E28="","",IFERROR(VLOOKUP($E28,BankTbl,4,0),""))</f>
        <v>0</v>
      </c>
      <c r="Y28" s="27">
        <f>IF($F28="","",IFERROR(VLOOKUP($F28,BankTbl,4,0),""))</f>
        <v>0</v>
      </c>
      <c r="Z28" s="27">
        <f>IF($B28="","",IF($V28="PICK",LEFT($N28,5),IF($V28="FIXED",$W28,IF($V28="CODE",$H28,""))))</f>
        <v>0</v>
      </c>
    </row>
    <row r="29" spans="1:26" ht="21" customHeight="1">
      <c r="A29" s="27">
        <f>IF($B29="","",COUNTA($B$13:$B29))</f>
        <v>0</v>
      </c>
      <c r="B29" s="28"/>
      <c r="C29" s="28"/>
      <c r="D29" s="29"/>
      <c r="E29" s="29"/>
      <c r="F29" s="29"/>
      <c r="G29" s="28"/>
      <c r="H29" s="28"/>
      <c r="I29" s="30">
        <f>IF($H29="","",IFERROR(VLOOKUP($H29,AcctTbl,2,0),"کد ناشناخته"))</f>
        <v>0</v>
      </c>
      <c r="J29" s="27">
        <f>IF($H29="","",IFERROR(VLOOKUP($H29,AcctTbl,3,0),""))</f>
        <v>0</v>
      </c>
      <c r="K29" s="29"/>
      <c r="L29" s="28"/>
      <c r="M29" s="31"/>
      <c r="N29" s="29"/>
      <c r="O29" s="32">
        <f>IF($B29="",0,IF($U29="IN",N($M29),0))</f>
        <v>0</v>
      </c>
      <c r="P29" s="32">
        <f>IF($B29="",0,IF(OR($U29="OUT",$U29="TRF"),N($M29),0))</f>
        <v>0</v>
      </c>
      <c r="Q29" s="32">
        <f>IF($B29="",0,IF(OR($U29="OUT",$U29="TRF"),N($M29),0))</f>
        <v>0</v>
      </c>
      <c r="R29" s="32">
        <f>IF($B29="",0,IF($U29="IN",N($M29),0))</f>
        <v>0</v>
      </c>
      <c r="S29" s="33">
        <f>IF($B29="","",IF($M29="","⚠ مبلغ",IF($E29="","⚠ بانک عامل",IF(AND($U29="TRF",$F29=""),"⚠ بانک مقصد",IF(AND($V29&lt;&gt;"NONE",$V29&lt;&gt;"",$Z29=""),"⚠ طرف حساب","✓")))))</f>
        <v>0</v>
      </c>
      <c r="T29" s="29"/>
      <c r="U29" s="27">
        <f>IFERROR(VLOOKUP($D29,BankOpTbl,2,0),"")</f>
        <v>0</v>
      </c>
      <c r="V29" s="27">
        <f>IFERROR(VLOOKUP($D29,BankOpTbl,3,0),"")</f>
        <v>0</v>
      </c>
      <c r="W29" s="27">
        <f>IFERROR(VLOOKUP($D29,BankOpTbl,4,0),"")</f>
        <v>0</v>
      </c>
      <c r="X29" s="27">
        <f>IF($E29="","",IFERROR(VLOOKUP($E29,BankTbl,4,0),""))</f>
        <v>0</v>
      </c>
      <c r="Y29" s="27">
        <f>IF($F29="","",IFERROR(VLOOKUP($F29,BankTbl,4,0),""))</f>
        <v>0</v>
      </c>
      <c r="Z29" s="27">
        <f>IF($B29="","",IF($V29="PICK",LEFT($N29,5),IF($V29="FIXED",$W29,IF($V29="CODE",$H29,""))))</f>
        <v>0</v>
      </c>
    </row>
    <row r="30" spans="1:26" ht="21" customHeight="1">
      <c r="A30" s="27">
        <f>IF($B30="","",COUNTA($B$13:$B30))</f>
        <v>0</v>
      </c>
      <c r="B30" s="28"/>
      <c r="C30" s="28"/>
      <c r="D30" s="29"/>
      <c r="E30" s="29"/>
      <c r="F30" s="29"/>
      <c r="G30" s="28"/>
      <c r="H30" s="28"/>
      <c r="I30" s="30">
        <f>IF($H30="","",IFERROR(VLOOKUP($H30,AcctTbl,2,0),"کد ناشناخته"))</f>
        <v>0</v>
      </c>
      <c r="J30" s="27">
        <f>IF($H30="","",IFERROR(VLOOKUP($H30,AcctTbl,3,0),""))</f>
        <v>0</v>
      </c>
      <c r="K30" s="29"/>
      <c r="L30" s="28"/>
      <c r="M30" s="31"/>
      <c r="N30" s="29"/>
      <c r="O30" s="32">
        <f>IF($B30="",0,IF($U30="IN",N($M30),0))</f>
        <v>0</v>
      </c>
      <c r="P30" s="32">
        <f>IF($B30="",0,IF(OR($U30="OUT",$U30="TRF"),N($M30),0))</f>
        <v>0</v>
      </c>
      <c r="Q30" s="32">
        <f>IF($B30="",0,IF(OR($U30="OUT",$U30="TRF"),N($M30),0))</f>
        <v>0</v>
      </c>
      <c r="R30" s="32">
        <f>IF($B30="",0,IF($U30="IN",N($M30),0))</f>
        <v>0</v>
      </c>
      <c r="S30" s="33">
        <f>IF($B30="","",IF($M30="","⚠ مبلغ",IF($E30="","⚠ بانک عامل",IF(AND($U30="TRF",$F30=""),"⚠ بانک مقصد",IF(AND($V30&lt;&gt;"NONE",$V30&lt;&gt;"",$Z30=""),"⚠ طرف حساب","✓")))))</f>
        <v>0</v>
      </c>
      <c r="T30" s="29"/>
      <c r="U30" s="27">
        <f>IFERROR(VLOOKUP($D30,BankOpTbl,2,0),"")</f>
        <v>0</v>
      </c>
      <c r="V30" s="27">
        <f>IFERROR(VLOOKUP($D30,BankOpTbl,3,0),"")</f>
        <v>0</v>
      </c>
      <c r="W30" s="27">
        <f>IFERROR(VLOOKUP($D30,BankOpTbl,4,0),"")</f>
        <v>0</v>
      </c>
      <c r="X30" s="27">
        <f>IF($E30="","",IFERROR(VLOOKUP($E30,BankTbl,4,0),""))</f>
        <v>0</v>
      </c>
      <c r="Y30" s="27">
        <f>IF($F30="","",IFERROR(VLOOKUP($F30,BankTbl,4,0),""))</f>
        <v>0</v>
      </c>
      <c r="Z30" s="27">
        <f>IF($B30="","",IF($V30="PICK",LEFT($N30,5),IF($V30="FIXED",$W30,IF($V30="CODE",$H30,""))))</f>
        <v>0</v>
      </c>
    </row>
    <row r="31" spans="1:26" ht="21" customHeight="1">
      <c r="A31" s="27">
        <f>IF($B31="","",COUNTA($B$13:$B31))</f>
        <v>0</v>
      </c>
      <c r="B31" s="28"/>
      <c r="C31" s="28"/>
      <c r="D31" s="29"/>
      <c r="E31" s="29"/>
      <c r="F31" s="29"/>
      <c r="G31" s="28"/>
      <c r="H31" s="28"/>
      <c r="I31" s="30">
        <f>IF($H31="","",IFERROR(VLOOKUP($H31,AcctTbl,2,0),"کد ناشناخته"))</f>
        <v>0</v>
      </c>
      <c r="J31" s="27">
        <f>IF($H31="","",IFERROR(VLOOKUP($H31,AcctTbl,3,0),""))</f>
        <v>0</v>
      </c>
      <c r="K31" s="29"/>
      <c r="L31" s="28"/>
      <c r="M31" s="31"/>
      <c r="N31" s="29"/>
      <c r="O31" s="32">
        <f>IF($B31="",0,IF($U31="IN",N($M31),0))</f>
        <v>0</v>
      </c>
      <c r="P31" s="32">
        <f>IF($B31="",0,IF(OR($U31="OUT",$U31="TRF"),N($M31),0))</f>
        <v>0</v>
      </c>
      <c r="Q31" s="32">
        <f>IF($B31="",0,IF(OR($U31="OUT",$U31="TRF"),N($M31),0))</f>
        <v>0</v>
      </c>
      <c r="R31" s="32">
        <f>IF($B31="",0,IF($U31="IN",N($M31),0))</f>
        <v>0</v>
      </c>
      <c r="S31" s="33">
        <f>IF($B31="","",IF($M31="","⚠ مبلغ",IF($E31="","⚠ بانک عامل",IF(AND($U31="TRF",$F31=""),"⚠ بانک مقصد",IF(AND($V31&lt;&gt;"NONE",$V31&lt;&gt;"",$Z31=""),"⚠ طرف حساب","✓")))))</f>
        <v>0</v>
      </c>
      <c r="T31" s="29"/>
      <c r="U31" s="27">
        <f>IFERROR(VLOOKUP($D31,BankOpTbl,2,0),"")</f>
        <v>0</v>
      </c>
      <c r="V31" s="27">
        <f>IFERROR(VLOOKUP($D31,BankOpTbl,3,0),"")</f>
        <v>0</v>
      </c>
      <c r="W31" s="27">
        <f>IFERROR(VLOOKUP($D31,BankOpTbl,4,0),"")</f>
        <v>0</v>
      </c>
      <c r="X31" s="27">
        <f>IF($E31="","",IFERROR(VLOOKUP($E31,BankTbl,4,0),""))</f>
        <v>0</v>
      </c>
      <c r="Y31" s="27">
        <f>IF($F31="","",IFERROR(VLOOKUP($F31,BankTbl,4,0),""))</f>
        <v>0</v>
      </c>
      <c r="Z31" s="27">
        <f>IF($B31="","",IF($V31="PICK",LEFT($N31,5),IF($V31="FIXED",$W31,IF($V31="CODE",$H31,""))))</f>
        <v>0</v>
      </c>
    </row>
    <row r="32" spans="1:26" ht="21" customHeight="1">
      <c r="A32" s="27">
        <f>IF($B32="","",COUNTA($B$13:$B32))</f>
        <v>0</v>
      </c>
      <c r="B32" s="28"/>
      <c r="C32" s="28"/>
      <c r="D32" s="29"/>
      <c r="E32" s="29"/>
      <c r="F32" s="29"/>
      <c r="G32" s="28"/>
      <c r="H32" s="28"/>
      <c r="I32" s="30">
        <f>IF($H32="","",IFERROR(VLOOKUP($H32,AcctTbl,2,0),"کد ناشناخته"))</f>
        <v>0</v>
      </c>
      <c r="J32" s="27">
        <f>IF($H32="","",IFERROR(VLOOKUP($H32,AcctTbl,3,0),""))</f>
        <v>0</v>
      </c>
      <c r="K32" s="29"/>
      <c r="L32" s="28"/>
      <c r="M32" s="31"/>
      <c r="N32" s="29"/>
      <c r="O32" s="32">
        <f>IF($B32="",0,IF($U32="IN",N($M32),0))</f>
        <v>0</v>
      </c>
      <c r="P32" s="32">
        <f>IF($B32="",0,IF(OR($U32="OUT",$U32="TRF"),N($M32),0))</f>
        <v>0</v>
      </c>
      <c r="Q32" s="32">
        <f>IF($B32="",0,IF(OR($U32="OUT",$U32="TRF"),N($M32),0))</f>
        <v>0</v>
      </c>
      <c r="R32" s="32">
        <f>IF($B32="",0,IF($U32="IN",N($M32),0))</f>
        <v>0</v>
      </c>
      <c r="S32" s="33">
        <f>IF($B32="","",IF($M32="","⚠ مبلغ",IF($E32="","⚠ بانک عامل",IF(AND($U32="TRF",$F32=""),"⚠ بانک مقصد",IF(AND($V32&lt;&gt;"NONE",$V32&lt;&gt;"",$Z32=""),"⚠ طرف حساب","✓")))))</f>
        <v>0</v>
      </c>
      <c r="T32" s="29"/>
      <c r="U32" s="27">
        <f>IFERROR(VLOOKUP($D32,BankOpTbl,2,0),"")</f>
        <v>0</v>
      </c>
      <c r="V32" s="27">
        <f>IFERROR(VLOOKUP($D32,BankOpTbl,3,0),"")</f>
        <v>0</v>
      </c>
      <c r="W32" s="27">
        <f>IFERROR(VLOOKUP($D32,BankOpTbl,4,0),"")</f>
        <v>0</v>
      </c>
      <c r="X32" s="27">
        <f>IF($E32="","",IFERROR(VLOOKUP($E32,BankTbl,4,0),""))</f>
        <v>0</v>
      </c>
      <c r="Y32" s="27">
        <f>IF($F32="","",IFERROR(VLOOKUP($F32,BankTbl,4,0),""))</f>
        <v>0</v>
      </c>
      <c r="Z32" s="27">
        <f>IF($B32="","",IF($V32="PICK",LEFT($N32,5),IF($V32="FIXED",$W32,IF($V32="CODE",$H32,""))))</f>
        <v>0</v>
      </c>
    </row>
    <row r="33" spans="1:26" ht="21" customHeight="1">
      <c r="A33" s="27">
        <f>IF($B33="","",COUNTA($B$13:$B33))</f>
        <v>0</v>
      </c>
      <c r="B33" s="28"/>
      <c r="C33" s="28"/>
      <c r="D33" s="29"/>
      <c r="E33" s="29"/>
      <c r="F33" s="29"/>
      <c r="G33" s="28"/>
      <c r="H33" s="28"/>
      <c r="I33" s="30">
        <f>IF($H33="","",IFERROR(VLOOKUP($H33,AcctTbl,2,0),"کد ناشناخته"))</f>
        <v>0</v>
      </c>
      <c r="J33" s="27">
        <f>IF($H33="","",IFERROR(VLOOKUP($H33,AcctTbl,3,0),""))</f>
        <v>0</v>
      </c>
      <c r="K33" s="29"/>
      <c r="L33" s="28"/>
      <c r="M33" s="31"/>
      <c r="N33" s="29"/>
      <c r="O33" s="32">
        <f>IF($B33="",0,IF($U33="IN",N($M33),0))</f>
        <v>0</v>
      </c>
      <c r="P33" s="32">
        <f>IF($B33="",0,IF(OR($U33="OUT",$U33="TRF"),N($M33),0))</f>
        <v>0</v>
      </c>
      <c r="Q33" s="32">
        <f>IF($B33="",0,IF(OR($U33="OUT",$U33="TRF"),N($M33),0))</f>
        <v>0</v>
      </c>
      <c r="R33" s="32">
        <f>IF($B33="",0,IF($U33="IN",N($M33),0))</f>
        <v>0</v>
      </c>
      <c r="S33" s="33">
        <f>IF($B33="","",IF($M33="","⚠ مبلغ",IF($E33="","⚠ بانک عامل",IF(AND($U33="TRF",$F33=""),"⚠ بانک مقصد",IF(AND($V33&lt;&gt;"NONE",$V33&lt;&gt;"",$Z33=""),"⚠ طرف حساب","✓")))))</f>
        <v>0</v>
      </c>
      <c r="T33" s="29"/>
      <c r="U33" s="27">
        <f>IFERROR(VLOOKUP($D33,BankOpTbl,2,0),"")</f>
        <v>0</v>
      </c>
      <c r="V33" s="27">
        <f>IFERROR(VLOOKUP($D33,BankOpTbl,3,0),"")</f>
        <v>0</v>
      </c>
      <c r="W33" s="27">
        <f>IFERROR(VLOOKUP($D33,BankOpTbl,4,0),"")</f>
        <v>0</v>
      </c>
      <c r="X33" s="27">
        <f>IF($E33="","",IFERROR(VLOOKUP($E33,BankTbl,4,0),""))</f>
        <v>0</v>
      </c>
      <c r="Y33" s="27">
        <f>IF($F33="","",IFERROR(VLOOKUP($F33,BankTbl,4,0),""))</f>
        <v>0</v>
      </c>
      <c r="Z33" s="27">
        <f>IF($B33="","",IF($V33="PICK",LEFT($N33,5),IF($V33="FIXED",$W33,IF($V33="CODE",$H33,""))))</f>
        <v>0</v>
      </c>
    </row>
    <row r="34" spans="1:26" ht="21" customHeight="1">
      <c r="A34" s="27">
        <f>IF($B34="","",COUNTA($B$13:$B34))</f>
        <v>0</v>
      </c>
      <c r="B34" s="28"/>
      <c r="C34" s="28"/>
      <c r="D34" s="29"/>
      <c r="E34" s="29"/>
      <c r="F34" s="29"/>
      <c r="G34" s="28"/>
      <c r="H34" s="28"/>
      <c r="I34" s="30">
        <f>IF($H34="","",IFERROR(VLOOKUP($H34,AcctTbl,2,0),"کد ناشناخته"))</f>
        <v>0</v>
      </c>
      <c r="J34" s="27">
        <f>IF($H34="","",IFERROR(VLOOKUP($H34,AcctTbl,3,0),""))</f>
        <v>0</v>
      </c>
      <c r="K34" s="29"/>
      <c r="L34" s="28"/>
      <c r="M34" s="31"/>
      <c r="N34" s="29"/>
      <c r="O34" s="32">
        <f>IF($B34="",0,IF($U34="IN",N($M34),0))</f>
        <v>0</v>
      </c>
      <c r="P34" s="32">
        <f>IF($B34="",0,IF(OR($U34="OUT",$U34="TRF"),N($M34),0))</f>
        <v>0</v>
      </c>
      <c r="Q34" s="32">
        <f>IF($B34="",0,IF(OR($U34="OUT",$U34="TRF"),N($M34),0))</f>
        <v>0</v>
      </c>
      <c r="R34" s="32">
        <f>IF($B34="",0,IF($U34="IN",N($M34),0))</f>
        <v>0</v>
      </c>
      <c r="S34" s="33">
        <f>IF($B34="","",IF($M34="","⚠ مبلغ",IF($E34="","⚠ بانک عامل",IF(AND($U34="TRF",$F34=""),"⚠ بانک مقصد",IF(AND($V34&lt;&gt;"NONE",$V34&lt;&gt;"",$Z34=""),"⚠ طرف حساب","✓")))))</f>
        <v>0</v>
      </c>
      <c r="T34" s="29"/>
      <c r="U34" s="27">
        <f>IFERROR(VLOOKUP($D34,BankOpTbl,2,0),"")</f>
        <v>0</v>
      </c>
      <c r="V34" s="27">
        <f>IFERROR(VLOOKUP($D34,BankOpTbl,3,0),"")</f>
        <v>0</v>
      </c>
      <c r="W34" s="27">
        <f>IFERROR(VLOOKUP($D34,BankOpTbl,4,0),"")</f>
        <v>0</v>
      </c>
      <c r="X34" s="27">
        <f>IF($E34="","",IFERROR(VLOOKUP($E34,BankTbl,4,0),""))</f>
        <v>0</v>
      </c>
      <c r="Y34" s="27">
        <f>IF($F34="","",IFERROR(VLOOKUP($F34,BankTbl,4,0),""))</f>
        <v>0</v>
      </c>
      <c r="Z34" s="27">
        <f>IF($B34="","",IF($V34="PICK",LEFT($N34,5),IF($V34="FIXED",$W34,IF($V34="CODE",$H34,""))))</f>
        <v>0</v>
      </c>
    </row>
    <row r="35" spans="1:26" ht="21" customHeight="1">
      <c r="A35" s="27">
        <f>IF($B35="","",COUNTA($B$13:$B35))</f>
        <v>0</v>
      </c>
      <c r="B35" s="28"/>
      <c r="C35" s="28"/>
      <c r="D35" s="29"/>
      <c r="E35" s="29"/>
      <c r="F35" s="29"/>
      <c r="G35" s="28"/>
      <c r="H35" s="28"/>
      <c r="I35" s="30">
        <f>IF($H35="","",IFERROR(VLOOKUP($H35,AcctTbl,2,0),"کد ناشناخته"))</f>
        <v>0</v>
      </c>
      <c r="J35" s="27">
        <f>IF($H35="","",IFERROR(VLOOKUP($H35,AcctTbl,3,0),""))</f>
        <v>0</v>
      </c>
      <c r="K35" s="29"/>
      <c r="L35" s="28"/>
      <c r="M35" s="31"/>
      <c r="N35" s="29"/>
      <c r="O35" s="32">
        <f>IF($B35="",0,IF($U35="IN",N($M35),0))</f>
        <v>0</v>
      </c>
      <c r="P35" s="32">
        <f>IF($B35="",0,IF(OR($U35="OUT",$U35="TRF"),N($M35),0))</f>
        <v>0</v>
      </c>
      <c r="Q35" s="32">
        <f>IF($B35="",0,IF(OR($U35="OUT",$U35="TRF"),N($M35),0))</f>
        <v>0</v>
      </c>
      <c r="R35" s="32">
        <f>IF($B35="",0,IF($U35="IN",N($M35),0))</f>
        <v>0</v>
      </c>
      <c r="S35" s="33">
        <f>IF($B35="","",IF($M35="","⚠ مبلغ",IF($E35="","⚠ بانک عامل",IF(AND($U35="TRF",$F35=""),"⚠ بانک مقصد",IF(AND($V35&lt;&gt;"NONE",$V35&lt;&gt;"",$Z35=""),"⚠ طرف حساب","✓")))))</f>
        <v>0</v>
      </c>
      <c r="T35" s="29"/>
      <c r="U35" s="27">
        <f>IFERROR(VLOOKUP($D35,BankOpTbl,2,0),"")</f>
        <v>0</v>
      </c>
      <c r="V35" s="27">
        <f>IFERROR(VLOOKUP($D35,BankOpTbl,3,0),"")</f>
        <v>0</v>
      </c>
      <c r="W35" s="27">
        <f>IFERROR(VLOOKUP($D35,BankOpTbl,4,0),"")</f>
        <v>0</v>
      </c>
      <c r="X35" s="27">
        <f>IF($E35="","",IFERROR(VLOOKUP($E35,BankTbl,4,0),""))</f>
        <v>0</v>
      </c>
      <c r="Y35" s="27">
        <f>IF($F35="","",IFERROR(VLOOKUP($F35,BankTbl,4,0),""))</f>
        <v>0</v>
      </c>
      <c r="Z35" s="27">
        <f>IF($B35="","",IF($V35="PICK",LEFT($N35,5),IF($V35="FIXED",$W35,IF($V35="CODE",$H35,""))))</f>
        <v>0</v>
      </c>
    </row>
    <row r="36" spans="1:26" ht="21" customHeight="1">
      <c r="A36" s="27">
        <f>IF($B36="","",COUNTA($B$13:$B36))</f>
        <v>0</v>
      </c>
      <c r="B36" s="28"/>
      <c r="C36" s="28"/>
      <c r="D36" s="29"/>
      <c r="E36" s="29"/>
      <c r="F36" s="29"/>
      <c r="G36" s="28"/>
      <c r="H36" s="28"/>
      <c r="I36" s="30">
        <f>IF($H36="","",IFERROR(VLOOKUP($H36,AcctTbl,2,0),"کد ناشناخته"))</f>
        <v>0</v>
      </c>
      <c r="J36" s="27">
        <f>IF($H36="","",IFERROR(VLOOKUP($H36,AcctTbl,3,0),""))</f>
        <v>0</v>
      </c>
      <c r="K36" s="29"/>
      <c r="L36" s="28"/>
      <c r="M36" s="31"/>
      <c r="N36" s="29"/>
      <c r="O36" s="32">
        <f>IF($B36="",0,IF($U36="IN",N($M36),0))</f>
        <v>0</v>
      </c>
      <c r="P36" s="32">
        <f>IF($B36="",0,IF(OR($U36="OUT",$U36="TRF"),N($M36),0))</f>
        <v>0</v>
      </c>
      <c r="Q36" s="32">
        <f>IF($B36="",0,IF(OR($U36="OUT",$U36="TRF"),N($M36),0))</f>
        <v>0</v>
      </c>
      <c r="R36" s="32">
        <f>IF($B36="",0,IF($U36="IN",N($M36),0))</f>
        <v>0</v>
      </c>
      <c r="S36" s="33">
        <f>IF($B36="","",IF($M36="","⚠ مبلغ",IF($E36="","⚠ بانک عامل",IF(AND($U36="TRF",$F36=""),"⚠ بانک مقصد",IF(AND($V36&lt;&gt;"NONE",$V36&lt;&gt;"",$Z36=""),"⚠ طرف حساب","✓")))))</f>
        <v>0</v>
      </c>
      <c r="T36" s="29"/>
      <c r="U36" s="27">
        <f>IFERROR(VLOOKUP($D36,BankOpTbl,2,0),"")</f>
        <v>0</v>
      </c>
      <c r="V36" s="27">
        <f>IFERROR(VLOOKUP($D36,BankOpTbl,3,0),"")</f>
        <v>0</v>
      </c>
      <c r="W36" s="27">
        <f>IFERROR(VLOOKUP($D36,BankOpTbl,4,0),"")</f>
        <v>0</v>
      </c>
      <c r="X36" s="27">
        <f>IF($E36="","",IFERROR(VLOOKUP($E36,BankTbl,4,0),""))</f>
        <v>0</v>
      </c>
      <c r="Y36" s="27">
        <f>IF($F36="","",IFERROR(VLOOKUP($F36,BankTbl,4,0),""))</f>
        <v>0</v>
      </c>
      <c r="Z36" s="27">
        <f>IF($B36="","",IF($V36="PICK",LEFT($N36,5),IF($V36="FIXED",$W36,IF($V36="CODE",$H36,""))))</f>
        <v>0</v>
      </c>
    </row>
    <row r="37" spans="1:26" ht="21" customHeight="1">
      <c r="A37" s="27">
        <f>IF($B37="","",COUNTA($B$13:$B37))</f>
        <v>0</v>
      </c>
      <c r="B37" s="28"/>
      <c r="C37" s="28"/>
      <c r="D37" s="29"/>
      <c r="E37" s="29"/>
      <c r="F37" s="29"/>
      <c r="G37" s="28"/>
      <c r="H37" s="28"/>
      <c r="I37" s="30">
        <f>IF($H37="","",IFERROR(VLOOKUP($H37,AcctTbl,2,0),"کد ناشناخته"))</f>
        <v>0</v>
      </c>
      <c r="J37" s="27">
        <f>IF($H37="","",IFERROR(VLOOKUP($H37,AcctTbl,3,0),""))</f>
        <v>0</v>
      </c>
      <c r="K37" s="29"/>
      <c r="L37" s="28"/>
      <c r="M37" s="31"/>
      <c r="N37" s="29"/>
      <c r="O37" s="32">
        <f>IF($B37="",0,IF($U37="IN",N($M37),0))</f>
        <v>0</v>
      </c>
      <c r="P37" s="32">
        <f>IF($B37="",0,IF(OR($U37="OUT",$U37="TRF"),N($M37),0))</f>
        <v>0</v>
      </c>
      <c r="Q37" s="32">
        <f>IF($B37="",0,IF(OR($U37="OUT",$U37="TRF"),N($M37),0))</f>
        <v>0</v>
      </c>
      <c r="R37" s="32">
        <f>IF($B37="",0,IF($U37="IN",N($M37),0))</f>
        <v>0</v>
      </c>
      <c r="S37" s="33">
        <f>IF($B37="","",IF($M37="","⚠ مبلغ",IF($E37="","⚠ بانک عامل",IF(AND($U37="TRF",$F37=""),"⚠ بانک مقصد",IF(AND($V37&lt;&gt;"NONE",$V37&lt;&gt;"",$Z37=""),"⚠ طرف حساب","✓")))))</f>
        <v>0</v>
      </c>
      <c r="T37" s="29"/>
      <c r="U37" s="27">
        <f>IFERROR(VLOOKUP($D37,BankOpTbl,2,0),"")</f>
        <v>0</v>
      </c>
      <c r="V37" s="27">
        <f>IFERROR(VLOOKUP($D37,BankOpTbl,3,0),"")</f>
        <v>0</v>
      </c>
      <c r="W37" s="27">
        <f>IFERROR(VLOOKUP($D37,BankOpTbl,4,0),"")</f>
        <v>0</v>
      </c>
      <c r="X37" s="27">
        <f>IF($E37="","",IFERROR(VLOOKUP($E37,BankTbl,4,0),""))</f>
        <v>0</v>
      </c>
      <c r="Y37" s="27">
        <f>IF($F37="","",IFERROR(VLOOKUP($F37,BankTbl,4,0),""))</f>
        <v>0</v>
      </c>
      <c r="Z37" s="27">
        <f>IF($B37="","",IF($V37="PICK",LEFT($N37,5),IF($V37="FIXED",$W37,IF($V37="CODE",$H37,""))))</f>
        <v>0</v>
      </c>
    </row>
    <row r="38" spans="1:26" ht="21" customHeight="1">
      <c r="A38" s="27">
        <f>IF($B38="","",COUNTA($B$13:$B38))</f>
        <v>0</v>
      </c>
      <c r="B38" s="28"/>
      <c r="C38" s="28"/>
      <c r="D38" s="29"/>
      <c r="E38" s="29"/>
      <c r="F38" s="29"/>
      <c r="G38" s="28"/>
      <c r="H38" s="28"/>
      <c r="I38" s="30">
        <f>IF($H38="","",IFERROR(VLOOKUP($H38,AcctTbl,2,0),"کد ناشناخته"))</f>
        <v>0</v>
      </c>
      <c r="J38" s="27">
        <f>IF($H38="","",IFERROR(VLOOKUP($H38,AcctTbl,3,0),""))</f>
        <v>0</v>
      </c>
      <c r="K38" s="29"/>
      <c r="L38" s="28"/>
      <c r="M38" s="31"/>
      <c r="N38" s="29"/>
      <c r="O38" s="32">
        <f>IF($B38="",0,IF($U38="IN",N($M38),0))</f>
        <v>0</v>
      </c>
      <c r="P38" s="32">
        <f>IF($B38="",0,IF(OR($U38="OUT",$U38="TRF"),N($M38),0))</f>
        <v>0</v>
      </c>
      <c r="Q38" s="32">
        <f>IF($B38="",0,IF(OR($U38="OUT",$U38="TRF"),N($M38),0))</f>
        <v>0</v>
      </c>
      <c r="R38" s="32">
        <f>IF($B38="",0,IF($U38="IN",N($M38),0))</f>
        <v>0</v>
      </c>
      <c r="S38" s="33">
        <f>IF($B38="","",IF($M38="","⚠ مبلغ",IF($E38="","⚠ بانک عامل",IF(AND($U38="TRF",$F38=""),"⚠ بانک مقصد",IF(AND($V38&lt;&gt;"NONE",$V38&lt;&gt;"",$Z38=""),"⚠ طرف حساب","✓")))))</f>
        <v>0</v>
      </c>
      <c r="T38" s="29"/>
      <c r="U38" s="27">
        <f>IFERROR(VLOOKUP($D38,BankOpTbl,2,0),"")</f>
        <v>0</v>
      </c>
      <c r="V38" s="27">
        <f>IFERROR(VLOOKUP($D38,BankOpTbl,3,0),"")</f>
        <v>0</v>
      </c>
      <c r="W38" s="27">
        <f>IFERROR(VLOOKUP($D38,BankOpTbl,4,0),"")</f>
        <v>0</v>
      </c>
      <c r="X38" s="27">
        <f>IF($E38="","",IFERROR(VLOOKUP($E38,BankTbl,4,0),""))</f>
        <v>0</v>
      </c>
      <c r="Y38" s="27">
        <f>IF($F38="","",IFERROR(VLOOKUP($F38,BankTbl,4,0),""))</f>
        <v>0</v>
      </c>
      <c r="Z38" s="27">
        <f>IF($B38="","",IF($V38="PICK",LEFT($N38,5),IF($V38="FIXED",$W38,IF($V38="CODE",$H38,""))))</f>
        <v>0</v>
      </c>
    </row>
    <row r="39" spans="1:26" ht="21" customHeight="1">
      <c r="A39" s="27">
        <f>IF($B39="","",COUNTA($B$13:$B39))</f>
        <v>0</v>
      </c>
      <c r="B39" s="28"/>
      <c r="C39" s="28"/>
      <c r="D39" s="29"/>
      <c r="E39" s="29"/>
      <c r="F39" s="29"/>
      <c r="G39" s="28"/>
      <c r="H39" s="28"/>
      <c r="I39" s="30">
        <f>IF($H39="","",IFERROR(VLOOKUP($H39,AcctTbl,2,0),"کد ناشناخته"))</f>
        <v>0</v>
      </c>
      <c r="J39" s="27">
        <f>IF($H39="","",IFERROR(VLOOKUP($H39,AcctTbl,3,0),""))</f>
        <v>0</v>
      </c>
      <c r="K39" s="29"/>
      <c r="L39" s="28"/>
      <c r="M39" s="31"/>
      <c r="N39" s="29"/>
      <c r="O39" s="32">
        <f>IF($B39="",0,IF($U39="IN",N($M39),0))</f>
        <v>0</v>
      </c>
      <c r="P39" s="32">
        <f>IF($B39="",0,IF(OR($U39="OUT",$U39="TRF"),N($M39),0))</f>
        <v>0</v>
      </c>
      <c r="Q39" s="32">
        <f>IF($B39="",0,IF(OR($U39="OUT",$U39="TRF"),N($M39),0))</f>
        <v>0</v>
      </c>
      <c r="R39" s="32">
        <f>IF($B39="",0,IF($U39="IN",N($M39),0))</f>
        <v>0</v>
      </c>
      <c r="S39" s="33">
        <f>IF($B39="","",IF($M39="","⚠ مبلغ",IF($E39="","⚠ بانک عامل",IF(AND($U39="TRF",$F39=""),"⚠ بانک مقصد",IF(AND($V39&lt;&gt;"NONE",$V39&lt;&gt;"",$Z39=""),"⚠ طرف حساب","✓")))))</f>
        <v>0</v>
      </c>
      <c r="T39" s="29"/>
      <c r="U39" s="27">
        <f>IFERROR(VLOOKUP($D39,BankOpTbl,2,0),"")</f>
        <v>0</v>
      </c>
      <c r="V39" s="27">
        <f>IFERROR(VLOOKUP($D39,BankOpTbl,3,0),"")</f>
        <v>0</v>
      </c>
      <c r="W39" s="27">
        <f>IFERROR(VLOOKUP($D39,BankOpTbl,4,0),"")</f>
        <v>0</v>
      </c>
      <c r="X39" s="27">
        <f>IF($E39="","",IFERROR(VLOOKUP($E39,BankTbl,4,0),""))</f>
        <v>0</v>
      </c>
      <c r="Y39" s="27">
        <f>IF($F39="","",IFERROR(VLOOKUP($F39,BankTbl,4,0),""))</f>
        <v>0</v>
      </c>
      <c r="Z39" s="27">
        <f>IF($B39="","",IF($V39="PICK",LEFT($N39,5),IF($V39="FIXED",$W39,IF($V39="CODE",$H39,""))))</f>
        <v>0</v>
      </c>
    </row>
    <row r="40" spans="1:26" ht="21" customHeight="1">
      <c r="A40" s="27">
        <f>IF($B40="","",COUNTA($B$13:$B40))</f>
        <v>0</v>
      </c>
      <c r="B40" s="28"/>
      <c r="C40" s="28"/>
      <c r="D40" s="29"/>
      <c r="E40" s="29"/>
      <c r="F40" s="29"/>
      <c r="G40" s="28"/>
      <c r="H40" s="28"/>
      <c r="I40" s="30">
        <f>IF($H40="","",IFERROR(VLOOKUP($H40,AcctTbl,2,0),"کد ناشناخته"))</f>
        <v>0</v>
      </c>
      <c r="J40" s="27">
        <f>IF($H40="","",IFERROR(VLOOKUP($H40,AcctTbl,3,0),""))</f>
        <v>0</v>
      </c>
      <c r="K40" s="29"/>
      <c r="L40" s="28"/>
      <c r="M40" s="31"/>
      <c r="N40" s="29"/>
      <c r="O40" s="32">
        <f>IF($B40="",0,IF($U40="IN",N($M40),0))</f>
        <v>0</v>
      </c>
      <c r="P40" s="32">
        <f>IF($B40="",0,IF(OR($U40="OUT",$U40="TRF"),N($M40),0))</f>
        <v>0</v>
      </c>
      <c r="Q40" s="32">
        <f>IF($B40="",0,IF(OR($U40="OUT",$U40="TRF"),N($M40),0))</f>
        <v>0</v>
      </c>
      <c r="R40" s="32">
        <f>IF($B40="",0,IF($U40="IN",N($M40),0))</f>
        <v>0</v>
      </c>
      <c r="S40" s="33">
        <f>IF($B40="","",IF($M40="","⚠ مبلغ",IF($E40="","⚠ بانک عامل",IF(AND($U40="TRF",$F40=""),"⚠ بانک مقصد",IF(AND($V40&lt;&gt;"NONE",$V40&lt;&gt;"",$Z40=""),"⚠ طرف حساب","✓")))))</f>
        <v>0</v>
      </c>
      <c r="T40" s="29"/>
      <c r="U40" s="27">
        <f>IFERROR(VLOOKUP($D40,BankOpTbl,2,0),"")</f>
        <v>0</v>
      </c>
      <c r="V40" s="27">
        <f>IFERROR(VLOOKUP($D40,BankOpTbl,3,0),"")</f>
        <v>0</v>
      </c>
      <c r="W40" s="27">
        <f>IFERROR(VLOOKUP($D40,BankOpTbl,4,0),"")</f>
        <v>0</v>
      </c>
      <c r="X40" s="27">
        <f>IF($E40="","",IFERROR(VLOOKUP($E40,BankTbl,4,0),""))</f>
        <v>0</v>
      </c>
      <c r="Y40" s="27">
        <f>IF($F40="","",IFERROR(VLOOKUP($F40,BankTbl,4,0),""))</f>
        <v>0</v>
      </c>
      <c r="Z40" s="27">
        <f>IF($B40="","",IF($V40="PICK",LEFT($N40,5),IF($V40="FIXED",$W40,IF($V40="CODE",$H40,""))))</f>
        <v>0</v>
      </c>
    </row>
    <row r="41" spans="1:26" ht="21" customHeight="1">
      <c r="A41" s="27">
        <f>IF($B41="","",COUNTA($B$13:$B41))</f>
        <v>0</v>
      </c>
      <c r="B41" s="28"/>
      <c r="C41" s="28"/>
      <c r="D41" s="29"/>
      <c r="E41" s="29"/>
      <c r="F41" s="29"/>
      <c r="G41" s="28"/>
      <c r="H41" s="28"/>
      <c r="I41" s="30">
        <f>IF($H41="","",IFERROR(VLOOKUP($H41,AcctTbl,2,0),"کد ناشناخته"))</f>
        <v>0</v>
      </c>
      <c r="J41" s="27">
        <f>IF($H41="","",IFERROR(VLOOKUP($H41,AcctTbl,3,0),""))</f>
        <v>0</v>
      </c>
      <c r="K41" s="29"/>
      <c r="L41" s="28"/>
      <c r="M41" s="31"/>
      <c r="N41" s="29"/>
      <c r="O41" s="32">
        <f>IF($B41="",0,IF($U41="IN",N($M41),0))</f>
        <v>0</v>
      </c>
      <c r="P41" s="32">
        <f>IF($B41="",0,IF(OR($U41="OUT",$U41="TRF"),N($M41),0))</f>
        <v>0</v>
      </c>
      <c r="Q41" s="32">
        <f>IF($B41="",0,IF(OR($U41="OUT",$U41="TRF"),N($M41),0))</f>
        <v>0</v>
      </c>
      <c r="R41" s="32">
        <f>IF($B41="",0,IF($U41="IN",N($M41),0))</f>
        <v>0</v>
      </c>
      <c r="S41" s="33">
        <f>IF($B41="","",IF($M41="","⚠ مبلغ",IF($E41="","⚠ بانک عامل",IF(AND($U41="TRF",$F41=""),"⚠ بانک مقصد",IF(AND($V41&lt;&gt;"NONE",$V41&lt;&gt;"",$Z41=""),"⚠ طرف حساب","✓")))))</f>
        <v>0</v>
      </c>
      <c r="T41" s="29"/>
      <c r="U41" s="27">
        <f>IFERROR(VLOOKUP($D41,BankOpTbl,2,0),"")</f>
        <v>0</v>
      </c>
      <c r="V41" s="27">
        <f>IFERROR(VLOOKUP($D41,BankOpTbl,3,0),"")</f>
        <v>0</v>
      </c>
      <c r="W41" s="27">
        <f>IFERROR(VLOOKUP($D41,BankOpTbl,4,0),"")</f>
        <v>0</v>
      </c>
      <c r="X41" s="27">
        <f>IF($E41="","",IFERROR(VLOOKUP($E41,BankTbl,4,0),""))</f>
        <v>0</v>
      </c>
      <c r="Y41" s="27">
        <f>IF($F41="","",IFERROR(VLOOKUP($F41,BankTbl,4,0),""))</f>
        <v>0</v>
      </c>
      <c r="Z41" s="27">
        <f>IF($B41="","",IF($V41="PICK",LEFT($N41,5),IF($V41="FIXED",$W41,IF($V41="CODE",$H41,""))))</f>
        <v>0</v>
      </c>
    </row>
    <row r="42" spans="1:26" ht="21" customHeight="1">
      <c r="A42" s="27">
        <f>IF($B42="","",COUNTA($B$13:$B42))</f>
        <v>0</v>
      </c>
      <c r="B42" s="28"/>
      <c r="C42" s="28"/>
      <c r="D42" s="29"/>
      <c r="E42" s="29"/>
      <c r="F42" s="29"/>
      <c r="G42" s="28"/>
      <c r="H42" s="28"/>
      <c r="I42" s="30">
        <f>IF($H42="","",IFERROR(VLOOKUP($H42,AcctTbl,2,0),"کد ناشناخته"))</f>
        <v>0</v>
      </c>
      <c r="J42" s="27">
        <f>IF($H42="","",IFERROR(VLOOKUP($H42,AcctTbl,3,0),""))</f>
        <v>0</v>
      </c>
      <c r="K42" s="29"/>
      <c r="L42" s="28"/>
      <c r="M42" s="31"/>
      <c r="N42" s="29"/>
      <c r="O42" s="32">
        <f>IF($B42="",0,IF($U42="IN",N($M42),0))</f>
        <v>0</v>
      </c>
      <c r="P42" s="32">
        <f>IF($B42="",0,IF(OR($U42="OUT",$U42="TRF"),N($M42),0))</f>
        <v>0</v>
      </c>
      <c r="Q42" s="32">
        <f>IF($B42="",0,IF(OR($U42="OUT",$U42="TRF"),N($M42),0))</f>
        <v>0</v>
      </c>
      <c r="R42" s="32">
        <f>IF($B42="",0,IF($U42="IN",N($M42),0))</f>
        <v>0</v>
      </c>
      <c r="S42" s="33">
        <f>IF($B42="","",IF($M42="","⚠ مبلغ",IF($E42="","⚠ بانک عامل",IF(AND($U42="TRF",$F42=""),"⚠ بانک مقصد",IF(AND($V42&lt;&gt;"NONE",$V42&lt;&gt;"",$Z42=""),"⚠ طرف حساب","✓")))))</f>
        <v>0</v>
      </c>
      <c r="T42" s="29"/>
      <c r="U42" s="27">
        <f>IFERROR(VLOOKUP($D42,BankOpTbl,2,0),"")</f>
        <v>0</v>
      </c>
      <c r="V42" s="27">
        <f>IFERROR(VLOOKUP($D42,BankOpTbl,3,0),"")</f>
        <v>0</v>
      </c>
      <c r="W42" s="27">
        <f>IFERROR(VLOOKUP($D42,BankOpTbl,4,0),"")</f>
        <v>0</v>
      </c>
      <c r="X42" s="27">
        <f>IF($E42="","",IFERROR(VLOOKUP($E42,BankTbl,4,0),""))</f>
        <v>0</v>
      </c>
      <c r="Y42" s="27">
        <f>IF($F42="","",IFERROR(VLOOKUP($F42,BankTbl,4,0),""))</f>
        <v>0</v>
      </c>
      <c r="Z42" s="27">
        <f>IF($B42="","",IF($V42="PICK",LEFT($N42,5),IF($V42="FIXED",$W42,IF($V42="CODE",$H42,""))))</f>
        <v>0</v>
      </c>
    </row>
    <row r="43" spans="1:26" ht="21" customHeight="1">
      <c r="A43" s="27">
        <f>IF($B43="","",COUNTA($B$13:$B43))</f>
        <v>0</v>
      </c>
      <c r="B43" s="28"/>
      <c r="C43" s="28"/>
      <c r="D43" s="29"/>
      <c r="E43" s="29"/>
      <c r="F43" s="29"/>
      <c r="G43" s="28"/>
      <c r="H43" s="28"/>
      <c r="I43" s="30">
        <f>IF($H43="","",IFERROR(VLOOKUP($H43,AcctTbl,2,0),"کد ناشناخته"))</f>
        <v>0</v>
      </c>
      <c r="J43" s="27">
        <f>IF($H43="","",IFERROR(VLOOKUP($H43,AcctTbl,3,0),""))</f>
        <v>0</v>
      </c>
      <c r="K43" s="29"/>
      <c r="L43" s="28"/>
      <c r="M43" s="31"/>
      <c r="N43" s="29"/>
      <c r="O43" s="32">
        <f>IF($B43="",0,IF($U43="IN",N($M43),0))</f>
        <v>0</v>
      </c>
      <c r="P43" s="32">
        <f>IF($B43="",0,IF(OR($U43="OUT",$U43="TRF"),N($M43),0))</f>
        <v>0</v>
      </c>
      <c r="Q43" s="32">
        <f>IF($B43="",0,IF(OR($U43="OUT",$U43="TRF"),N($M43),0))</f>
        <v>0</v>
      </c>
      <c r="R43" s="32">
        <f>IF($B43="",0,IF($U43="IN",N($M43),0))</f>
        <v>0</v>
      </c>
      <c r="S43" s="33">
        <f>IF($B43="","",IF($M43="","⚠ مبلغ",IF($E43="","⚠ بانک عامل",IF(AND($U43="TRF",$F43=""),"⚠ بانک مقصد",IF(AND($V43&lt;&gt;"NONE",$V43&lt;&gt;"",$Z43=""),"⚠ طرف حساب","✓")))))</f>
        <v>0</v>
      </c>
      <c r="T43" s="29"/>
      <c r="U43" s="27">
        <f>IFERROR(VLOOKUP($D43,BankOpTbl,2,0),"")</f>
        <v>0</v>
      </c>
      <c r="V43" s="27">
        <f>IFERROR(VLOOKUP($D43,BankOpTbl,3,0),"")</f>
        <v>0</v>
      </c>
      <c r="W43" s="27">
        <f>IFERROR(VLOOKUP($D43,BankOpTbl,4,0),"")</f>
        <v>0</v>
      </c>
      <c r="X43" s="27">
        <f>IF($E43="","",IFERROR(VLOOKUP($E43,BankTbl,4,0),""))</f>
        <v>0</v>
      </c>
      <c r="Y43" s="27">
        <f>IF($F43="","",IFERROR(VLOOKUP($F43,BankTbl,4,0),""))</f>
        <v>0</v>
      </c>
      <c r="Z43" s="27">
        <f>IF($B43="","",IF($V43="PICK",LEFT($N43,5),IF($V43="FIXED",$W43,IF($V43="CODE",$H43,""))))</f>
        <v>0</v>
      </c>
    </row>
    <row r="44" spans="1:26" ht="21" customHeight="1">
      <c r="A44" s="27">
        <f>IF($B44="","",COUNTA($B$13:$B44))</f>
        <v>0</v>
      </c>
      <c r="B44" s="28"/>
      <c r="C44" s="28"/>
      <c r="D44" s="29"/>
      <c r="E44" s="29"/>
      <c r="F44" s="29"/>
      <c r="G44" s="28"/>
      <c r="H44" s="28"/>
      <c r="I44" s="30">
        <f>IF($H44="","",IFERROR(VLOOKUP($H44,AcctTbl,2,0),"کد ناشناخته"))</f>
        <v>0</v>
      </c>
      <c r="J44" s="27">
        <f>IF($H44="","",IFERROR(VLOOKUP($H44,AcctTbl,3,0),""))</f>
        <v>0</v>
      </c>
      <c r="K44" s="29"/>
      <c r="L44" s="28"/>
      <c r="M44" s="31"/>
      <c r="N44" s="29"/>
      <c r="O44" s="32">
        <f>IF($B44="",0,IF($U44="IN",N($M44),0))</f>
        <v>0</v>
      </c>
      <c r="P44" s="32">
        <f>IF($B44="",0,IF(OR($U44="OUT",$U44="TRF"),N($M44),0))</f>
        <v>0</v>
      </c>
      <c r="Q44" s="32">
        <f>IF($B44="",0,IF(OR($U44="OUT",$U44="TRF"),N($M44),0))</f>
        <v>0</v>
      </c>
      <c r="R44" s="32">
        <f>IF($B44="",0,IF($U44="IN",N($M44),0))</f>
        <v>0</v>
      </c>
      <c r="S44" s="33">
        <f>IF($B44="","",IF($M44="","⚠ مبلغ",IF($E44="","⚠ بانک عامل",IF(AND($U44="TRF",$F44=""),"⚠ بانک مقصد",IF(AND($V44&lt;&gt;"NONE",$V44&lt;&gt;"",$Z44=""),"⚠ طرف حساب","✓")))))</f>
        <v>0</v>
      </c>
      <c r="T44" s="29"/>
      <c r="U44" s="27">
        <f>IFERROR(VLOOKUP($D44,BankOpTbl,2,0),"")</f>
        <v>0</v>
      </c>
      <c r="V44" s="27">
        <f>IFERROR(VLOOKUP($D44,BankOpTbl,3,0),"")</f>
        <v>0</v>
      </c>
      <c r="W44" s="27">
        <f>IFERROR(VLOOKUP($D44,BankOpTbl,4,0),"")</f>
        <v>0</v>
      </c>
      <c r="X44" s="27">
        <f>IF($E44="","",IFERROR(VLOOKUP($E44,BankTbl,4,0),""))</f>
        <v>0</v>
      </c>
      <c r="Y44" s="27">
        <f>IF($F44="","",IFERROR(VLOOKUP($F44,BankTbl,4,0),""))</f>
        <v>0</v>
      </c>
      <c r="Z44" s="27">
        <f>IF($B44="","",IF($V44="PICK",LEFT($N44,5),IF($V44="FIXED",$W44,IF($V44="CODE",$H44,""))))</f>
        <v>0</v>
      </c>
    </row>
    <row r="45" spans="1:26" ht="21" customHeight="1">
      <c r="A45" s="27">
        <f>IF($B45="","",COUNTA($B$13:$B45))</f>
        <v>0</v>
      </c>
      <c r="B45" s="28"/>
      <c r="C45" s="28"/>
      <c r="D45" s="29"/>
      <c r="E45" s="29"/>
      <c r="F45" s="29"/>
      <c r="G45" s="28"/>
      <c r="H45" s="28"/>
      <c r="I45" s="30">
        <f>IF($H45="","",IFERROR(VLOOKUP($H45,AcctTbl,2,0),"کد ناشناخته"))</f>
        <v>0</v>
      </c>
      <c r="J45" s="27">
        <f>IF($H45="","",IFERROR(VLOOKUP($H45,AcctTbl,3,0),""))</f>
        <v>0</v>
      </c>
      <c r="K45" s="29"/>
      <c r="L45" s="28"/>
      <c r="M45" s="31"/>
      <c r="N45" s="29"/>
      <c r="O45" s="32">
        <f>IF($B45="",0,IF($U45="IN",N($M45),0))</f>
        <v>0</v>
      </c>
      <c r="P45" s="32">
        <f>IF($B45="",0,IF(OR($U45="OUT",$U45="TRF"),N($M45),0))</f>
        <v>0</v>
      </c>
      <c r="Q45" s="32">
        <f>IF($B45="",0,IF(OR($U45="OUT",$U45="TRF"),N($M45),0))</f>
        <v>0</v>
      </c>
      <c r="R45" s="32">
        <f>IF($B45="",0,IF($U45="IN",N($M45),0))</f>
        <v>0</v>
      </c>
      <c r="S45" s="33">
        <f>IF($B45="","",IF($M45="","⚠ مبلغ",IF($E45="","⚠ بانک عامل",IF(AND($U45="TRF",$F45=""),"⚠ بانک مقصد",IF(AND($V45&lt;&gt;"NONE",$V45&lt;&gt;"",$Z45=""),"⚠ طرف حساب","✓")))))</f>
        <v>0</v>
      </c>
      <c r="T45" s="29"/>
      <c r="U45" s="27">
        <f>IFERROR(VLOOKUP($D45,BankOpTbl,2,0),"")</f>
        <v>0</v>
      </c>
      <c r="V45" s="27">
        <f>IFERROR(VLOOKUP($D45,BankOpTbl,3,0),"")</f>
        <v>0</v>
      </c>
      <c r="W45" s="27">
        <f>IFERROR(VLOOKUP($D45,BankOpTbl,4,0),"")</f>
        <v>0</v>
      </c>
      <c r="X45" s="27">
        <f>IF($E45="","",IFERROR(VLOOKUP($E45,BankTbl,4,0),""))</f>
        <v>0</v>
      </c>
      <c r="Y45" s="27">
        <f>IF($F45="","",IFERROR(VLOOKUP($F45,BankTbl,4,0),""))</f>
        <v>0</v>
      </c>
      <c r="Z45" s="27">
        <f>IF($B45="","",IF($V45="PICK",LEFT($N45,5),IF($V45="FIXED",$W45,IF($V45="CODE",$H45,""))))</f>
        <v>0</v>
      </c>
    </row>
    <row r="46" spans="1:26" ht="21" customHeight="1">
      <c r="A46" s="27">
        <f>IF($B46="","",COUNTA($B$13:$B46))</f>
        <v>0</v>
      </c>
      <c r="B46" s="28"/>
      <c r="C46" s="28"/>
      <c r="D46" s="29"/>
      <c r="E46" s="29"/>
      <c r="F46" s="29"/>
      <c r="G46" s="28"/>
      <c r="H46" s="28"/>
      <c r="I46" s="30">
        <f>IF($H46="","",IFERROR(VLOOKUP($H46,AcctTbl,2,0),"کد ناشناخته"))</f>
        <v>0</v>
      </c>
      <c r="J46" s="27">
        <f>IF($H46="","",IFERROR(VLOOKUP($H46,AcctTbl,3,0),""))</f>
        <v>0</v>
      </c>
      <c r="K46" s="29"/>
      <c r="L46" s="28"/>
      <c r="M46" s="31"/>
      <c r="N46" s="29"/>
      <c r="O46" s="32">
        <f>IF($B46="",0,IF($U46="IN",N($M46),0))</f>
        <v>0</v>
      </c>
      <c r="P46" s="32">
        <f>IF($B46="",0,IF(OR($U46="OUT",$U46="TRF"),N($M46),0))</f>
        <v>0</v>
      </c>
      <c r="Q46" s="32">
        <f>IF($B46="",0,IF(OR($U46="OUT",$U46="TRF"),N($M46),0))</f>
        <v>0</v>
      </c>
      <c r="R46" s="32">
        <f>IF($B46="",0,IF($U46="IN",N($M46),0))</f>
        <v>0</v>
      </c>
      <c r="S46" s="33">
        <f>IF($B46="","",IF($M46="","⚠ مبلغ",IF($E46="","⚠ بانک عامل",IF(AND($U46="TRF",$F46=""),"⚠ بانک مقصد",IF(AND($V46&lt;&gt;"NONE",$V46&lt;&gt;"",$Z46=""),"⚠ طرف حساب","✓")))))</f>
        <v>0</v>
      </c>
      <c r="T46" s="29"/>
      <c r="U46" s="27">
        <f>IFERROR(VLOOKUP($D46,BankOpTbl,2,0),"")</f>
        <v>0</v>
      </c>
      <c r="V46" s="27">
        <f>IFERROR(VLOOKUP($D46,BankOpTbl,3,0),"")</f>
        <v>0</v>
      </c>
      <c r="W46" s="27">
        <f>IFERROR(VLOOKUP($D46,BankOpTbl,4,0),"")</f>
        <v>0</v>
      </c>
      <c r="X46" s="27">
        <f>IF($E46="","",IFERROR(VLOOKUP($E46,BankTbl,4,0),""))</f>
        <v>0</v>
      </c>
      <c r="Y46" s="27">
        <f>IF($F46="","",IFERROR(VLOOKUP($F46,BankTbl,4,0),""))</f>
        <v>0</v>
      </c>
      <c r="Z46" s="27">
        <f>IF($B46="","",IF($V46="PICK",LEFT($N46,5),IF($V46="FIXED",$W46,IF($V46="CODE",$H46,""))))</f>
        <v>0</v>
      </c>
    </row>
    <row r="47" spans="1:26" ht="21" customHeight="1">
      <c r="A47" s="27">
        <f>IF($B47="","",COUNTA($B$13:$B47))</f>
        <v>0</v>
      </c>
      <c r="B47" s="28"/>
      <c r="C47" s="28"/>
      <c r="D47" s="29"/>
      <c r="E47" s="29"/>
      <c r="F47" s="29"/>
      <c r="G47" s="28"/>
      <c r="H47" s="28"/>
      <c r="I47" s="30">
        <f>IF($H47="","",IFERROR(VLOOKUP($H47,AcctTbl,2,0),"کد ناشناخته"))</f>
        <v>0</v>
      </c>
      <c r="J47" s="27">
        <f>IF($H47="","",IFERROR(VLOOKUP($H47,AcctTbl,3,0),""))</f>
        <v>0</v>
      </c>
      <c r="K47" s="29"/>
      <c r="L47" s="28"/>
      <c r="M47" s="31"/>
      <c r="N47" s="29"/>
      <c r="O47" s="32">
        <f>IF($B47="",0,IF($U47="IN",N($M47),0))</f>
        <v>0</v>
      </c>
      <c r="P47" s="32">
        <f>IF($B47="",0,IF(OR($U47="OUT",$U47="TRF"),N($M47),0))</f>
        <v>0</v>
      </c>
      <c r="Q47" s="32">
        <f>IF($B47="",0,IF(OR($U47="OUT",$U47="TRF"),N($M47),0))</f>
        <v>0</v>
      </c>
      <c r="R47" s="32">
        <f>IF($B47="",0,IF($U47="IN",N($M47),0))</f>
        <v>0</v>
      </c>
      <c r="S47" s="33">
        <f>IF($B47="","",IF($M47="","⚠ مبلغ",IF($E47="","⚠ بانک عامل",IF(AND($U47="TRF",$F47=""),"⚠ بانک مقصد",IF(AND($V47&lt;&gt;"NONE",$V47&lt;&gt;"",$Z47=""),"⚠ طرف حساب","✓")))))</f>
        <v>0</v>
      </c>
      <c r="T47" s="29"/>
      <c r="U47" s="27">
        <f>IFERROR(VLOOKUP($D47,BankOpTbl,2,0),"")</f>
        <v>0</v>
      </c>
      <c r="V47" s="27">
        <f>IFERROR(VLOOKUP($D47,BankOpTbl,3,0),"")</f>
        <v>0</v>
      </c>
      <c r="W47" s="27">
        <f>IFERROR(VLOOKUP($D47,BankOpTbl,4,0),"")</f>
        <v>0</v>
      </c>
      <c r="X47" s="27">
        <f>IF($E47="","",IFERROR(VLOOKUP($E47,BankTbl,4,0),""))</f>
        <v>0</v>
      </c>
      <c r="Y47" s="27">
        <f>IF($F47="","",IFERROR(VLOOKUP($F47,BankTbl,4,0),""))</f>
        <v>0</v>
      </c>
      <c r="Z47" s="27">
        <f>IF($B47="","",IF($V47="PICK",LEFT($N47,5),IF($V47="FIXED",$W47,IF($V47="CODE",$H47,""))))</f>
        <v>0</v>
      </c>
    </row>
    <row r="48" spans="1:26" ht="21" customHeight="1">
      <c r="A48" s="27">
        <f>IF($B48="","",COUNTA($B$13:$B48))</f>
        <v>0</v>
      </c>
      <c r="B48" s="28"/>
      <c r="C48" s="28"/>
      <c r="D48" s="29"/>
      <c r="E48" s="29"/>
      <c r="F48" s="29"/>
      <c r="G48" s="28"/>
      <c r="H48" s="28"/>
      <c r="I48" s="30">
        <f>IF($H48="","",IFERROR(VLOOKUP($H48,AcctTbl,2,0),"کد ناشناخته"))</f>
        <v>0</v>
      </c>
      <c r="J48" s="27">
        <f>IF($H48="","",IFERROR(VLOOKUP($H48,AcctTbl,3,0),""))</f>
        <v>0</v>
      </c>
      <c r="K48" s="29"/>
      <c r="L48" s="28"/>
      <c r="M48" s="31"/>
      <c r="N48" s="29"/>
      <c r="O48" s="32">
        <f>IF($B48="",0,IF($U48="IN",N($M48),0))</f>
        <v>0</v>
      </c>
      <c r="P48" s="32">
        <f>IF($B48="",0,IF(OR($U48="OUT",$U48="TRF"),N($M48),0))</f>
        <v>0</v>
      </c>
      <c r="Q48" s="32">
        <f>IF($B48="",0,IF(OR($U48="OUT",$U48="TRF"),N($M48),0))</f>
        <v>0</v>
      </c>
      <c r="R48" s="32">
        <f>IF($B48="",0,IF($U48="IN",N($M48),0))</f>
        <v>0</v>
      </c>
      <c r="S48" s="33">
        <f>IF($B48="","",IF($M48="","⚠ مبلغ",IF($E48="","⚠ بانک عامل",IF(AND($U48="TRF",$F48=""),"⚠ بانک مقصد",IF(AND($V48&lt;&gt;"NONE",$V48&lt;&gt;"",$Z48=""),"⚠ طرف حساب","✓")))))</f>
        <v>0</v>
      </c>
      <c r="T48" s="29"/>
      <c r="U48" s="27">
        <f>IFERROR(VLOOKUP($D48,BankOpTbl,2,0),"")</f>
        <v>0</v>
      </c>
      <c r="V48" s="27">
        <f>IFERROR(VLOOKUP($D48,BankOpTbl,3,0),"")</f>
        <v>0</v>
      </c>
      <c r="W48" s="27">
        <f>IFERROR(VLOOKUP($D48,BankOpTbl,4,0),"")</f>
        <v>0</v>
      </c>
      <c r="X48" s="27">
        <f>IF($E48="","",IFERROR(VLOOKUP($E48,BankTbl,4,0),""))</f>
        <v>0</v>
      </c>
      <c r="Y48" s="27">
        <f>IF($F48="","",IFERROR(VLOOKUP($F48,BankTbl,4,0),""))</f>
        <v>0</v>
      </c>
      <c r="Z48" s="27">
        <f>IF($B48="","",IF($V48="PICK",LEFT($N48,5),IF($V48="FIXED",$W48,IF($V48="CODE",$H48,""))))</f>
        <v>0</v>
      </c>
    </row>
    <row r="49" spans="1:26" ht="21" customHeight="1">
      <c r="A49" s="27">
        <f>IF($B49="","",COUNTA($B$13:$B49))</f>
        <v>0</v>
      </c>
      <c r="B49" s="28"/>
      <c r="C49" s="28"/>
      <c r="D49" s="29"/>
      <c r="E49" s="29"/>
      <c r="F49" s="29"/>
      <c r="G49" s="28"/>
      <c r="H49" s="28"/>
      <c r="I49" s="30">
        <f>IF($H49="","",IFERROR(VLOOKUP($H49,AcctTbl,2,0),"کد ناشناخته"))</f>
        <v>0</v>
      </c>
      <c r="J49" s="27">
        <f>IF($H49="","",IFERROR(VLOOKUP($H49,AcctTbl,3,0),""))</f>
        <v>0</v>
      </c>
      <c r="K49" s="29"/>
      <c r="L49" s="28"/>
      <c r="M49" s="31"/>
      <c r="N49" s="29"/>
      <c r="O49" s="32">
        <f>IF($B49="",0,IF($U49="IN",N($M49),0))</f>
        <v>0</v>
      </c>
      <c r="P49" s="32">
        <f>IF($B49="",0,IF(OR($U49="OUT",$U49="TRF"),N($M49),0))</f>
        <v>0</v>
      </c>
      <c r="Q49" s="32">
        <f>IF($B49="",0,IF(OR($U49="OUT",$U49="TRF"),N($M49),0))</f>
        <v>0</v>
      </c>
      <c r="R49" s="32">
        <f>IF($B49="",0,IF($U49="IN",N($M49),0))</f>
        <v>0</v>
      </c>
      <c r="S49" s="33">
        <f>IF($B49="","",IF($M49="","⚠ مبلغ",IF($E49="","⚠ بانک عامل",IF(AND($U49="TRF",$F49=""),"⚠ بانک مقصد",IF(AND($V49&lt;&gt;"NONE",$V49&lt;&gt;"",$Z49=""),"⚠ طرف حساب","✓")))))</f>
        <v>0</v>
      </c>
      <c r="T49" s="29"/>
      <c r="U49" s="27">
        <f>IFERROR(VLOOKUP($D49,BankOpTbl,2,0),"")</f>
        <v>0</v>
      </c>
      <c r="V49" s="27">
        <f>IFERROR(VLOOKUP($D49,BankOpTbl,3,0),"")</f>
        <v>0</v>
      </c>
      <c r="W49" s="27">
        <f>IFERROR(VLOOKUP($D49,BankOpTbl,4,0),"")</f>
        <v>0</v>
      </c>
      <c r="X49" s="27">
        <f>IF($E49="","",IFERROR(VLOOKUP($E49,BankTbl,4,0),""))</f>
        <v>0</v>
      </c>
      <c r="Y49" s="27">
        <f>IF($F49="","",IFERROR(VLOOKUP($F49,BankTbl,4,0),""))</f>
        <v>0</v>
      </c>
      <c r="Z49" s="27">
        <f>IF($B49="","",IF($V49="PICK",LEFT($N49,5),IF($V49="FIXED",$W49,IF($V49="CODE",$H49,""))))</f>
        <v>0</v>
      </c>
    </row>
    <row r="50" spans="1:26" ht="21" customHeight="1">
      <c r="A50" s="27">
        <f>IF($B50="","",COUNTA($B$13:$B50))</f>
        <v>0</v>
      </c>
      <c r="B50" s="28"/>
      <c r="C50" s="28"/>
      <c r="D50" s="29"/>
      <c r="E50" s="29"/>
      <c r="F50" s="29"/>
      <c r="G50" s="28"/>
      <c r="H50" s="28"/>
      <c r="I50" s="30">
        <f>IF($H50="","",IFERROR(VLOOKUP($H50,AcctTbl,2,0),"کد ناشناخته"))</f>
        <v>0</v>
      </c>
      <c r="J50" s="27">
        <f>IF($H50="","",IFERROR(VLOOKUP($H50,AcctTbl,3,0),""))</f>
        <v>0</v>
      </c>
      <c r="K50" s="29"/>
      <c r="L50" s="28"/>
      <c r="M50" s="31"/>
      <c r="N50" s="29"/>
      <c r="O50" s="32">
        <f>IF($B50="",0,IF($U50="IN",N($M50),0))</f>
        <v>0</v>
      </c>
      <c r="P50" s="32">
        <f>IF($B50="",0,IF(OR($U50="OUT",$U50="TRF"),N($M50),0))</f>
        <v>0</v>
      </c>
      <c r="Q50" s="32">
        <f>IF($B50="",0,IF(OR($U50="OUT",$U50="TRF"),N($M50),0))</f>
        <v>0</v>
      </c>
      <c r="R50" s="32">
        <f>IF($B50="",0,IF($U50="IN",N($M50),0))</f>
        <v>0</v>
      </c>
      <c r="S50" s="33">
        <f>IF($B50="","",IF($M50="","⚠ مبلغ",IF($E50="","⚠ بانک عامل",IF(AND($U50="TRF",$F50=""),"⚠ بانک مقصد",IF(AND($V50&lt;&gt;"NONE",$V50&lt;&gt;"",$Z50=""),"⚠ طرف حساب","✓")))))</f>
        <v>0</v>
      </c>
      <c r="T50" s="29"/>
      <c r="U50" s="27">
        <f>IFERROR(VLOOKUP($D50,BankOpTbl,2,0),"")</f>
        <v>0</v>
      </c>
      <c r="V50" s="27">
        <f>IFERROR(VLOOKUP($D50,BankOpTbl,3,0),"")</f>
        <v>0</v>
      </c>
      <c r="W50" s="27">
        <f>IFERROR(VLOOKUP($D50,BankOpTbl,4,0),"")</f>
        <v>0</v>
      </c>
      <c r="X50" s="27">
        <f>IF($E50="","",IFERROR(VLOOKUP($E50,BankTbl,4,0),""))</f>
        <v>0</v>
      </c>
      <c r="Y50" s="27">
        <f>IF($F50="","",IFERROR(VLOOKUP($F50,BankTbl,4,0),""))</f>
        <v>0</v>
      </c>
      <c r="Z50" s="27">
        <f>IF($B50="","",IF($V50="PICK",LEFT($N50,5),IF($V50="FIXED",$W50,IF($V50="CODE",$H50,""))))</f>
        <v>0</v>
      </c>
    </row>
    <row r="51" spans="1:26" ht="21" customHeight="1">
      <c r="A51" s="27">
        <f>IF($B51="","",COUNTA($B$13:$B51))</f>
        <v>0</v>
      </c>
      <c r="B51" s="28"/>
      <c r="C51" s="28"/>
      <c r="D51" s="29"/>
      <c r="E51" s="29"/>
      <c r="F51" s="29"/>
      <c r="G51" s="28"/>
      <c r="H51" s="28"/>
      <c r="I51" s="30">
        <f>IF($H51="","",IFERROR(VLOOKUP($H51,AcctTbl,2,0),"کد ناشناخته"))</f>
        <v>0</v>
      </c>
      <c r="J51" s="27">
        <f>IF($H51="","",IFERROR(VLOOKUP($H51,AcctTbl,3,0),""))</f>
        <v>0</v>
      </c>
      <c r="K51" s="29"/>
      <c r="L51" s="28"/>
      <c r="M51" s="31"/>
      <c r="N51" s="29"/>
      <c r="O51" s="32">
        <f>IF($B51="",0,IF($U51="IN",N($M51),0))</f>
        <v>0</v>
      </c>
      <c r="P51" s="32">
        <f>IF($B51="",0,IF(OR($U51="OUT",$U51="TRF"),N($M51),0))</f>
        <v>0</v>
      </c>
      <c r="Q51" s="32">
        <f>IF($B51="",0,IF(OR($U51="OUT",$U51="TRF"),N($M51),0))</f>
        <v>0</v>
      </c>
      <c r="R51" s="32">
        <f>IF($B51="",0,IF($U51="IN",N($M51),0))</f>
        <v>0</v>
      </c>
      <c r="S51" s="33">
        <f>IF($B51="","",IF($M51="","⚠ مبلغ",IF($E51="","⚠ بانک عامل",IF(AND($U51="TRF",$F51=""),"⚠ بانک مقصد",IF(AND($V51&lt;&gt;"NONE",$V51&lt;&gt;"",$Z51=""),"⚠ طرف حساب","✓")))))</f>
        <v>0</v>
      </c>
      <c r="T51" s="29"/>
      <c r="U51" s="27">
        <f>IFERROR(VLOOKUP($D51,BankOpTbl,2,0),"")</f>
        <v>0</v>
      </c>
      <c r="V51" s="27">
        <f>IFERROR(VLOOKUP($D51,BankOpTbl,3,0),"")</f>
        <v>0</v>
      </c>
      <c r="W51" s="27">
        <f>IFERROR(VLOOKUP($D51,BankOpTbl,4,0),"")</f>
        <v>0</v>
      </c>
      <c r="X51" s="27">
        <f>IF($E51="","",IFERROR(VLOOKUP($E51,BankTbl,4,0),""))</f>
        <v>0</v>
      </c>
      <c r="Y51" s="27">
        <f>IF($F51="","",IFERROR(VLOOKUP($F51,BankTbl,4,0),""))</f>
        <v>0</v>
      </c>
      <c r="Z51" s="27">
        <f>IF($B51="","",IF($V51="PICK",LEFT($N51,5),IF($V51="FIXED",$W51,IF($V51="CODE",$H51,""))))</f>
        <v>0</v>
      </c>
    </row>
    <row r="52" spans="1:26" ht="21" customHeight="1">
      <c r="A52" s="27">
        <f>IF($B52="","",COUNTA($B$13:$B52))</f>
        <v>0</v>
      </c>
      <c r="B52" s="28"/>
      <c r="C52" s="28"/>
      <c r="D52" s="29"/>
      <c r="E52" s="29"/>
      <c r="F52" s="29"/>
      <c r="G52" s="28"/>
      <c r="H52" s="28"/>
      <c r="I52" s="30">
        <f>IF($H52="","",IFERROR(VLOOKUP($H52,AcctTbl,2,0),"کد ناشناخته"))</f>
        <v>0</v>
      </c>
      <c r="J52" s="27">
        <f>IF($H52="","",IFERROR(VLOOKUP($H52,AcctTbl,3,0),""))</f>
        <v>0</v>
      </c>
      <c r="K52" s="29"/>
      <c r="L52" s="28"/>
      <c r="M52" s="31"/>
      <c r="N52" s="29"/>
      <c r="O52" s="32">
        <f>IF($B52="",0,IF($U52="IN",N($M52),0))</f>
        <v>0</v>
      </c>
      <c r="P52" s="32">
        <f>IF($B52="",0,IF(OR($U52="OUT",$U52="TRF"),N($M52),0))</f>
        <v>0</v>
      </c>
      <c r="Q52" s="32">
        <f>IF($B52="",0,IF(OR($U52="OUT",$U52="TRF"),N($M52),0))</f>
        <v>0</v>
      </c>
      <c r="R52" s="32">
        <f>IF($B52="",0,IF($U52="IN",N($M52),0))</f>
        <v>0</v>
      </c>
      <c r="S52" s="33">
        <f>IF($B52="","",IF($M52="","⚠ مبلغ",IF($E52="","⚠ بانک عامل",IF(AND($U52="TRF",$F52=""),"⚠ بانک مقصد",IF(AND($V52&lt;&gt;"NONE",$V52&lt;&gt;"",$Z52=""),"⚠ طرف حساب","✓")))))</f>
        <v>0</v>
      </c>
      <c r="T52" s="29"/>
      <c r="U52" s="27">
        <f>IFERROR(VLOOKUP($D52,BankOpTbl,2,0),"")</f>
        <v>0</v>
      </c>
      <c r="V52" s="27">
        <f>IFERROR(VLOOKUP($D52,BankOpTbl,3,0),"")</f>
        <v>0</v>
      </c>
      <c r="W52" s="27">
        <f>IFERROR(VLOOKUP($D52,BankOpTbl,4,0),"")</f>
        <v>0</v>
      </c>
      <c r="X52" s="27">
        <f>IF($E52="","",IFERROR(VLOOKUP($E52,BankTbl,4,0),""))</f>
        <v>0</v>
      </c>
      <c r="Y52" s="27">
        <f>IF($F52="","",IFERROR(VLOOKUP($F52,BankTbl,4,0),""))</f>
        <v>0</v>
      </c>
      <c r="Z52" s="27">
        <f>IF($B52="","",IF($V52="PICK",LEFT($N52,5),IF($V52="FIXED",$W52,IF($V52="CODE",$H52,""))))</f>
        <v>0</v>
      </c>
    </row>
    <row r="53" spans="1:26" ht="21" customHeight="1">
      <c r="A53" s="27">
        <f>IF($B53="","",COUNTA($B$13:$B53))</f>
        <v>0</v>
      </c>
      <c r="B53" s="28"/>
      <c r="C53" s="28"/>
      <c r="D53" s="29"/>
      <c r="E53" s="29"/>
      <c r="F53" s="29"/>
      <c r="G53" s="28"/>
      <c r="H53" s="28"/>
      <c r="I53" s="30">
        <f>IF($H53="","",IFERROR(VLOOKUP($H53,AcctTbl,2,0),"کد ناشناخته"))</f>
        <v>0</v>
      </c>
      <c r="J53" s="27">
        <f>IF($H53="","",IFERROR(VLOOKUP($H53,AcctTbl,3,0),""))</f>
        <v>0</v>
      </c>
      <c r="K53" s="29"/>
      <c r="L53" s="28"/>
      <c r="M53" s="31"/>
      <c r="N53" s="29"/>
      <c r="O53" s="32">
        <f>IF($B53="",0,IF($U53="IN",N($M53),0))</f>
        <v>0</v>
      </c>
      <c r="P53" s="32">
        <f>IF($B53="",0,IF(OR($U53="OUT",$U53="TRF"),N($M53),0))</f>
        <v>0</v>
      </c>
      <c r="Q53" s="32">
        <f>IF($B53="",0,IF(OR($U53="OUT",$U53="TRF"),N($M53),0))</f>
        <v>0</v>
      </c>
      <c r="R53" s="32">
        <f>IF($B53="",0,IF($U53="IN",N($M53),0))</f>
        <v>0</v>
      </c>
      <c r="S53" s="33">
        <f>IF($B53="","",IF($M53="","⚠ مبلغ",IF($E53="","⚠ بانک عامل",IF(AND($U53="TRF",$F53=""),"⚠ بانک مقصد",IF(AND($V53&lt;&gt;"NONE",$V53&lt;&gt;"",$Z53=""),"⚠ طرف حساب","✓")))))</f>
        <v>0</v>
      </c>
      <c r="T53" s="29"/>
      <c r="U53" s="27">
        <f>IFERROR(VLOOKUP($D53,BankOpTbl,2,0),"")</f>
        <v>0</v>
      </c>
      <c r="V53" s="27">
        <f>IFERROR(VLOOKUP($D53,BankOpTbl,3,0),"")</f>
        <v>0</v>
      </c>
      <c r="W53" s="27">
        <f>IFERROR(VLOOKUP($D53,BankOpTbl,4,0),"")</f>
        <v>0</v>
      </c>
      <c r="X53" s="27">
        <f>IF($E53="","",IFERROR(VLOOKUP($E53,BankTbl,4,0),""))</f>
        <v>0</v>
      </c>
      <c r="Y53" s="27">
        <f>IF($F53="","",IFERROR(VLOOKUP($F53,BankTbl,4,0),""))</f>
        <v>0</v>
      </c>
      <c r="Z53" s="27">
        <f>IF($B53="","",IF($V53="PICK",LEFT($N53,5),IF($V53="FIXED",$W53,IF($V53="CODE",$H53,""))))</f>
        <v>0</v>
      </c>
    </row>
    <row r="54" spans="1:26" ht="21" customHeight="1">
      <c r="A54" s="27">
        <f>IF($B54="","",COUNTA($B$13:$B54))</f>
        <v>0</v>
      </c>
      <c r="B54" s="28"/>
      <c r="C54" s="28"/>
      <c r="D54" s="29"/>
      <c r="E54" s="29"/>
      <c r="F54" s="29"/>
      <c r="G54" s="28"/>
      <c r="H54" s="28"/>
      <c r="I54" s="30">
        <f>IF($H54="","",IFERROR(VLOOKUP($H54,AcctTbl,2,0),"کد ناشناخته"))</f>
        <v>0</v>
      </c>
      <c r="J54" s="27">
        <f>IF($H54="","",IFERROR(VLOOKUP($H54,AcctTbl,3,0),""))</f>
        <v>0</v>
      </c>
      <c r="K54" s="29"/>
      <c r="L54" s="28"/>
      <c r="M54" s="31"/>
      <c r="N54" s="29"/>
      <c r="O54" s="32">
        <f>IF($B54="",0,IF($U54="IN",N($M54),0))</f>
        <v>0</v>
      </c>
      <c r="P54" s="32">
        <f>IF($B54="",0,IF(OR($U54="OUT",$U54="TRF"),N($M54),0))</f>
        <v>0</v>
      </c>
      <c r="Q54" s="32">
        <f>IF($B54="",0,IF(OR($U54="OUT",$U54="TRF"),N($M54),0))</f>
        <v>0</v>
      </c>
      <c r="R54" s="32">
        <f>IF($B54="",0,IF($U54="IN",N($M54),0))</f>
        <v>0</v>
      </c>
      <c r="S54" s="33">
        <f>IF($B54="","",IF($M54="","⚠ مبلغ",IF($E54="","⚠ بانک عامل",IF(AND($U54="TRF",$F54=""),"⚠ بانک مقصد",IF(AND($V54&lt;&gt;"NONE",$V54&lt;&gt;"",$Z54=""),"⚠ طرف حساب","✓")))))</f>
        <v>0</v>
      </c>
      <c r="T54" s="29"/>
      <c r="U54" s="27">
        <f>IFERROR(VLOOKUP($D54,BankOpTbl,2,0),"")</f>
        <v>0</v>
      </c>
      <c r="V54" s="27">
        <f>IFERROR(VLOOKUP($D54,BankOpTbl,3,0),"")</f>
        <v>0</v>
      </c>
      <c r="W54" s="27">
        <f>IFERROR(VLOOKUP($D54,BankOpTbl,4,0),"")</f>
        <v>0</v>
      </c>
      <c r="X54" s="27">
        <f>IF($E54="","",IFERROR(VLOOKUP($E54,BankTbl,4,0),""))</f>
        <v>0</v>
      </c>
      <c r="Y54" s="27">
        <f>IF($F54="","",IFERROR(VLOOKUP($F54,BankTbl,4,0),""))</f>
        <v>0</v>
      </c>
      <c r="Z54" s="27">
        <f>IF($B54="","",IF($V54="PICK",LEFT($N54,5),IF($V54="FIXED",$W54,IF($V54="CODE",$H54,""))))</f>
        <v>0</v>
      </c>
    </row>
    <row r="55" spans="1:26" ht="21" customHeight="1">
      <c r="A55" s="27">
        <f>IF($B55="","",COUNTA($B$13:$B55))</f>
        <v>0</v>
      </c>
      <c r="B55" s="28"/>
      <c r="C55" s="28"/>
      <c r="D55" s="29"/>
      <c r="E55" s="29"/>
      <c r="F55" s="29"/>
      <c r="G55" s="28"/>
      <c r="H55" s="28"/>
      <c r="I55" s="30">
        <f>IF($H55="","",IFERROR(VLOOKUP($H55,AcctTbl,2,0),"کد ناشناخته"))</f>
        <v>0</v>
      </c>
      <c r="J55" s="27">
        <f>IF($H55="","",IFERROR(VLOOKUP($H55,AcctTbl,3,0),""))</f>
        <v>0</v>
      </c>
      <c r="K55" s="29"/>
      <c r="L55" s="28"/>
      <c r="M55" s="31"/>
      <c r="N55" s="29"/>
      <c r="O55" s="32">
        <f>IF($B55="",0,IF($U55="IN",N($M55),0))</f>
        <v>0</v>
      </c>
      <c r="P55" s="32">
        <f>IF($B55="",0,IF(OR($U55="OUT",$U55="TRF"),N($M55),0))</f>
        <v>0</v>
      </c>
      <c r="Q55" s="32">
        <f>IF($B55="",0,IF(OR($U55="OUT",$U55="TRF"),N($M55),0))</f>
        <v>0</v>
      </c>
      <c r="R55" s="32">
        <f>IF($B55="",0,IF($U55="IN",N($M55),0))</f>
        <v>0</v>
      </c>
      <c r="S55" s="33">
        <f>IF($B55="","",IF($M55="","⚠ مبلغ",IF($E55="","⚠ بانک عامل",IF(AND($U55="TRF",$F55=""),"⚠ بانک مقصد",IF(AND($V55&lt;&gt;"NONE",$V55&lt;&gt;"",$Z55=""),"⚠ طرف حساب","✓")))))</f>
        <v>0</v>
      </c>
      <c r="T55" s="29"/>
      <c r="U55" s="27">
        <f>IFERROR(VLOOKUP($D55,BankOpTbl,2,0),"")</f>
        <v>0</v>
      </c>
      <c r="V55" s="27">
        <f>IFERROR(VLOOKUP($D55,BankOpTbl,3,0),"")</f>
        <v>0</v>
      </c>
      <c r="W55" s="27">
        <f>IFERROR(VLOOKUP($D55,BankOpTbl,4,0),"")</f>
        <v>0</v>
      </c>
      <c r="X55" s="27">
        <f>IF($E55="","",IFERROR(VLOOKUP($E55,BankTbl,4,0),""))</f>
        <v>0</v>
      </c>
      <c r="Y55" s="27">
        <f>IF($F55="","",IFERROR(VLOOKUP($F55,BankTbl,4,0),""))</f>
        <v>0</v>
      </c>
      <c r="Z55" s="27">
        <f>IF($B55="","",IF($V55="PICK",LEFT($N55,5),IF($V55="FIXED",$W55,IF($V55="CODE",$H55,""))))</f>
        <v>0</v>
      </c>
    </row>
    <row r="56" spans="1:26" ht="21" customHeight="1">
      <c r="A56" s="27">
        <f>IF($B56="","",COUNTA($B$13:$B56))</f>
        <v>0</v>
      </c>
      <c r="B56" s="28"/>
      <c r="C56" s="28"/>
      <c r="D56" s="29"/>
      <c r="E56" s="29"/>
      <c r="F56" s="29"/>
      <c r="G56" s="28"/>
      <c r="H56" s="28"/>
      <c r="I56" s="30">
        <f>IF($H56="","",IFERROR(VLOOKUP($H56,AcctTbl,2,0),"کد ناشناخته"))</f>
        <v>0</v>
      </c>
      <c r="J56" s="27">
        <f>IF($H56="","",IFERROR(VLOOKUP($H56,AcctTbl,3,0),""))</f>
        <v>0</v>
      </c>
      <c r="K56" s="29"/>
      <c r="L56" s="28"/>
      <c r="M56" s="31"/>
      <c r="N56" s="29"/>
      <c r="O56" s="32">
        <f>IF($B56="",0,IF($U56="IN",N($M56),0))</f>
        <v>0</v>
      </c>
      <c r="P56" s="32">
        <f>IF($B56="",0,IF(OR($U56="OUT",$U56="TRF"),N($M56),0))</f>
        <v>0</v>
      </c>
      <c r="Q56" s="32">
        <f>IF($B56="",0,IF(OR($U56="OUT",$U56="TRF"),N($M56),0))</f>
        <v>0</v>
      </c>
      <c r="R56" s="32">
        <f>IF($B56="",0,IF($U56="IN",N($M56),0))</f>
        <v>0</v>
      </c>
      <c r="S56" s="33">
        <f>IF($B56="","",IF($M56="","⚠ مبلغ",IF($E56="","⚠ بانک عامل",IF(AND($U56="TRF",$F56=""),"⚠ بانک مقصد",IF(AND($V56&lt;&gt;"NONE",$V56&lt;&gt;"",$Z56=""),"⚠ طرف حساب","✓")))))</f>
        <v>0</v>
      </c>
      <c r="T56" s="29"/>
      <c r="U56" s="27">
        <f>IFERROR(VLOOKUP($D56,BankOpTbl,2,0),"")</f>
        <v>0</v>
      </c>
      <c r="V56" s="27">
        <f>IFERROR(VLOOKUP($D56,BankOpTbl,3,0),"")</f>
        <v>0</v>
      </c>
      <c r="W56" s="27">
        <f>IFERROR(VLOOKUP($D56,BankOpTbl,4,0),"")</f>
        <v>0</v>
      </c>
      <c r="X56" s="27">
        <f>IF($E56="","",IFERROR(VLOOKUP($E56,BankTbl,4,0),""))</f>
        <v>0</v>
      </c>
      <c r="Y56" s="27">
        <f>IF($F56="","",IFERROR(VLOOKUP($F56,BankTbl,4,0),""))</f>
        <v>0</v>
      </c>
      <c r="Z56" s="27">
        <f>IF($B56="","",IF($V56="PICK",LEFT($N56,5),IF($V56="FIXED",$W56,IF($V56="CODE",$H56,""))))</f>
        <v>0</v>
      </c>
    </row>
    <row r="57" spans="1:26" ht="21" customHeight="1">
      <c r="A57" s="27">
        <f>IF($B57="","",COUNTA($B$13:$B57))</f>
        <v>0</v>
      </c>
      <c r="B57" s="28"/>
      <c r="C57" s="28"/>
      <c r="D57" s="29"/>
      <c r="E57" s="29"/>
      <c r="F57" s="29"/>
      <c r="G57" s="28"/>
      <c r="H57" s="28"/>
      <c r="I57" s="30">
        <f>IF($H57="","",IFERROR(VLOOKUP($H57,AcctTbl,2,0),"کد ناشناخته"))</f>
        <v>0</v>
      </c>
      <c r="J57" s="27">
        <f>IF($H57="","",IFERROR(VLOOKUP($H57,AcctTbl,3,0),""))</f>
        <v>0</v>
      </c>
      <c r="K57" s="29"/>
      <c r="L57" s="28"/>
      <c r="M57" s="31"/>
      <c r="N57" s="29"/>
      <c r="O57" s="32">
        <f>IF($B57="",0,IF($U57="IN",N($M57),0))</f>
        <v>0</v>
      </c>
      <c r="P57" s="32">
        <f>IF($B57="",0,IF(OR($U57="OUT",$U57="TRF"),N($M57),0))</f>
        <v>0</v>
      </c>
      <c r="Q57" s="32">
        <f>IF($B57="",0,IF(OR($U57="OUT",$U57="TRF"),N($M57),0))</f>
        <v>0</v>
      </c>
      <c r="R57" s="32">
        <f>IF($B57="",0,IF($U57="IN",N($M57),0))</f>
        <v>0</v>
      </c>
      <c r="S57" s="33">
        <f>IF($B57="","",IF($M57="","⚠ مبلغ",IF($E57="","⚠ بانک عامل",IF(AND($U57="TRF",$F57=""),"⚠ بانک مقصد",IF(AND($V57&lt;&gt;"NONE",$V57&lt;&gt;"",$Z57=""),"⚠ طرف حساب","✓")))))</f>
        <v>0</v>
      </c>
      <c r="T57" s="29"/>
      <c r="U57" s="27">
        <f>IFERROR(VLOOKUP($D57,BankOpTbl,2,0),"")</f>
        <v>0</v>
      </c>
      <c r="V57" s="27">
        <f>IFERROR(VLOOKUP($D57,BankOpTbl,3,0),"")</f>
        <v>0</v>
      </c>
      <c r="W57" s="27">
        <f>IFERROR(VLOOKUP($D57,BankOpTbl,4,0),"")</f>
        <v>0</v>
      </c>
      <c r="X57" s="27">
        <f>IF($E57="","",IFERROR(VLOOKUP($E57,BankTbl,4,0),""))</f>
        <v>0</v>
      </c>
      <c r="Y57" s="27">
        <f>IF($F57="","",IFERROR(VLOOKUP($F57,BankTbl,4,0),""))</f>
        <v>0</v>
      </c>
      <c r="Z57" s="27">
        <f>IF($B57="","",IF($V57="PICK",LEFT($N57,5),IF($V57="FIXED",$W57,IF($V57="CODE",$H57,""))))</f>
        <v>0</v>
      </c>
    </row>
    <row r="58" spans="1:26" ht="21" customHeight="1">
      <c r="A58" s="27">
        <f>IF($B58="","",COUNTA($B$13:$B58))</f>
        <v>0</v>
      </c>
      <c r="B58" s="28"/>
      <c r="C58" s="28"/>
      <c r="D58" s="29"/>
      <c r="E58" s="29"/>
      <c r="F58" s="29"/>
      <c r="G58" s="28"/>
      <c r="H58" s="28"/>
      <c r="I58" s="30">
        <f>IF($H58="","",IFERROR(VLOOKUP($H58,AcctTbl,2,0),"کد ناشناخته"))</f>
        <v>0</v>
      </c>
      <c r="J58" s="27">
        <f>IF($H58="","",IFERROR(VLOOKUP($H58,AcctTbl,3,0),""))</f>
        <v>0</v>
      </c>
      <c r="K58" s="29"/>
      <c r="L58" s="28"/>
      <c r="M58" s="31"/>
      <c r="N58" s="29"/>
      <c r="O58" s="32">
        <f>IF($B58="",0,IF($U58="IN",N($M58),0))</f>
        <v>0</v>
      </c>
      <c r="P58" s="32">
        <f>IF($B58="",0,IF(OR($U58="OUT",$U58="TRF"),N($M58),0))</f>
        <v>0</v>
      </c>
      <c r="Q58" s="32">
        <f>IF($B58="",0,IF(OR($U58="OUT",$U58="TRF"),N($M58),0))</f>
        <v>0</v>
      </c>
      <c r="R58" s="32">
        <f>IF($B58="",0,IF($U58="IN",N($M58),0))</f>
        <v>0</v>
      </c>
      <c r="S58" s="33">
        <f>IF($B58="","",IF($M58="","⚠ مبلغ",IF($E58="","⚠ بانک عامل",IF(AND($U58="TRF",$F58=""),"⚠ بانک مقصد",IF(AND($V58&lt;&gt;"NONE",$V58&lt;&gt;"",$Z58=""),"⚠ طرف حساب","✓")))))</f>
        <v>0</v>
      </c>
      <c r="T58" s="29"/>
      <c r="U58" s="27">
        <f>IFERROR(VLOOKUP($D58,BankOpTbl,2,0),"")</f>
        <v>0</v>
      </c>
      <c r="V58" s="27">
        <f>IFERROR(VLOOKUP($D58,BankOpTbl,3,0),"")</f>
        <v>0</v>
      </c>
      <c r="W58" s="27">
        <f>IFERROR(VLOOKUP($D58,BankOpTbl,4,0),"")</f>
        <v>0</v>
      </c>
      <c r="X58" s="27">
        <f>IF($E58="","",IFERROR(VLOOKUP($E58,BankTbl,4,0),""))</f>
        <v>0</v>
      </c>
      <c r="Y58" s="27">
        <f>IF($F58="","",IFERROR(VLOOKUP($F58,BankTbl,4,0),""))</f>
        <v>0</v>
      </c>
      <c r="Z58" s="27">
        <f>IF($B58="","",IF($V58="PICK",LEFT($N58,5),IF($V58="FIXED",$W58,IF($V58="CODE",$H58,""))))</f>
        <v>0</v>
      </c>
    </row>
    <row r="59" spans="1:26" ht="21" customHeight="1">
      <c r="A59" s="27">
        <f>IF($B59="","",COUNTA($B$13:$B59))</f>
        <v>0</v>
      </c>
      <c r="B59" s="28"/>
      <c r="C59" s="28"/>
      <c r="D59" s="29"/>
      <c r="E59" s="29"/>
      <c r="F59" s="29"/>
      <c r="G59" s="28"/>
      <c r="H59" s="28"/>
      <c r="I59" s="30">
        <f>IF($H59="","",IFERROR(VLOOKUP($H59,AcctTbl,2,0),"کد ناشناخته"))</f>
        <v>0</v>
      </c>
      <c r="J59" s="27">
        <f>IF($H59="","",IFERROR(VLOOKUP($H59,AcctTbl,3,0),""))</f>
        <v>0</v>
      </c>
      <c r="K59" s="29"/>
      <c r="L59" s="28"/>
      <c r="M59" s="31"/>
      <c r="N59" s="29"/>
      <c r="O59" s="32">
        <f>IF($B59="",0,IF($U59="IN",N($M59),0))</f>
        <v>0</v>
      </c>
      <c r="P59" s="32">
        <f>IF($B59="",0,IF(OR($U59="OUT",$U59="TRF"),N($M59),0))</f>
        <v>0</v>
      </c>
      <c r="Q59" s="32">
        <f>IF($B59="",0,IF(OR($U59="OUT",$U59="TRF"),N($M59),0))</f>
        <v>0</v>
      </c>
      <c r="R59" s="32">
        <f>IF($B59="",0,IF($U59="IN",N($M59),0))</f>
        <v>0</v>
      </c>
      <c r="S59" s="33">
        <f>IF($B59="","",IF($M59="","⚠ مبلغ",IF($E59="","⚠ بانک عامل",IF(AND($U59="TRF",$F59=""),"⚠ بانک مقصد",IF(AND($V59&lt;&gt;"NONE",$V59&lt;&gt;"",$Z59=""),"⚠ طرف حساب","✓")))))</f>
        <v>0</v>
      </c>
      <c r="T59" s="29"/>
      <c r="U59" s="27">
        <f>IFERROR(VLOOKUP($D59,BankOpTbl,2,0),"")</f>
        <v>0</v>
      </c>
      <c r="V59" s="27">
        <f>IFERROR(VLOOKUP($D59,BankOpTbl,3,0),"")</f>
        <v>0</v>
      </c>
      <c r="W59" s="27">
        <f>IFERROR(VLOOKUP($D59,BankOpTbl,4,0),"")</f>
        <v>0</v>
      </c>
      <c r="X59" s="27">
        <f>IF($E59="","",IFERROR(VLOOKUP($E59,BankTbl,4,0),""))</f>
        <v>0</v>
      </c>
      <c r="Y59" s="27">
        <f>IF($F59="","",IFERROR(VLOOKUP($F59,BankTbl,4,0),""))</f>
        <v>0</v>
      </c>
      <c r="Z59" s="27">
        <f>IF($B59="","",IF($V59="PICK",LEFT($N59,5),IF($V59="FIXED",$W59,IF($V59="CODE",$H59,""))))</f>
        <v>0</v>
      </c>
    </row>
    <row r="60" spans="1:26" ht="21" customHeight="1">
      <c r="A60" s="27">
        <f>IF($B60="","",COUNTA($B$13:$B60))</f>
        <v>0</v>
      </c>
      <c r="B60" s="28"/>
      <c r="C60" s="28"/>
      <c r="D60" s="29"/>
      <c r="E60" s="29"/>
      <c r="F60" s="29"/>
      <c r="G60" s="28"/>
      <c r="H60" s="28"/>
      <c r="I60" s="30">
        <f>IF($H60="","",IFERROR(VLOOKUP($H60,AcctTbl,2,0),"کد ناشناخته"))</f>
        <v>0</v>
      </c>
      <c r="J60" s="27">
        <f>IF($H60="","",IFERROR(VLOOKUP($H60,AcctTbl,3,0),""))</f>
        <v>0</v>
      </c>
      <c r="K60" s="29"/>
      <c r="L60" s="28"/>
      <c r="M60" s="31"/>
      <c r="N60" s="29"/>
      <c r="O60" s="32">
        <f>IF($B60="",0,IF($U60="IN",N($M60),0))</f>
        <v>0</v>
      </c>
      <c r="P60" s="32">
        <f>IF($B60="",0,IF(OR($U60="OUT",$U60="TRF"),N($M60),0))</f>
        <v>0</v>
      </c>
      <c r="Q60" s="32">
        <f>IF($B60="",0,IF(OR($U60="OUT",$U60="TRF"),N($M60),0))</f>
        <v>0</v>
      </c>
      <c r="R60" s="32">
        <f>IF($B60="",0,IF($U60="IN",N($M60),0))</f>
        <v>0</v>
      </c>
      <c r="S60" s="33">
        <f>IF($B60="","",IF($M60="","⚠ مبلغ",IF($E60="","⚠ بانک عامل",IF(AND($U60="TRF",$F60=""),"⚠ بانک مقصد",IF(AND($V60&lt;&gt;"NONE",$V60&lt;&gt;"",$Z60=""),"⚠ طرف حساب","✓")))))</f>
        <v>0</v>
      </c>
      <c r="T60" s="29"/>
      <c r="U60" s="27">
        <f>IFERROR(VLOOKUP($D60,BankOpTbl,2,0),"")</f>
        <v>0</v>
      </c>
      <c r="V60" s="27">
        <f>IFERROR(VLOOKUP($D60,BankOpTbl,3,0),"")</f>
        <v>0</v>
      </c>
      <c r="W60" s="27">
        <f>IFERROR(VLOOKUP($D60,BankOpTbl,4,0),"")</f>
        <v>0</v>
      </c>
      <c r="X60" s="27">
        <f>IF($E60="","",IFERROR(VLOOKUP($E60,BankTbl,4,0),""))</f>
        <v>0</v>
      </c>
      <c r="Y60" s="27">
        <f>IF($F60="","",IFERROR(VLOOKUP($F60,BankTbl,4,0),""))</f>
        <v>0</v>
      </c>
      <c r="Z60" s="27">
        <f>IF($B60="","",IF($V60="PICK",LEFT($N60,5),IF($V60="FIXED",$W60,IF($V60="CODE",$H60,""))))</f>
        <v>0</v>
      </c>
    </row>
    <row r="61" spans="1:26" ht="21" customHeight="1">
      <c r="A61" s="27">
        <f>IF($B61="","",COUNTA($B$13:$B61))</f>
        <v>0</v>
      </c>
      <c r="B61" s="28"/>
      <c r="C61" s="28"/>
      <c r="D61" s="29"/>
      <c r="E61" s="29"/>
      <c r="F61" s="29"/>
      <c r="G61" s="28"/>
      <c r="H61" s="28"/>
      <c r="I61" s="30">
        <f>IF($H61="","",IFERROR(VLOOKUP($H61,AcctTbl,2,0),"کد ناشناخته"))</f>
        <v>0</v>
      </c>
      <c r="J61" s="27">
        <f>IF($H61="","",IFERROR(VLOOKUP($H61,AcctTbl,3,0),""))</f>
        <v>0</v>
      </c>
      <c r="K61" s="29"/>
      <c r="L61" s="28"/>
      <c r="M61" s="31"/>
      <c r="N61" s="29"/>
      <c r="O61" s="32">
        <f>IF($B61="",0,IF($U61="IN",N($M61),0))</f>
        <v>0</v>
      </c>
      <c r="P61" s="32">
        <f>IF($B61="",0,IF(OR($U61="OUT",$U61="TRF"),N($M61),0))</f>
        <v>0</v>
      </c>
      <c r="Q61" s="32">
        <f>IF($B61="",0,IF(OR($U61="OUT",$U61="TRF"),N($M61),0))</f>
        <v>0</v>
      </c>
      <c r="R61" s="32">
        <f>IF($B61="",0,IF($U61="IN",N($M61),0))</f>
        <v>0</v>
      </c>
      <c r="S61" s="33">
        <f>IF($B61="","",IF($M61="","⚠ مبلغ",IF($E61="","⚠ بانک عامل",IF(AND($U61="TRF",$F61=""),"⚠ بانک مقصد",IF(AND($V61&lt;&gt;"NONE",$V61&lt;&gt;"",$Z61=""),"⚠ طرف حساب","✓")))))</f>
        <v>0</v>
      </c>
      <c r="T61" s="29"/>
      <c r="U61" s="27">
        <f>IFERROR(VLOOKUP($D61,BankOpTbl,2,0),"")</f>
        <v>0</v>
      </c>
      <c r="V61" s="27">
        <f>IFERROR(VLOOKUP($D61,BankOpTbl,3,0),"")</f>
        <v>0</v>
      </c>
      <c r="W61" s="27">
        <f>IFERROR(VLOOKUP($D61,BankOpTbl,4,0),"")</f>
        <v>0</v>
      </c>
      <c r="X61" s="27">
        <f>IF($E61="","",IFERROR(VLOOKUP($E61,BankTbl,4,0),""))</f>
        <v>0</v>
      </c>
      <c r="Y61" s="27">
        <f>IF($F61="","",IFERROR(VLOOKUP($F61,BankTbl,4,0),""))</f>
        <v>0</v>
      </c>
      <c r="Z61" s="27">
        <f>IF($B61="","",IF($V61="PICK",LEFT($N61,5),IF($V61="FIXED",$W61,IF($V61="CODE",$H61,""))))</f>
        <v>0</v>
      </c>
    </row>
    <row r="62" spans="1:26" ht="21" customHeight="1">
      <c r="A62" s="27">
        <f>IF($B62="","",COUNTA($B$13:$B62))</f>
        <v>0</v>
      </c>
      <c r="B62" s="28"/>
      <c r="C62" s="28"/>
      <c r="D62" s="29"/>
      <c r="E62" s="29"/>
      <c r="F62" s="29"/>
      <c r="G62" s="28"/>
      <c r="H62" s="28"/>
      <c r="I62" s="30">
        <f>IF($H62="","",IFERROR(VLOOKUP($H62,AcctTbl,2,0),"کد ناشناخته"))</f>
        <v>0</v>
      </c>
      <c r="J62" s="27">
        <f>IF($H62="","",IFERROR(VLOOKUP($H62,AcctTbl,3,0),""))</f>
        <v>0</v>
      </c>
      <c r="K62" s="29"/>
      <c r="L62" s="28"/>
      <c r="M62" s="31"/>
      <c r="N62" s="29"/>
      <c r="O62" s="32">
        <f>IF($B62="",0,IF($U62="IN",N($M62),0))</f>
        <v>0</v>
      </c>
      <c r="P62" s="32">
        <f>IF($B62="",0,IF(OR($U62="OUT",$U62="TRF"),N($M62),0))</f>
        <v>0</v>
      </c>
      <c r="Q62" s="32">
        <f>IF($B62="",0,IF(OR($U62="OUT",$U62="TRF"),N($M62),0))</f>
        <v>0</v>
      </c>
      <c r="R62" s="32">
        <f>IF($B62="",0,IF($U62="IN",N($M62),0))</f>
        <v>0</v>
      </c>
      <c r="S62" s="33">
        <f>IF($B62="","",IF($M62="","⚠ مبلغ",IF($E62="","⚠ بانک عامل",IF(AND($U62="TRF",$F62=""),"⚠ بانک مقصد",IF(AND($V62&lt;&gt;"NONE",$V62&lt;&gt;"",$Z62=""),"⚠ طرف حساب","✓")))))</f>
        <v>0</v>
      </c>
      <c r="T62" s="29"/>
      <c r="U62" s="27">
        <f>IFERROR(VLOOKUP($D62,BankOpTbl,2,0),"")</f>
        <v>0</v>
      </c>
      <c r="V62" s="27">
        <f>IFERROR(VLOOKUP($D62,BankOpTbl,3,0),"")</f>
        <v>0</v>
      </c>
      <c r="W62" s="27">
        <f>IFERROR(VLOOKUP($D62,BankOpTbl,4,0),"")</f>
        <v>0</v>
      </c>
      <c r="X62" s="27">
        <f>IF($E62="","",IFERROR(VLOOKUP($E62,BankTbl,4,0),""))</f>
        <v>0</v>
      </c>
      <c r="Y62" s="27">
        <f>IF($F62="","",IFERROR(VLOOKUP($F62,BankTbl,4,0),""))</f>
        <v>0</v>
      </c>
      <c r="Z62" s="27">
        <f>IF($B62="","",IF($V62="PICK",LEFT($N62,5),IF($V62="FIXED",$W62,IF($V62="CODE",$H62,""))))</f>
        <v>0</v>
      </c>
    </row>
    <row r="63" spans="1:26" ht="21" customHeight="1">
      <c r="A63" s="27">
        <f>IF($B63="","",COUNTA($B$13:$B63))</f>
        <v>0</v>
      </c>
      <c r="B63" s="28"/>
      <c r="C63" s="28"/>
      <c r="D63" s="29"/>
      <c r="E63" s="29"/>
      <c r="F63" s="29"/>
      <c r="G63" s="28"/>
      <c r="H63" s="28"/>
      <c r="I63" s="30">
        <f>IF($H63="","",IFERROR(VLOOKUP($H63,AcctTbl,2,0),"کد ناشناخته"))</f>
        <v>0</v>
      </c>
      <c r="J63" s="27">
        <f>IF($H63="","",IFERROR(VLOOKUP($H63,AcctTbl,3,0),""))</f>
        <v>0</v>
      </c>
      <c r="K63" s="29"/>
      <c r="L63" s="28"/>
      <c r="M63" s="31"/>
      <c r="N63" s="29"/>
      <c r="O63" s="32">
        <f>IF($B63="",0,IF($U63="IN",N($M63),0))</f>
        <v>0</v>
      </c>
      <c r="P63" s="32">
        <f>IF($B63="",0,IF(OR($U63="OUT",$U63="TRF"),N($M63),0))</f>
        <v>0</v>
      </c>
      <c r="Q63" s="32">
        <f>IF($B63="",0,IF(OR($U63="OUT",$U63="TRF"),N($M63),0))</f>
        <v>0</v>
      </c>
      <c r="R63" s="32">
        <f>IF($B63="",0,IF($U63="IN",N($M63),0))</f>
        <v>0</v>
      </c>
      <c r="S63" s="33">
        <f>IF($B63="","",IF($M63="","⚠ مبلغ",IF($E63="","⚠ بانک عامل",IF(AND($U63="TRF",$F63=""),"⚠ بانک مقصد",IF(AND($V63&lt;&gt;"NONE",$V63&lt;&gt;"",$Z63=""),"⚠ طرف حساب","✓")))))</f>
        <v>0</v>
      </c>
      <c r="T63" s="29"/>
      <c r="U63" s="27">
        <f>IFERROR(VLOOKUP($D63,BankOpTbl,2,0),"")</f>
        <v>0</v>
      </c>
      <c r="V63" s="27">
        <f>IFERROR(VLOOKUP($D63,BankOpTbl,3,0),"")</f>
        <v>0</v>
      </c>
      <c r="W63" s="27">
        <f>IFERROR(VLOOKUP($D63,BankOpTbl,4,0),"")</f>
        <v>0</v>
      </c>
      <c r="X63" s="27">
        <f>IF($E63="","",IFERROR(VLOOKUP($E63,BankTbl,4,0),""))</f>
        <v>0</v>
      </c>
      <c r="Y63" s="27">
        <f>IF($F63="","",IFERROR(VLOOKUP($F63,BankTbl,4,0),""))</f>
        <v>0</v>
      </c>
      <c r="Z63" s="27">
        <f>IF($B63="","",IF($V63="PICK",LEFT($N63,5),IF($V63="FIXED",$W63,IF($V63="CODE",$H63,""))))</f>
        <v>0</v>
      </c>
    </row>
    <row r="64" spans="1:26" ht="21" customHeight="1">
      <c r="A64" s="27">
        <f>IF($B64="","",COUNTA($B$13:$B64))</f>
        <v>0</v>
      </c>
      <c r="B64" s="28"/>
      <c r="C64" s="28"/>
      <c r="D64" s="29"/>
      <c r="E64" s="29"/>
      <c r="F64" s="29"/>
      <c r="G64" s="28"/>
      <c r="H64" s="28"/>
      <c r="I64" s="30">
        <f>IF($H64="","",IFERROR(VLOOKUP($H64,AcctTbl,2,0),"کد ناشناخته"))</f>
        <v>0</v>
      </c>
      <c r="J64" s="27">
        <f>IF($H64="","",IFERROR(VLOOKUP($H64,AcctTbl,3,0),""))</f>
        <v>0</v>
      </c>
      <c r="K64" s="29"/>
      <c r="L64" s="28"/>
      <c r="M64" s="31"/>
      <c r="N64" s="29"/>
      <c r="O64" s="32">
        <f>IF($B64="",0,IF($U64="IN",N($M64),0))</f>
        <v>0</v>
      </c>
      <c r="P64" s="32">
        <f>IF($B64="",0,IF(OR($U64="OUT",$U64="TRF"),N($M64),0))</f>
        <v>0</v>
      </c>
      <c r="Q64" s="32">
        <f>IF($B64="",0,IF(OR($U64="OUT",$U64="TRF"),N($M64),0))</f>
        <v>0</v>
      </c>
      <c r="R64" s="32">
        <f>IF($B64="",0,IF($U64="IN",N($M64),0))</f>
        <v>0</v>
      </c>
      <c r="S64" s="33">
        <f>IF($B64="","",IF($M64="","⚠ مبلغ",IF($E64="","⚠ بانک عامل",IF(AND($U64="TRF",$F64=""),"⚠ بانک مقصد",IF(AND($V64&lt;&gt;"NONE",$V64&lt;&gt;"",$Z64=""),"⚠ طرف حساب","✓")))))</f>
        <v>0</v>
      </c>
      <c r="T64" s="29"/>
      <c r="U64" s="27">
        <f>IFERROR(VLOOKUP($D64,BankOpTbl,2,0),"")</f>
        <v>0</v>
      </c>
      <c r="V64" s="27">
        <f>IFERROR(VLOOKUP($D64,BankOpTbl,3,0),"")</f>
        <v>0</v>
      </c>
      <c r="W64" s="27">
        <f>IFERROR(VLOOKUP($D64,BankOpTbl,4,0),"")</f>
        <v>0</v>
      </c>
      <c r="X64" s="27">
        <f>IF($E64="","",IFERROR(VLOOKUP($E64,BankTbl,4,0),""))</f>
        <v>0</v>
      </c>
      <c r="Y64" s="27">
        <f>IF($F64="","",IFERROR(VLOOKUP($F64,BankTbl,4,0),""))</f>
        <v>0</v>
      </c>
      <c r="Z64" s="27">
        <f>IF($B64="","",IF($V64="PICK",LEFT($N64,5),IF($V64="FIXED",$W64,IF($V64="CODE",$H64,""))))</f>
        <v>0</v>
      </c>
    </row>
    <row r="65" spans="1:26" ht="21" customHeight="1">
      <c r="A65" s="27">
        <f>IF($B65="","",COUNTA($B$13:$B65))</f>
        <v>0</v>
      </c>
      <c r="B65" s="28"/>
      <c r="C65" s="28"/>
      <c r="D65" s="29"/>
      <c r="E65" s="29"/>
      <c r="F65" s="29"/>
      <c r="G65" s="28"/>
      <c r="H65" s="28"/>
      <c r="I65" s="30">
        <f>IF($H65="","",IFERROR(VLOOKUP($H65,AcctTbl,2,0),"کد ناشناخته"))</f>
        <v>0</v>
      </c>
      <c r="J65" s="27">
        <f>IF($H65="","",IFERROR(VLOOKUP($H65,AcctTbl,3,0),""))</f>
        <v>0</v>
      </c>
      <c r="K65" s="29"/>
      <c r="L65" s="28"/>
      <c r="M65" s="31"/>
      <c r="N65" s="29"/>
      <c r="O65" s="32">
        <f>IF($B65="",0,IF($U65="IN",N($M65),0))</f>
        <v>0</v>
      </c>
      <c r="P65" s="32">
        <f>IF($B65="",0,IF(OR($U65="OUT",$U65="TRF"),N($M65),0))</f>
        <v>0</v>
      </c>
      <c r="Q65" s="32">
        <f>IF($B65="",0,IF(OR($U65="OUT",$U65="TRF"),N($M65),0))</f>
        <v>0</v>
      </c>
      <c r="R65" s="32">
        <f>IF($B65="",0,IF($U65="IN",N($M65),0))</f>
        <v>0</v>
      </c>
      <c r="S65" s="33">
        <f>IF($B65="","",IF($M65="","⚠ مبلغ",IF($E65="","⚠ بانک عامل",IF(AND($U65="TRF",$F65=""),"⚠ بانک مقصد",IF(AND($V65&lt;&gt;"NONE",$V65&lt;&gt;"",$Z65=""),"⚠ طرف حساب","✓")))))</f>
        <v>0</v>
      </c>
      <c r="T65" s="29"/>
      <c r="U65" s="27">
        <f>IFERROR(VLOOKUP($D65,BankOpTbl,2,0),"")</f>
        <v>0</v>
      </c>
      <c r="V65" s="27">
        <f>IFERROR(VLOOKUP($D65,BankOpTbl,3,0),"")</f>
        <v>0</v>
      </c>
      <c r="W65" s="27">
        <f>IFERROR(VLOOKUP($D65,BankOpTbl,4,0),"")</f>
        <v>0</v>
      </c>
      <c r="X65" s="27">
        <f>IF($E65="","",IFERROR(VLOOKUP($E65,BankTbl,4,0),""))</f>
        <v>0</v>
      </c>
      <c r="Y65" s="27">
        <f>IF($F65="","",IFERROR(VLOOKUP($F65,BankTbl,4,0),""))</f>
        <v>0</v>
      </c>
      <c r="Z65" s="27">
        <f>IF($B65="","",IF($V65="PICK",LEFT($N65,5),IF($V65="FIXED",$W65,IF($V65="CODE",$H65,""))))</f>
        <v>0</v>
      </c>
    </row>
    <row r="66" spans="1:26" ht="21" customHeight="1">
      <c r="A66" s="27">
        <f>IF($B66="","",COUNTA($B$13:$B66))</f>
        <v>0</v>
      </c>
      <c r="B66" s="28"/>
      <c r="C66" s="28"/>
      <c r="D66" s="29"/>
      <c r="E66" s="29"/>
      <c r="F66" s="29"/>
      <c r="G66" s="28"/>
      <c r="H66" s="28"/>
      <c r="I66" s="30">
        <f>IF($H66="","",IFERROR(VLOOKUP($H66,AcctTbl,2,0),"کد ناشناخته"))</f>
        <v>0</v>
      </c>
      <c r="J66" s="27">
        <f>IF($H66="","",IFERROR(VLOOKUP($H66,AcctTbl,3,0),""))</f>
        <v>0</v>
      </c>
      <c r="K66" s="29"/>
      <c r="L66" s="28"/>
      <c r="M66" s="31"/>
      <c r="N66" s="29"/>
      <c r="O66" s="32">
        <f>IF($B66="",0,IF($U66="IN",N($M66),0))</f>
        <v>0</v>
      </c>
      <c r="P66" s="32">
        <f>IF($B66="",0,IF(OR($U66="OUT",$U66="TRF"),N($M66),0))</f>
        <v>0</v>
      </c>
      <c r="Q66" s="32">
        <f>IF($B66="",0,IF(OR($U66="OUT",$U66="TRF"),N($M66),0))</f>
        <v>0</v>
      </c>
      <c r="R66" s="32">
        <f>IF($B66="",0,IF($U66="IN",N($M66),0))</f>
        <v>0</v>
      </c>
      <c r="S66" s="33">
        <f>IF($B66="","",IF($M66="","⚠ مبلغ",IF($E66="","⚠ بانک عامل",IF(AND($U66="TRF",$F66=""),"⚠ بانک مقصد",IF(AND($V66&lt;&gt;"NONE",$V66&lt;&gt;"",$Z66=""),"⚠ طرف حساب","✓")))))</f>
        <v>0</v>
      </c>
      <c r="T66" s="29"/>
      <c r="U66" s="27">
        <f>IFERROR(VLOOKUP($D66,BankOpTbl,2,0),"")</f>
        <v>0</v>
      </c>
      <c r="V66" s="27">
        <f>IFERROR(VLOOKUP($D66,BankOpTbl,3,0),"")</f>
        <v>0</v>
      </c>
      <c r="W66" s="27">
        <f>IFERROR(VLOOKUP($D66,BankOpTbl,4,0),"")</f>
        <v>0</v>
      </c>
      <c r="X66" s="27">
        <f>IF($E66="","",IFERROR(VLOOKUP($E66,BankTbl,4,0),""))</f>
        <v>0</v>
      </c>
      <c r="Y66" s="27">
        <f>IF($F66="","",IFERROR(VLOOKUP($F66,BankTbl,4,0),""))</f>
        <v>0</v>
      </c>
      <c r="Z66" s="27">
        <f>IF($B66="","",IF($V66="PICK",LEFT($N66,5),IF($V66="FIXED",$W66,IF($V66="CODE",$H66,""))))</f>
        <v>0</v>
      </c>
    </row>
    <row r="67" spans="1:26" ht="21" customHeight="1">
      <c r="A67" s="27">
        <f>IF($B67="","",COUNTA($B$13:$B67))</f>
        <v>0</v>
      </c>
      <c r="B67" s="28"/>
      <c r="C67" s="28"/>
      <c r="D67" s="29"/>
      <c r="E67" s="29"/>
      <c r="F67" s="29"/>
      <c r="G67" s="28"/>
      <c r="H67" s="28"/>
      <c r="I67" s="30">
        <f>IF($H67="","",IFERROR(VLOOKUP($H67,AcctTbl,2,0),"کد ناشناخته"))</f>
        <v>0</v>
      </c>
      <c r="J67" s="27">
        <f>IF($H67="","",IFERROR(VLOOKUP($H67,AcctTbl,3,0),""))</f>
        <v>0</v>
      </c>
      <c r="K67" s="29"/>
      <c r="L67" s="28"/>
      <c r="M67" s="31"/>
      <c r="N67" s="29"/>
      <c r="O67" s="32">
        <f>IF($B67="",0,IF($U67="IN",N($M67),0))</f>
        <v>0</v>
      </c>
      <c r="P67" s="32">
        <f>IF($B67="",0,IF(OR($U67="OUT",$U67="TRF"),N($M67),0))</f>
        <v>0</v>
      </c>
      <c r="Q67" s="32">
        <f>IF($B67="",0,IF(OR($U67="OUT",$U67="TRF"),N($M67),0))</f>
        <v>0</v>
      </c>
      <c r="R67" s="32">
        <f>IF($B67="",0,IF($U67="IN",N($M67),0))</f>
        <v>0</v>
      </c>
      <c r="S67" s="33">
        <f>IF($B67="","",IF($M67="","⚠ مبلغ",IF($E67="","⚠ بانک عامل",IF(AND($U67="TRF",$F67=""),"⚠ بانک مقصد",IF(AND($V67&lt;&gt;"NONE",$V67&lt;&gt;"",$Z67=""),"⚠ طرف حساب","✓")))))</f>
        <v>0</v>
      </c>
      <c r="T67" s="29"/>
      <c r="U67" s="27">
        <f>IFERROR(VLOOKUP($D67,BankOpTbl,2,0),"")</f>
        <v>0</v>
      </c>
      <c r="V67" s="27">
        <f>IFERROR(VLOOKUP($D67,BankOpTbl,3,0),"")</f>
        <v>0</v>
      </c>
      <c r="W67" s="27">
        <f>IFERROR(VLOOKUP($D67,BankOpTbl,4,0),"")</f>
        <v>0</v>
      </c>
      <c r="X67" s="27">
        <f>IF($E67="","",IFERROR(VLOOKUP($E67,BankTbl,4,0),""))</f>
        <v>0</v>
      </c>
      <c r="Y67" s="27">
        <f>IF($F67="","",IFERROR(VLOOKUP($F67,BankTbl,4,0),""))</f>
        <v>0</v>
      </c>
      <c r="Z67" s="27">
        <f>IF($B67="","",IF($V67="PICK",LEFT($N67,5),IF($V67="FIXED",$W67,IF($V67="CODE",$H67,""))))</f>
        <v>0</v>
      </c>
    </row>
    <row r="68" spans="1:26" ht="21" customHeight="1">
      <c r="A68" s="27">
        <f>IF($B68="","",COUNTA($B$13:$B68))</f>
        <v>0</v>
      </c>
      <c r="B68" s="28"/>
      <c r="C68" s="28"/>
      <c r="D68" s="29"/>
      <c r="E68" s="29"/>
      <c r="F68" s="29"/>
      <c r="G68" s="28"/>
      <c r="H68" s="28"/>
      <c r="I68" s="30">
        <f>IF($H68="","",IFERROR(VLOOKUP($H68,AcctTbl,2,0),"کد ناشناخته"))</f>
        <v>0</v>
      </c>
      <c r="J68" s="27">
        <f>IF($H68="","",IFERROR(VLOOKUP($H68,AcctTbl,3,0),""))</f>
        <v>0</v>
      </c>
      <c r="K68" s="29"/>
      <c r="L68" s="28"/>
      <c r="M68" s="31"/>
      <c r="N68" s="29"/>
      <c r="O68" s="32">
        <f>IF($B68="",0,IF($U68="IN",N($M68),0))</f>
        <v>0</v>
      </c>
      <c r="P68" s="32">
        <f>IF($B68="",0,IF(OR($U68="OUT",$U68="TRF"),N($M68),0))</f>
        <v>0</v>
      </c>
      <c r="Q68" s="32">
        <f>IF($B68="",0,IF(OR($U68="OUT",$U68="TRF"),N($M68),0))</f>
        <v>0</v>
      </c>
      <c r="R68" s="32">
        <f>IF($B68="",0,IF($U68="IN",N($M68),0))</f>
        <v>0</v>
      </c>
      <c r="S68" s="33">
        <f>IF($B68="","",IF($M68="","⚠ مبلغ",IF($E68="","⚠ بانک عامل",IF(AND($U68="TRF",$F68=""),"⚠ بانک مقصد",IF(AND($V68&lt;&gt;"NONE",$V68&lt;&gt;"",$Z68=""),"⚠ طرف حساب","✓")))))</f>
        <v>0</v>
      </c>
      <c r="T68" s="29"/>
      <c r="U68" s="27">
        <f>IFERROR(VLOOKUP($D68,BankOpTbl,2,0),"")</f>
        <v>0</v>
      </c>
      <c r="V68" s="27">
        <f>IFERROR(VLOOKUP($D68,BankOpTbl,3,0),"")</f>
        <v>0</v>
      </c>
      <c r="W68" s="27">
        <f>IFERROR(VLOOKUP($D68,BankOpTbl,4,0),"")</f>
        <v>0</v>
      </c>
      <c r="X68" s="27">
        <f>IF($E68="","",IFERROR(VLOOKUP($E68,BankTbl,4,0),""))</f>
        <v>0</v>
      </c>
      <c r="Y68" s="27">
        <f>IF($F68="","",IFERROR(VLOOKUP($F68,BankTbl,4,0),""))</f>
        <v>0</v>
      </c>
      <c r="Z68" s="27">
        <f>IF($B68="","",IF($V68="PICK",LEFT($N68,5),IF($V68="FIXED",$W68,IF($V68="CODE",$H68,""))))</f>
        <v>0</v>
      </c>
    </row>
    <row r="69" spans="1:26" ht="21" customHeight="1">
      <c r="A69" s="27">
        <f>IF($B69="","",COUNTA($B$13:$B69))</f>
        <v>0</v>
      </c>
      <c r="B69" s="28"/>
      <c r="C69" s="28"/>
      <c r="D69" s="29"/>
      <c r="E69" s="29"/>
      <c r="F69" s="29"/>
      <c r="G69" s="28"/>
      <c r="H69" s="28"/>
      <c r="I69" s="30">
        <f>IF($H69="","",IFERROR(VLOOKUP($H69,AcctTbl,2,0),"کد ناشناخته"))</f>
        <v>0</v>
      </c>
      <c r="J69" s="27">
        <f>IF($H69="","",IFERROR(VLOOKUP($H69,AcctTbl,3,0),""))</f>
        <v>0</v>
      </c>
      <c r="K69" s="29"/>
      <c r="L69" s="28"/>
      <c r="M69" s="31"/>
      <c r="N69" s="29"/>
      <c r="O69" s="32">
        <f>IF($B69="",0,IF($U69="IN",N($M69),0))</f>
        <v>0</v>
      </c>
      <c r="P69" s="32">
        <f>IF($B69="",0,IF(OR($U69="OUT",$U69="TRF"),N($M69),0))</f>
        <v>0</v>
      </c>
      <c r="Q69" s="32">
        <f>IF($B69="",0,IF(OR($U69="OUT",$U69="TRF"),N($M69),0))</f>
        <v>0</v>
      </c>
      <c r="R69" s="32">
        <f>IF($B69="",0,IF($U69="IN",N($M69),0))</f>
        <v>0</v>
      </c>
      <c r="S69" s="33">
        <f>IF($B69="","",IF($M69="","⚠ مبلغ",IF($E69="","⚠ بانک عامل",IF(AND($U69="TRF",$F69=""),"⚠ بانک مقصد",IF(AND($V69&lt;&gt;"NONE",$V69&lt;&gt;"",$Z69=""),"⚠ طرف حساب","✓")))))</f>
        <v>0</v>
      </c>
      <c r="T69" s="29"/>
      <c r="U69" s="27">
        <f>IFERROR(VLOOKUP($D69,BankOpTbl,2,0),"")</f>
        <v>0</v>
      </c>
      <c r="V69" s="27">
        <f>IFERROR(VLOOKUP($D69,BankOpTbl,3,0),"")</f>
        <v>0</v>
      </c>
      <c r="W69" s="27">
        <f>IFERROR(VLOOKUP($D69,BankOpTbl,4,0),"")</f>
        <v>0</v>
      </c>
      <c r="X69" s="27">
        <f>IF($E69="","",IFERROR(VLOOKUP($E69,BankTbl,4,0),""))</f>
        <v>0</v>
      </c>
      <c r="Y69" s="27">
        <f>IF($F69="","",IFERROR(VLOOKUP($F69,BankTbl,4,0),""))</f>
        <v>0</v>
      </c>
      <c r="Z69" s="27">
        <f>IF($B69="","",IF($V69="PICK",LEFT($N69,5),IF($V69="FIXED",$W69,IF($V69="CODE",$H69,""))))</f>
        <v>0</v>
      </c>
    </row>
    <row r="70" spans="1:26" ht="21" customHeight="1">
      <c r="A70" s="27">
        <f>IF($B70="","",COUNTA($B$13:$B70))</f>
        <v>0</v>
      </c>
      <c r="B70" s="28"/>
      <c r="C70" s="28"/>
      <c r="D70" s="29"/>
      <c r="E70" s="29"/>
      <c r="F70" s="29"/>
      <c r="G70" s="28"/>
      <c r="H70" s="28"/>
      <c r="I70" s="30">
        <f>IF($H70="","",IFERROR(VLOOKUP($H70,AcctTbl,2,0),"کد ناشناخته"))</f>
        <v>0</v>
      </c>
      <c r="J70" s="27">
        <f>IF($H70="","",IFERROR(VLOOKUP($H70,AcctTbl,3,0),""))</f>
        <v>0</v>
      </c>
      <c r="K70" s="29"/>
      <c r="L70" s="28"/>
      <c r="M70" s="31"/>
      <c r="N70" s="29"/>
      <c r="O70" s="32">
        <f>IF($B70="",0,IF($U70="IN",N($M70),0))</f>
        <v>0</v>
      </c>
      <c r="P70" s="32">
        <f>IF($B70="",0,IF(OR($U70="OUT",$U70="TRF"),N($M70),0))</f>
        <v>0</v>
      </c>
      <c r="Q70" s="32">
        <f>IF($B70="",0,IF(OR($U70="OUT",$U70="TRF"),N($M70),0))</f>
        <v>0</v>
      </c>
      <c r="R70" s="32">
        <f>IF($B70="",0,IF($U70="IN",N($M70),0))</f>
        <v>0</v>
      </c>
      <c r="S70" s="33">
        <f>IF($B70="","",IF($M70="","⚠ مبلغ",IF($E70="","⚠ بانک عامل",IF(AND($U70="TRF",$F70=""),"⚠ بانک مقصد",IF(AND($V70&lt;&gt;"NONE",$V70&lt;&gt;"",$Z70=""),"⚠ طرف حساب","✓")))))</f>
        <v>0</v>
      </c>
      <c r="T70" s="29"/>
      <c r="U70" s="27">
        <f>IFERROR(VLOOKUP($D70,BankOpTbl,2,0),"")</f>
        <v>0</v>
      </c>
      <c r="V70" s="27">
        <f>IFERROR(VLOOKUP($D70,BankOpTbl,3,0),"")</f>
        <v>0</v>
      </c>
      <c r="W70" s="27">
        <f>IFERROR(VLOOKUP($D70,BankOpTbl,4,0),"")</f>
        <v>0</v>
      </c>
      <c r="X70" s="27">
        <f>IF($E70="","",IFERROR(VLOOKUP($E70,BankTbl,4,0),""))</f>
        <v>0</v>
      </c>
      <c r="Y70" s="27">
        <f>IF($F70="","",IFERROR(VLOOKUP($F70,BankTbl,4,0),""))</f>
        <v>0</v>
      </c>
      <c r="Z70" s="27">
        <f>IF($B70="","",IF($V70="PICK",LEFT($N70,5),IF($V70="FIXED",$W70,IF($V70="CODE",$H70,""))))</f>
        <v>0</v>
      </c>
    </row>
    <row r="71" spans="1:26" ht="21" customHeight="1">
      <c r="A71" s="27">
        <f>IF($B71="","",COUNTA($B$13:$B71))</f>
        <v>0</v>
      </c>
      <c r="B71" s="28"/>
      <c r="C71" s="28"/>
      <c r="D71" s="29"/>
      <c r="E71" s="29"/>
      <c r="F71" s="29"/>
      <c r="G71" s="28"/>
      <c r="H71" s="28"/>
      <c r="I71" s="30">
        <f>IF($H71="","",IFERROR(VLOOKUP($H71,AcctTbl,2,0),"کد ناشناخته"))</f>
        <v>0</v>
      </c>
      <c r="J71" s="27">
        <f>IF($H71="","",IFERROR(VLOOKUP($H71,AcctTbl,3,0),""))</f>
        <v>0</v>
      </c>
      <c r="K71" s="29"/>
      <c r="L71" s="28"/>
      <c r="M71" s="31"/>
      <c r="N71" s="29"/>
      <c r="O71" s="32">
        <f>IF($B71="",0,IF($U71="IN",N($M71),0))</f>
        <v>0</v>
      </c>
      <c r="P71" s="32">
        <f>IF($B71="",0,IF(OR($U71="OUT",$U71="TRF"),N($M71),0))</f>
        <v>0</v>
      </c>
      <c r="Q71" s="32">
        <f>IF($B71="",0,IF(OR($U71="OUT",$U71="TRF"),N($M71),0))</f>
        <v>0</v>
      </c>
      <c r="R71" s="32">
        <f>IF($B71="",0,IF($U71="IN",N($M71),0))</f>
        <v>0</v>
      </c>
      <c r="S71" s="33">
        <f>IF($B71="","",IF($M71="","⚠ مبلغ",IF($E71="","⚠ بانک عامل",IF(AND($U71="TRF",$F71=""),"⚠ بانک مقصد",IF(AND($V71&lt;&gt;"NONE",$V71&lt;&gt;"",$Z71=""),"⚠ طرف حساب","✓")))))</f>
        <v>0</v>
      </c>
      <c r="T71" s="29"/>
      <c r="U71" s="27">
        <f>IFERROR(VLOOKUP($D71,BankOpTbl,2,0),"")</f>
        <v>0</v>
      </c>
      <c r="V71" s="27">
        <f>IFERROR(VLOOKUP($D71,BankOpTbl,3,0),"")</f>
        <v>0</v>
      </c>
      <c r="W71" s="27">
        <f>IFERROR(VLOOKUP($D71,BankOpTbl,4,0),"")</f>
        <v>0</v>
      </c>
      <c r="X71" s="27">
        <f>IF($E71="","",IFERROR(VLOOKUP($E71,BankTbl,4,0),""))</f>
        <v>0</v>
      </c>
      <c r="Y71" s="27">
        <f>IF($F71="","",IFERROR(VLOOKUP($F71,BankTbl,4,0),""))</f>
        <v>0</v>
      </c>
      <c r="Z71" s="27">
        <f>IF($B71="","",IF($V71="PICK",LEFT($N71,5),IF($V71="FIXED",$W71,IF($V71="CODE",$H71,""))))</f>
        <v>0</v>
      </c>
    </row>
    <row r="72" spans="1:26" ht="21" customHeight="1">
      <c r="A72" s="27">
        <f>IF($B72="","",COUNTA($B$13:$B72))</f>
        <v>0</v>
      </c>
      <c r="B72" s="28"/>
      <c r="C72" s="28"/>
      <c r="D72" s="29"/>
      <c r="E72" s="29"/>
      <c r="F72" s="29"/>
      <c r="G72" s="28"/>
      <c r="H72" s="28"/>
      <c r="I72" s="30">
        <f>IF($H72="","",IFERROR(VLOOKUP($H72,AcctTbl,2,0),"کد ناشناخته"))</f>
        <v>0</v>
      </c>
      <c r="J72" s="27">
        <f>IF($H72="","",IFERROR(VLOOKUP($H72,AcctTbl,3,0),""))</f>
        <v>0</v>
      </c>
      <c r="K72" s="29"/>
      <c r="L72" s="28"/>
      <c r="M72" s="31"/>
      <c r="N72" s="29"/>
      <c r="O72" s="32">
        <f>IF($B72="",0,IF($U72="IN",N($M72),0))</f>
        <v>0</v>
      </c>
      <c r="P72" s="32">
        <f>IF($B72="",0,IF(OR($U72="OUT",$U72="TRF"),N($M72),0))</f>
        <v>0</v>
      </c>
      <c r="Q72" s="32">
        <f>IF($B72="",0,IF(OR($U72="OUT",$U72="TRF"),N($M72),0))</f>
        <v>0</v>
      </c>
      <c r="R72" s="32">
        <f>IF($B72="",0,IF($U72="IN",N($M72),0))</f>
        <v>0</v>
      </c>
      <c r="S72" s="33">
        <f>IF($B72="","",IF($M72="","⚠ مبلغ",IF($E72="","⚠ بانک عامل",IF(AND($U72="TRF",$F72=""),"⚠ بانک مقصد",IF(AND($V72&lt;&gt;"NONE",$V72&lt;&gt;"",$Z72=""),"⚠ طرف حساب","✓")))))</f>
        <v>0</v>
      </c>
      <c r="T72" s="29"/>
      <c r="U72" s="27">
        <f>IFERROR(VLOOKUP($D72,BankOpTbl,2,0),"")</f>
        <v>0</v>
      </c>
      <c r="V72" s="27">
        <f>IFERROR(VLOOKUP($D72,BankOpTbl,3,0),"")</f>
        <v>0</v>
      </c>
      <c r="W72" s="27">
        <f>IFERROR(VLOOKUP($D72,BankOpTbl,4,0),"")</f>
        <v>0</v>
      </c>
      <c r="X72" s="27">
        <f>IF($E72="","",IFERROR(VLOOKUP($E72,BankTbl,4,0),""))</f>
        <v>0</v>
      </c>
      <c r="Y72" s="27">
        <f>IF($F72="","",IFERROR(VLOOKUP($F72,BankTbl,4,0),""))</f>
        <v>0</v>
      </c>
      <c r="Z72" s="27">
        <f>IF($B72="","",IF($V72="PICK",LEFT($N72,5),IF($V72="FIXED",$W72,IF($V72="CODE",$H72,""))))</f>
        <v>0</v>
      </c>
    </row>
    <row r="73" spans="1:26" ht="21" customHeight="1">
      <c r="A73" s="27">
        <f>IF($B73="","",COUNTA($B$13:$B73))</f>
        <v>0</v>
      </c>
      <c r="B73" s="28"/>
      <c r="C73" s="28"/>
      <c r="D73" s="29"/>
      <c r="E73" s="29"/>
      <c r="F73" s="29"/>
      <c r="G73" s="28"/>
      <c r="H73" s="28"/>
      <c r="I73" s="30">
        <f>IF($H73="","",IFERROR(VLOOKUP($H73,AcctTbl,2,0),"کد ناشناخته"))</f>
        <v>0</v>
      </c>
      <c r="J73" s="27">
        <f>IF($H73="","",IFERROR(VLOOKUP($H73,AcctTbl,3,0),""))</f>
        <v>0</v>
      </c>
      <c r="K73" s="29"/>
      <c r="L73" s="28"/>
      <c r="M73" s="31"/>
      <c r="N73" s="29"/>
      <c r="O73" s="32">
        <f>IF($B73="",0,IF($U73="IN",N($M73),0))</f>
        <v>0</v>
      </c>
      <c r="P73" s="32">
        <f>IF($B73="",0,IF(OR($U73="OUT",$U73="TRF"),N($M73),0))</f>
        <v>0</v>
      </c>
      <c r="Q73" s="32">
        <f>IF($B73="",0,IF(OR($U73="OUT",$U73="TRF"),N($M73),0))</f>
        <v>0</v>
      </c>
      <c r="R73" s="32">
        <f>IF($B73="",0,IF($U73="IN",N($M73),0))</f>
        <v>0</v>
      </c>
      <c r="S73" s="33">
        <f>IF($B73="","",IF($M73="","⚠ مبلغ",IF($E73="","⚠ بانک عامل",IF(AND($U73="TRF",$F73=""),"⚠ بانک مقصد",IF(AND($V73&lt;&gt;"NONE",$V73&lt;&gt;"",$Z73=""),"⚠ طرف حساب","✓")))))</f>
        <v>0</v>
      </c>
      <c r="T73" s="29"/>
      <c r="U73" s="27">
        <f>IFERROR(VLOOKUP($D73,BankOpTbl,2,0),"")</f>
        <v>0</v>
      </c>
      <c r="V73" s="27">
        <f>IFERROR(VLOOKUP($D73,BankOpTbl,3,0),"")</f>
        <v>0</v>
      </c>
      <c r="W73" s="27">
        <f>IFERROR(VLOOKUP($D73,BankOpTbl,4,0),"")</f>
        <v>0</v>
      </c>
      <c r="X73" s="27">
        <f>IF($E73="","",IFERROR(VLOOKUP($E73,BankTbl,4,0),""))</f>
        <v>0</v>
      </c>
      <c r="Y73" s="27">
        <f>IF($F73="","",IFERROR(VLOOKUP($F73,BankTbl,4,0),""))</f>
        <v>0</v>
      </c>
      <c r="Z73" s="27">
        <f>IF($B73="","",IF($V73="PICK",LEFT($N73,5),IF($V73="FIXED",$W73,IF($V73="CODE",$H73,""))))</f>
        <v>0</v>
      </c>
    </row>
    <row r="74" spans="1:26" ht="21" customHeight="1">
      <c r="A74" s="27">
        <f>IF($B74="","",COUNTA($B$13:$B74))</f>
        <v>0</v>
      </c>
      <c r="B74" s="28"/>
      <c r="C74" s="28"/>
      <c r="D74" s="29"/>
      <c r="E74" s="29"/>
      <c r="F74" s="29"/>
      <c r="G74" s="28"/>
      <c r="H74" s="28"/>
      <c r="I74" s="30">
        <f>IF($H74="","",IFERROR(VLOOKUP($H74,AcctTbl,2,0),"کد ناشناخته"))</f>
        <v>0</v>
      </c>
      <c r="J74" s="27">
        <f>IF($H74="","",IFERROR(VLOOKUP($H74,AcctTbl,3,0),""))</f>
        <v>0</v>
      </c>
      <c r="K74" s="29"/>
      <c r="L74" s="28"/>
      <c r="M74" s="31"/>
      <c r="N74" s="29"/>
      <c r="O74" s="32">
        <f>IF($B74="",0,IF($U74="IN",N($M74),0))</f>
        <v>0</v>
      </c>
      <c r="P74" s="32">
        <f>IF($B74="",0,IF(OR($U74="OUT",$U74="TRF"),N($M74),0))</f>
        <v>0</v>
      </c>
      <c r="Q74" s="32">
        <f>IF($B74="",0,IF(OR($U74="OUT",$U74="TRF"),N($M74),0))</f>
        <v>0</v>
      </c>
      <c r="R74" s="32">
        <f>IF($B74="",0,IF($U74="IN",N($M74),0))</f>
        <v>0</v>
      </c>
      <c r="S74" s="33">
        <f>IF($B74="","",IF($M74="","⚠ مبلغ",IF($E74="","⚠ بانک عامل",IF(AND($U74="TRF",$F74=""),"⚠ بانک مقصد",IF(AND($V74&lt;&gt;"NONE",$V74&lt;&gt;"",$Z74=""),"⚠ طرف حساب","✓")))))</f>
        <v>0</v>
      </c>
      <c r="T74" s="29"/>
      <c r="U74" s="27">
        <f>IFERROR(VLOOKUP($D74,BankOpTbl,2,0),"")</f>
        <v>0</v>
      </c>
      <c r="V74" s="27">
        <f>IFERROR(VLOOKUP($D74,BankOpTbl,3,0),"")</f>
        <v>0</v>
      </c>
      <c r="W74" s="27">
        <f>IFERROR(VLOOKUP($D74,BankOpTbl,4,0),"")</f>
        <v>0</v>
      </c>
      <c r="X74" s="27">
        <f>IF($E74="","",IFERROR(VLOOKUP($E74,BankTbl,4,0),""))</f>
        <v>0</v>
      </c>
      <c r="Y74" s="27">
        <f>IF($F74="","",IFERROR(VLOOKUP($F74,BankTbl,4,0),""))</f>
        <v>0</v>
      </c>
      <c r="Z74" s="27">
        <f>IF($B74="","",IF($V74="PICK",LEFT($N74,5),IF($V74="FIXED",$W74,IF($V74="CODE",$H74,""))))</f>
        <v>0</v>
      </c>
    </row>
    <row r="75" spans="1:26" ht="21" customHeight="1">
      <c r="A75" s="27">
        <f>IF($B75="","",COUNTA($B$13:$B75))</f>
        <v>0</v>
      </c>
      <c r="B75" s="28"/>
      <c r="C75" s="28"/>
      <c r="D75" s="29"/>
      <c r="E75" s="29"/>
      <c r="F75" s="29"/>
      <c r="G75" s="28"/>
      <c r="H75" s="28"/>
      <c r="I75" s="30">
        <f>IF($H75="","",IFERROR(VLOOKUP($H75,AcctTbl,2,0),"کد ناشناخته"))</f>
        <v>0</v>
      </c>
      <c r="J75" s="27">
        <f>IF($H75="","",IFERROR(VLOOKUP($H75,AcctTbl,3,0),""))</f>
        <v>0</v>
      </c>
      <c r="K75" s="29"/>
      <c r="L75" s="28"/>
      <c r="M75" s="31"/>
      <c r="N75" s="29"/>
      <c r="O75" s="32">
        <f>IF($B75="",0,IF($U75="IN",N($M75),0))</f>
        <v>0</v>
      </c>
      <c r="P75" s="32">
        <f>IF($B75="",0,IF(OR($U75="OUT",$U75="TRF"),N($M75),0))</f>
        <v>0</v>
      </c>
      <c r="Q75" s="32">
        <f>IF($B75="",0,IF(OR($U75="OUT",$U75="TRF"),N($M75),0))</f>
        <v>0</v>
      </c>
      <c r="R75" s="32">
        <f>IF($B75="",0,IF($U75="IN",N($M75),0))</f>
        <v>0</v>
      </c>
      <c r="S75" s="33">
        <f>IF($B75="","",IF($M75="","⚠ مبلغ",IF($E75="","⚠ بانک عامل",IF(AND($U75="TRF",$F75=""),"⚠ بانک مقصد",IF(AND($V75&lt;&gt;"NONE",$V75&lt;&gt;"",$Z75=""),"⚠ طرف حساب","✓")))))</f>
        <v>0</v>
      </c>
      <c r="T75" s="29"/>
      <c r="U75" s="27">
        <f>IFERROR(VLOOKUP($D75,BankOpTbl,2,0),"")</f>
        <v>0</v>
      </c>
      <c r="V75" s="27">
        <f>IFERROR(VLOOKUP($D75,BankOpTbl,3,0),"")</f>
        <v>0</v>
      </c>
      <c r="W75" s="27">
        <f>IFERROR(VLOOKUP($D75,BankOpTbl,4,0),"")</f>
        <v>0</v>
      </c>
      <c r="X75" s="27">
        <f>IF($E75="","",IFERROR(VLOOKUP($E75,BankTbl,4,0),""))</f>
        <v>0</v>
      </c>
      <c r="Y75" s="27">
        <f>IF($F75="","",IFERROR(VLOOKUP($F75,BankTbl,4,0),""))</f>
        <v>0</v>
      </c>
      <c r="Z75" s="27">
        <f>IF($B75="","",IF($V75="PICK",LEFT($N75,5),IF($V75="FIXED",$W75,IF($V75="CODE",$H75,""))))</f>
        <v>0</v>
      </c>
    </row>
    <row r="76" spans="1:26" ht="21" customHeight="1">
      <c r="A76" s="27">
        <f>IF($B76="","",COUNTA($B$13:$B76))</f>
        <v>0</v>
      </c>
      <c r="B76" s="28"/>
      <c r="C76" s="28"/>
      <c r="D76" s="29"/>
      <c r="E76" s="29"/>
      <c r="F76" s="29"/>
      <c r="G76" s="28"/>
      <c r="H76" s="28"/>
      <c r="I76" s="30">
        <f>IF($H76="","",IFERROR(VLOOKUP($H76,AcctTbl,2,0),"کد ناشناخته"))</f>
        <v>0</v>
      </c>
      <c r="J76" s="27">
        <f>IF($H76="","",IFERROR(VLOOKUP($H76,AcctTbl,3,0),""))</f>
        <v>0</v>
      </c>
      <c r="K76" s="29"/>
      <c r="L76" s="28"/>
      <c r="M76" s="31"/>
      <c r="N76" s="29"/>
      <c r="O76" s="32">
        <f>IF($B76="",0,IF($U76="IN",N($M76),0))</f>
        <v>0</v>
      </c>
      <c r="P76" s="32">
        <f>IF($B76="",0,IF(OR($U76="OUT",$U76="TRF"),N($M76),0))</f>
        <v>0</v>
      </c>
      <c r="Q76" s="32">
        <f>IF($B76="",0,IF(OR($U76="OUT",$U76="TRF"),N($M76),0))</f>
        <v>0</v>
      </c>
      <c r="R76" s="32">
        <f>IF($B76="",0,IF($U76="IN",N($M76),0))</f>
        <v>0</v>
      </c>
      <c r="S76" s="33">
        <f>IF($B76="","",IF($M76="","⚠ مبلغ",IF($E76="","⚠ بانک عامل",IF(AND($U76="TRF",$F76=""),"⚠ بانک مقصد",IF(AND($V76&lt;&gt;"NONE",$V76&lt;&gt;"",$Z76=""),"⚠ طرف حساب","✓")))))</f>
        <v>0</v>
      </c>
      <c r="T76" s="29"/>
      <c r="U76" s="27">
        <f>IFERROR(VLOOKUP($D76,BankOpTbl,2,0),"")</f>
        <v>0</v>
      </c>
      <c r="V76" s="27">
        <f>IFERROR(VLOOKUP($D76,BankOpTbl,3,0),"")</f>
        <v>0</v>
      </c>
      <c r="W76" s="27">
        <f>IFERROR(VLOOKUP($D76,BankOpTbl,4,0),"")</f>
        <v>0</v>
      </c>
      <c r="X76" s="27">
        <f>IF($E76="","",IFERROR(VLOOKUP($E76,BankTbl,4,0),""))</f>
        <v>0</v>
      </c>
      <c r="Y76" s="27">
        <f>IF($F76="","",IFERROR(VLOOKUP($F76,BankTbl,4,0),""))</f>
        <v>0</v>
      </c>
      <c r="Z76" s="27">
        <f>IF($B76="","",IF($V76="PICK",LEFT($N76,5),IF($V76="FIXED",$W76,IF($V76="CODE",$H76,""))))</f>
        <v>0</v>
      </c>
    </row>
    <row r="77" spans="1:26" ht="21" customHeight="1">
      <c r="A77" s="27">
        <f>IF($B77="","",COUNTA($B$13:$B77))</f>
        <v>0</v>
      </c>
      <c r="B77" s="28"/>
      <c r="C77" s="28"/>
      <c r="D77" s="29"/>
      <c r="E77" s="29"/>
      <c r="F77" s="29"/>
      <c r="G77" s="28"/>
      <c r="H77" s="28"/>
      <c r="I77" s="30">
        <f>IF($H77="","",IFERROR(VLOOKUP($H77,AcctTbl,2,0),"کد ناشناخته"))</f>
        <v>0</v>
      </c>
      <c r="J77" s="27">
        <f>IF($H77="","",IFERROR(VLOOKUP($H77,AcctTbl,3,0),""))</f>
        <v>0</v>
      </c>
      <c r="K77" s="29"/>
      <c r="L77" s="28"/>
      <c r="M77" s="31"/>
      <c r="N77" s="29"/>
      <c r="O77" s="32">
        <f>IF($B77="",0,IF($U77="IN",N($M77),0))</f>
        <v>0</v>
      </c>
      <c r="P77" s="32">
        <f>IF($B77="",0,IF(OR($U77="OUT",$U77="TRF"),N($M77),0))</f>
        <v>0</v>
      </c>
      <c r="Q77" s="32">
        <f>IF($B77="",0,IF(OR($U77="OUT",$U77="TRF"),N($M77),0))</f>
        <v>0</v>
      </c>
      <c r="R77" s="32">
        <f>IF($B77="",0,IF($U77="IN",N($M77),0))</f>
        <v>0</v>
      </c>
      <c r="S77" s="33">
        <f>IF($B77="","",IF($M77="","⚠ مبلغ",IF($E77="","⚠ بانک عامل",IF(AND($U77="TRF",$F77=""),"⚠ بانک مقصد",IF(AND($V77&lt;&gt;"NONE",$V77&lt;&gt;"",$Z77=""),"⚠ طرف حساب","✓")))))</f>
        <v>0</v>
      </c>
      <c r="T77" s="29"/>
      <c r="U77" s="27">
        <f>IFERROR(VLOOKUP($D77,BankOpTbl,2,0),"")</f>
        <v>0</v>
      </c>
      <c r="V77" s="27">
        <f>IFERROR(VLOOKUP($D77,BankOpTbl,3,0),"")</f>
        <v>0</v>
      </c>
      <c r="W77" s="27">
        <f>IFERROR(VLOOKUP($D77,BankOpTbl,4,0),"")</f>
        <v>0</v>
      </c>
      <c r="X77" s="27">
        <f>IF($E77="","",IFERROR(VLOOKUP($E77,BankTbl,4,0),""))</f>
        <v>0</v>
      </c>
      <c r="Y77" s="27">
        <f>IF($F77="","",IFERROR(VLOOKUP($F77,BankTbl,4,0),""))</f>
        <v>0</v>
      </c>
      <c r="Z77" s="27">
        <f>IF($B77="","",IF($V77="PICK",LEFT($N77,5),IF($V77="FIXED",$W77,IF($V77="CODE",$H77,""))))</f>
        <v>0</v>
      </c>
    </row>
    <row r="78" spans="1:26" ht="21" customHeight="1">
      <c r="A78" s="27">
        <f>IF($B78="","",COUNTA($B$13:$B78))</f>
        <v>0</v>
      </c>
      <c r="B78" s="28"/>
      <c r="C78" s="28"/>
      <c r="D78" s="29"/>
      <c r="E78" s="29"/>
      <c r="F78" s="29"/>
      <c r="G78" s="28"/>
      <c r="H78" s="28"/>
      <c r="I78" s="30">
        <f>IF($H78="","",IFERROR(VLOOKUP($H78,AcctTbl,2,0),"کد ناشناخته"))</f>
        <v>0</v>
      </c>
      <c r="J78" s="27">
        <f>IF($H78="","",IFERROR(VLOOKUP($H78,AcctTbl,3,0),""))</f>
        <v>0</v>
      </c>
      <c r="K78" s="29"/>
      <c r="L78" s="28"/>
      <c r="M78" s="31"/>
      <c r="N78" s="29"/>
      <c r="O78" s="32">
        <f>IF($B78="",0,IF($U78="IN",N($M78),0))</f>
        <v>0</v>
      </c>
      <c r="P78" s="32">
        <f>IF($B78="",0,IF(OR($U78="OUT",$U78="TRF"),N($M78),0))</f>
        <v>0</v>
      </c>
      <c r="Q78" s="32">
        <f>IF($B78="",0,IF(OR($U78="OUT",$U78="TRF"),N($M78),0))</f>
        <v>0</v>
      </c>
      <c r="R78" s="32">
        <f>IF($B78="",0,IF($U78="IN",N($M78),0))</f>
        <v>0</v>
      </c>
      <c r="S78" s="33">
        <f>IF($B78="","",IF($M78="","⚠ مبلغ",IF($E78="","⚠ بانک عامل",IF(AND($U78="TRF",$F78=""),"⚠ بانک مقصد",IF(AND($V78&lt;&gt;"NONE",$V78&lt;&gt;"",$Z78=""),"⚠ طرف حساب","✓")))))</f>
        <v>0</v>
      </c>
      <c r="T78" s="29"/>
      <c r="U78" s="27">
        <f>IFERROR(VLOOKUP($D78,BankOpTbl,2,0),"")</f>
        <v>0</v>
      </c>
      <c r="V78" s="27">
        <f>IFERROR(VLOOKUP($D78,BankOpTbl,3,0),"")</f>
        <v>0</v>
      </c>
      <c r="W78" s="27">
        <f>IFERROR(VLOOKUP($D78,BankOpTbl,4,0),"")</f>
        <v>0</v>
      </c>
      <c r="X78" s="27">
        <f>IF($E78="","",IFERROR(VLOOKUP($E78,BankTbl,4,0),""))</f>
        <v>0</v>
      </c>
      <c r="Y78" s="27">
        <f>IF($F78="","",IFERROR(VLOOKUP($F78,BankTbl,4,0),""))</f>
        <v>0</v>
      </c>
      <c r="Z78" s="27">
        <f>IF($B78="","",IF($V78="PICK",LEFT($N78,5),IF($V78="FIXED",$W78,IF($V78="CODE",$H78,""))))</f>
        <v>0</v>
      </c>
    </row>
    <row r="79" spans="1:26" ht="21" customHeight="1">
      <c r="A79" s="27">
        <f>IF($B79="","",COUNTA($B$13:$B79))</f>
        <v>0</v>
      </c>
      <c r="B79" s="28"/>
      <c r="C79" s="28"/>
      <c r="D79" s="29"/>
      <c r="E79" s="29"/>
      <c r="F79" s="29"/>
      <c r="G79" s="28"/>
      <c r="H79" s="28"/>
      <c r="I79" s="30">
        <f>IF($H79="","",IFERROR(VLOOKUP($H79,AcctTbl,2,0),"کد ناشناخته"))</f>
        <v>0</v>
      </c>
      <c r="J79" s="27">
        <f>IF($H79="","",IFERROR(VLOOKUP($H79,AcctTbl,3,0),""))</f>
        <v>0</v>
      </c>
      <c r="K79" s="29"/>
      <c r="L79" s="28"/>
      <c r="M79" s="31"/>
      <c r="N79" s="29"/>
      <c r="O79" s="32">
        <f>IF($B79="",0,IF($U79="IN",N($M79),0))</f>
        <v>0</v>
      </c>
      <c r="P79" s="32">
        <f>IF($B79="",0,IF(OR($U79="OUT",$U79="TRF"),N($M79),0))</f>
        <v>0</v>
      </c>
      <c r="Q79" s="32">
        <f>IF($B79="",0,IF(OR($U79="OUT",$U79="TRF"),N($M79),0))</f>
        <v>0</v>
      </c>
      <c r="R79" s="32">
        <f>IF($B79="",0,IF($U79="IN",N($M79),0))</f>
        <v>0</v>
      </c>
      <c r="S79" s="33">
        <f>IF($B79="","",IF($M79="","⚠ مبلغ",IF($E79="","⚠ بانک عامل",IF(AND($U79="TRF",$F79=""),"⚠ بانک مقصد",IF(AND($V79&lt;&gt;"NONE",$V79&lt;&gt;"",$Z79=""),"⚠ طرف حساب","✓")))))</f>
        <v>0</v>
      </c>
      <c r="T79" s="29"/>
      <c r="U79" s="27">
        <f>IFERROR(VLOOKUP($D79,BankOpTbl,2,0),"")</f>
        <v>0</v>
      </c>
      <c r="V79" s="27">
        <f>IFERROR(VLOOKUP($D79,BankOpTbl,3,0),"")</f>
        <v>0</v>
      </c>
      <c r="W79" s="27">
        <f>IFERROR(VLOOKUP($D79,BankOpTbl,4,0),"")</f>
        <v>0</v>
      </c>
      <c r="X79" s="27">
        <f>IF($E79="","",IFERROR(VLOOKUP($E79,BankTbl,4,0),""))</f>
        <v>0</v>
      </c>
      <c r="Y79" s="27">
        <f>IF($F79="","",IFERROR(VLOOKUP($F79,BankTbl,4,0),""))</f>
        <v>0</v>
      </c>
      <c r="Z79" s="27">
        <f>IF($B79="","",IF($V79="PICK",LEFT($N79,5),IF($V79="FIXED",$W79,IF($V79="CODE",$H79,""))))</f>
        <v>0</v>
      </c>
    </row>
    <row r="80" spans="1:26" ht="21" customHeight="1">
      <c r="A80" s="27">
        <f>IF($B80="","",COUNTA($B$13:$B80))</f>
        <v>0</v>
      </c>
      <c r="B80" s="28"/>
      <c r="C80" s="28"/>
      <c r="D80" s="29"/>
      <c r="E80" s="29"/>
      <c r="F80" s="29"/>
      <c r="G80" s="28"/>
      <c r="H80" s="28"/>
      <c r="I80" s="30">
        <f>IF($H80="","",IFERROR(VLOOKUP($H80,AcctTbl,2,0),"کد ناشناخته"))</f>
        <v>0</v>
      </c>
      <c r="J80" s="27">
        <f>IF($H80="","",IFERROR(VLOOKUP($H80,AcctTbl,3,0),""))</f>
        <v>0</v>
      </c>
      <c r="K80" s="29"/>
      <c r="L80" s="28"/>
      <c r="M80" s="31"/>
      <c r="N80" s="29"/>
      <c r="O80" s="32">
        <f>IF($B80="",0,IF($U80="IN",N($M80),0))</f>
        <v>0</v>
      </c>
      <c r="P80" s="32">
        <f>IF($B80="",0,IF(OR($U80="OUT",$U80="TRF"),N($M80),0))</f>
        <v>0</v>
      </c>
      <c r="Q80" s="32">
        <f>IF($B80="",0,IF(OR($U80="OUT",$U80="TRF"),N($M80),0))</f>
        <v>0</v>
      </c>
      <c r="R80" s="32">
        <f>IF($B80="",0,IF($U80="IN",N($M80),0))</f>
        <v>0</v>
      </c>
      <c r="S80" s="33">
        <f>IF($B80="","",IF($M80="","⚠ مبلغ",IF($E80="","⚠ بانک عامل",IF(AND($U80="TRF",$F80=""),"⚠ بانک مقصد",IF(AND($V80&lt;&gt;"NONE",$V80&lt;&gt;"",$Z80=""),"⚠ طرف حساب","✓")))))</f>
        <v>0</v>
      </c>
      <c r="T80" s="29"/>
      <c r="U80" s="27">
        <f>IFERROR(VLOOKUP($D80,BankOpTbl,2,0),"")</f>
        <v>0</v>
      </c>
      <c r="V80" s="27">
        <f>IFERROR(VLOOKUP($D80,BankOpTbl,3,0),"")</f>
        <v>0</v>
      </c>
      <c r="W80" s="27">
        <f>IFERROR(VLOOKUP($D80,BankOpTbl,4,0),"")</f>
        <v>0</v>
      </c>
      <c r="X80" s="27">
        <f>IF($E80="","",IFERROR(VLOOKUP($E80,BankTbl,4,0),""))</f>
        <v>0</v>
      </c>
      <c r="Y80" s="27">
        <f>IF($F80="","",IFERROR(VLOOKUP($F80,BankTbl,4,0),""))</f>
        <v>0</v>
      </c>
      <c r="Z80" s="27">
        <f>IF($B80="","",IF($V80="PICK",LEFT($N80,5),IF($V80="FIXED",$W80,IF($V80="CODE",$H80,""))))</f>
        <v>0</v>
      </c>
    </row>
    <row r="81" spans="1:26" ht="21" customHeight="1">
      <c r="A81" s="27">
        <f>IF($B81="","",COUNTA($B$13:$B81))</f>
        <v>0</v>
      </c>
      <c r="B81" s="28"/>
      <c r="C81" s="28"/>
      <c r="D81" s="29"/>
      <c r="E81" s="29"/>
      <c r="F81" s="29"/>
      <c r="G81" s="28"/>
      <c r="H81" s="28"/>
      <c r="I81" s="30">
        <f>IF($H81="","",IFERROR(VLOOKUP($H81,AcctTbl,2,0),"کد ناشناخته"))</f>
        <v>0</v>
      </c>
      <c r="J81" s="27">
        <f>IF($H81="","",IFERROR(VLOOKUP($H81,AcctTbl,3,0),""))</f>
        <v>0</v>
      </c>
      <c r="K81" s="29"/>
      <c r="L81" s="28"/>
      <c r="M81" s="31"/>
      <c r="N81" s="29"/>
      <c r="O81" s="32">
        <f>IF($B81="",0,IF($U81="IN",N($M81),0))</f>
        <v>0</v>
      </c>
      <c r="P81" s="32">
        <f>IF($B81="",0,IF(OR($U81="OUT",$U81="TRF"),N($M81),0))</f>
        <v>0</v>
      </c>
      <c r="Q81" s="32">
        <f>IF($B81="",0,IF(OR($U81="OUT",$U81="TRF"),N($M81),0))</f>
        <v>0</v>
      </c>
      <c r="R81" s="32">
        <f>IF($B81="",0,IF($U81="IN",N($M81),0))</f>
        <v>0</v>
      </c>
      <c r="S81" s="33">
        <f>IF($B81="","",IF($M81="","⚠ مبلغ",IF($E81="","⚠ بانک عامل",IF(AND($U81="TRF",$F81=""),"⚠ بانک مقصد",IF(AND($V81&lt;&gt;"NONE",$V81&lt;&gt;"",$Z81=""),"⚠ طرف حساب","✓")))))</f>
        <v>0</v>
      </c>
      <c r="T81" s="29"/>
      <c r="U81" s="27">
        <f>IFERROR(VLOOKUP($D81,BankOpTbl,2,0),"")</f>
        <v>0</v>
      </c>
      <c r="V81" s="27">
        <f>IFERROR(VLOOKUP($D81,BankOpTbl,3,0),"")</f>
        <v>0</v>
      </c>
      <c r="W81" s="27">
        <f>IFERROR(VLOOKUP($D81,BankOpTbl,4,0),"")</f>
        <v>0</v>
      </c>
      <c r="X81" s="27">
        <f>IF($E81="","",IFERROR(VLOOKUP($E81,BankTbl,4,0),""))</f>
        <v>0</v>
      </c>
      <c r="Y81" s="27">
        <f>IF($F81="","",IFERROR(VLOOKUP($F81,BankTbl,4,0),""))</f>
        <v>0</v>
      </c>
      <c r="Z81" s="27">
        <f>IF($B81="","",IF($V81="PICK",LEFT($N81,5),IF($V81="FIXED",$W81,IF($V81="CODE",$H81,""))))</f>
        <v>0</v>
      </c>
    </row>
    <row r="82" spans="1:26" ht="21" customHeight="1">
      <c r="A82" s="27">
        <f>IF($B82="","",COUNTA($B$13:$B82))</f>
        <v>0</v>
      </c>
      <c r="B82" s="28"/>
      <c r="C82" s="28"/>
      <c r="D82" s="29"/>
      <c r="E82" s="29"/>
      <c r="F82" s="29"/>
      <c r="G82" s="28"/>
      <c r="H82" s="28"/>
      <c r="I82" s="30">
        <f>IF($H82="","",IFERROR(VLOOKUP($H82,AcctTbl,2,0),"کد ناشناخته"))</f>
        <v>0</v>
      </c>
      <c r="J82" s="27">
        <f>IF($H82="","",IFERROR(VLOOKUP($H82,AcctTbl,3,0),""))</f>
        <v>0</v>
      </c>
      <c r="K82" s="29"/>
      <c r="L82" s="28"/>
      <c r="M82" s="31"/>
      <c r="N82" s="29"/>
      <c r="O82" s="32">
        <f>IF($B82="",0,IF($U82="IN",N($M82),0))</f>
        <v>0</v>
      </c>
      <c r="P82" s="32">
        <f>IF($B82="",0,IF(OR($U82="OUT",$U82="TRF"),N($M82),0))</f>
        <v>0</v>
      </c>
      <c r="Q82" s="32">
        <f>IF($B82="",0,IF(OR($U82="OUT",$U82="TRF"),N($M82),0))</f>
        <v>0</v>
      </c>
      <c r="R82" s="32">
        <f>IF($B82="",0,IF($U82="IN",N($M82),0))</f>
        <v>0</v>
      </c>
      <c r="S82" s="33">
        <f>IF($B82="","",IF($M82="","⚠ مبلغ",IF($E82="","⚠ بانک عامل",IF(AND($U82="TRF",$F82=""),"⚠ بانک مقصد",IF(AND($V82&lt;&gt;"NONE",$V82&lt;&gt;"",$Z82=""),"⚠ طرف حساب","✓")))))</f>
        <v>0</v>
      </c>
      <c r="T82" s="29"/>
      <c r="U82" s="27">
        <f>IFERROR(VLOOKUP($D82,BankOpTbl,2,0),"")</f>
        <v>0</v>
      </c>
      <c r="V82" s="27">
        <f>IFERROR(VLOOKUP($D82,BankOpTbl,3,0),"")</f>
        <v>0</v>
      </c>
      <c r="W82" s="27">
        <f>IFERROR(VLOOKUP($D82,BankOpTbl,4,0),"")</f>
        <v>0</v>
      </c>
      <c r="X82" s="27">
        <f>IF($E82="","",IFERROR(VLOOKUP($E82,BankTbl,4,0),""))</f>
        <v>0</v>
      </c>
      <c r="Y82" s="27">
        <f>IF($F82="","",IFERROR(VLOOKUP($F82,BankTbl,4,0),""))</f>
        <v>0</v>
      </c>
      <c r="Z82" s="27">
        <f>IF($B82="","",IF($V82="PICK",LEFT($N82,5),IF($V82="FIXED",$W82,IF($V82="CODE",$H82,""))))</f>
        <v>0</v>
      </c>
    </row>
    <row r="83" spans="1:26" ht="21" customHeight="1">
      <c r="A83" s="27">
        <f>IF($B83="","",COUNTA($B$13:$B83))</f>
        <v>0</v>
      </c>
      <c r="B83" s="28"/>
      <c r="C83" s="28"/>
      <c r="D83" s="29"/>
      <c r="E83" s="29"/>
      <c r="F83" s="29"/>
      <c r="G83" s="28"/>
      <c r="H83" s="28"/>
      <c r="I83" s="30">
        <f>IF($H83="","",IFERROR(VLOOKUP($H83,AcctTbl,2,0),"کد ناشناخته"))</f>
        <v>0</v>
      </c>
      <c r="J83" s="27">
        <f>IF($H83="","",IFERROR(VLOOKUP($H83,AcctTbl,3,0),""))</f>
        <v>0</v>
      </c>
      <c r="K83" s="29"/>
      <c r="L83" s="28"/>
      <c r="M83" s="31"/>
      <c r="N83" s="29"/>
      <c r="O83" s="32">
        <f>IF($B83="",0,IF($U83="IN",N($M83),0))</f>
        <v>0</v>
      </c>
      <c r="P83" s="32">
        <f>IF($B83="",0,IF(OR($U83="OUT",$U83="TRF"),N($M83),0))</f>
        <v>0</v>
      </c>
      <c r="Q83" s="32">
        <f>IF($B83="",0,IF(OR($U83="OUT",$U83="TRF"),N($M83),0))</f>
        <v>0</v>
      </c>
      <c r="R83" s="32">
        <f>IF($B83="",0,IF($U83="IN",N($M83),0))</f>
        <v>0</v>
      </c>
      <c r="S83" s="33">
        <f>IF($B83="","",IF($M83="","⚠ مبلغ",IF($E83="","⚠ بانک عامل",IF(AND($U83="TRF",$F83=""),"⚠ بانک مقصد",IF(AND($V83&lt;&gt;"NONE",$V83&lt;&gt;"",$Z83=""),"⚠ طرف حساب","✓")))))</f>
        <v>0</v>
      </c>
      <c r="T83" s="29"/>
      <c r="U83" s="27">
        <f>IFERROR(VLOOKUP($D83,BankOpTbl,2,0),"")</f>
        <v>0</v>
      </c>
      <c r="V83" s="27">
        <f>IFERROR(VLOOKUP($D83,BankOpTbl,3,0),"")</f>
        <v>0</v>
      </c>
      <c r="W83" s="27">
        <f>IFERROR(VLOOKUP($D83,BankOpTbl,4,0),"")</f>
        <v>0</v>
      </c>
      <c r="X83" s="27">
        <f>IF($E83="","",IFERROR(VLOOKUP($E83,BankTbl,4,0),""))</f>
        <v>0</v>
      </c>
      <c r="Y83" s="27">
        <f>IF($F83="","",IFERROR(VLOOKUP($F83,BankTbl,4,0),""))</f>
        <v>0</v>
      </c>
      <c r="Z83" s="27">
        <f>IF($B83="","",IF($V83="PICK",LEFT($N83,5),IF($V83="FIXED",$W83,IF($V83="CODE",$H83,""))))</f>
        <v>0</v>
      </c>
    </row>
    <row r="84" spans="1:26" ht="21" customHeight="1">
      <c r="A84" s="27">
        <f>IF($B84="","",COUNTA($B$13:$B84))</f>
        <v>0</v>
      </c>
      <c r="B84" s="28"/>
      <c r="C84" s="28"/>
      <c r="D84" s="29"/>
      <c r="E84" s="29"/>
      <c r="F84" s="29"/>
      <c r="G84" s="28"/>
      <c r="H84" s="28"/>
      <c r="I84" s="30">
        <f>IF($H84="","",IFERROR(VLOOKUP($H84,AcctTbl,2,0),"کد ناشناخته"))</f>
        <v>0</v>
      </c>
      <c r="J84" s="27">
        <f>IF($H84="","",IFERROR(VLOOKUP($H84,AcctTbl,3,0),""))</f>
        <v>0</v>
      </c>
      <c r="K84" s="29"/>
      <c r="L84" s="28"/>
      <c r="M84" s="31"/>
      <c r="N84" s="29"/>
      <c r="O84" s="32">
        <f>IF($B84="",0,IF($U84="IN",N($M84),0))</f>
        <v>0</v>
      </c>
      <c r="P84" s="32">
        <f>IF($B84="",0,IF(OR($U84="OUT",$U84="TRF"),N($M84),0))</f>
        <v>0</v>
      </c>
      <c r="Q84" s="32">
        <f>IF($B84="",0,IF(OR($U84="OUT",$U84="TRF"),N($M84),0))</f>
        <v>0</v>
      </c>
      <c r="R84" s="32">
        <f>IF($B84="",0,IF($U84="IN",N($M84),0))</f>
        <v>0</v>
      </c>
      <c r="S84" s="33">
        <f>IF($B84="","",IF($M84="","⚠ مبلغ",IF($E84="","⚠ بانک عامل",IF(AND($U84="TRF",$F84=""),"⚠ بانک مقصد",IF(AND($V84&lt;&gt;"NONE",$V84&lt;&gt;"",$Z84=""),"⚠ طرف حساب","✓")))))</f>
        <v>0</v>
      </c>
      <c r="T84" s="29"/>
      <c r="U84" s="27">
        <f>IFERROR(VLOOKUP($D84,BankOpTbl,2,0),"")</f>
        <v>0</v>
      </c>
      <c r="V84" s="27">
        <f>IFERROR(VLOOKUP($D84,BankOpTbl,3,0),"")</f>
        <v>0</v>
      </c>
      <c r="W84" s="27">
        <f>IFERROR(VLOOKUP($D84,BankOpTbl,4,0),"")</f>
        <v>0</v>
      </c>
      <c r="X84" s="27">
        <f>IF($E84="","",IFERROR(VLOOKUP($E84,BankTbl,4,0),""))</f>
        <v>0</v>
      </c>
      <c r="Y84" s="27">
        <f>IF($F84="","",IFERROR(VLOOKUP($F84,BankTbl,4,0),""))</f>
        <v>0</v>
      </c>
      <c r="Z84" s="27">
        <f>IF($B84="","",IF($V84="PICK",LEFT($N84,5),IF($V84="FIXED",$W84,IF($V84="CODE",$H84,""))))</f>
        <v>0</v>
      </c>
    </row>
    <row r="85" spans="1:26" ht="21" customHeight="1">
      <c r="A85" s="27">
        <f>IF($B85="","",COUNTA($B$13:$B85))</f>
        <v>0</v>
      </c>
      <c r="B85" s="28"/>
      <c r="C85" s="28"/>
      <c r="D85" s="29"/>
      <c r="E85" s="29"/>
      <c r="F85" s="29"/>
      <c r="G85" s="28"/>
      <c r="H85" s="28"/>
      <c r="I85" s="30">
        <f>IF($H85="","",IFERROR(VLOOKUP($H85,AcctTbl,2,0),"کد ناشناخته"))</f>
        <v>0</v>
      </c>
      <c r="J85" s="27">
        <f>IF($H85="","",IFERROR(VLOOKUP($H85,AcctTbl,3,0),""))</f>
        <v>0</v>
      </c>
      <c r="K85" s="29"/>
      <c r="L85" s="28"/>
      <c r="M85" s="31"/>
      <c r="N85" s="29"/>
      <c r="O85" s="32">
        <f>IF($B85="",0,IF($U85="IN",N($M85),0))</f>
        <v>0</v>
      </c>
      <c r="P85" s="32">
        <f>IF($B85="",0,IF(OR($U85="OUT",$U85="TRF"),N($M85),0))</f>
        <v>0</v>
      </c>
      <c r="Q85" s="32">
        <f>IF($B85="",0,IF(OR($U85="OUT",$U85="TRF"),N($M85),0))</f>
        <v>0</v>
      </c>
      <c r="R85" s="32">
        <f>IF($B85="",0,IF($U85="IN",N($M85),0))</f>
        <v>0</v>
      </c>
      <c r="S85" s="33">
        <f>IF($B85="","",IF($M85="","⚠ مبلغ",IF($E85="","⚠ بانک عامل",IF(AND($U85="TRF",$F85=""),"⚠ بانک مقصد",IF(AND($V85&lt;&gt;"NONE",$V85&lt;&gt;"",$Z85=""),"⚠ طرف حساب","✓")))))</f>
        <v>0</v>
      </c>
      <c r="T85" s="29"/>
      <c r="U85" s="27">
        <f>IFERROR(VLOOKUP($D85,BankOpTbl,2,0),"")</f>
        <v>0</v>
      </c>
      <c r="V85" s="27">
        <f>IFERROR(VLOOKUP($D85,BankOpTbl,3,0),"")</f>
        <v>0</v>
      </c>
      <c r="W85" s="27">
        <f>IFERROR(VLOOKUP($D85,BankOpTbl,4,0),"")</f>
        <v>0</v>
      </c>
      <c r="X85" s="27">
        <f>IF($E85="","",IFERROR(VLOOKUP($E85,BankTbl,4,0),""))</f>
        <v>0</v>
      </c>
      <c r="Y85" s="27">
        <f>IF($F85="","",IFERROR(VLOOKUP($F85,BankTbl,4,0),""))</f>
        <v>0</v>
      </c>
      <c r="Z85" s="27">
        <f>IF($B85="","",IF($V85="PICK",LEFT($N85,5),IF($V85="FIXED",$W85,IF($V85="CODE",$H85,""))))</f>
        <v>0</v>
      </c>
    </row>
    <row r="86" spans="1:26" ht="21" customHeight="1">
      <c r="A86" s="27">
        <f>IF($B86="","",COUNTA($B$13:$B86))</f>
        <v>0</v>
      </c>
      <c r="B86" s="28"/>
      <c r="C86" s="28"/>
      <c r="D86" s="29"/>
      <c r="E86" s="29"/>
      <c r="F86" s="29"/>
      <c r="G86" s="28"/>
      <c r="H86" s="28"/>
      <c r="I86" s="30">
        <f>IF($H86="","",IFERROR(VLOOKUP($H86,AcctTbl,2,0),"کد ناشناخته"))</f>
        <v>0</v>
      </c>
      <c r="J86" s="27">
        <f>IF($H86="","",IFERROR(VLOOKUP($H86,AcctTbl,3,0),""))</f>
        <v>0</v>
      </c>
      <c r="K86" s="29"/>
      <c r="L86" s="28"/>
      <c r="M86" s="31"/>
      <c r="N86" s="29"/>
      <c r="O86" s="32">
        <f>IF($B86="",0,IF($U86="IN",N($M86),0))</f>
        <v>0</v>
      </c>
      <c r="P86" s="32">
        <f>IF($B86="",0,IF(OR($U86="OUT",$U86="TRF"),N($M86),0))</f>
        <v>0</v>
      </c>
      <c r="Q86" s="32">
        <f>IF($B86="",0,IF(OR($U86="OUT",$U86="TRF"),N($M86),0))</f>
        <v>0</v>
      </c>
      <c r="R86" s="32">
        <f>IF($B86="",0,IF($U86="IN",N($M86),0))</f>
        <v>0</v>
      </c>
      <c r="S86" s="33">
        <f>IF($B86="","",IF($M86="","⚠ مبلغ",IF($E86="","⚠ بانک عامل",IF(AND($U86="TRF",$F86=""),"⚠ بانک مقصد",IF(AND($V86&lt;&gt;"NONE",$V86&lt;&gt;"",$Z86=""),"⚠ طرف حساب","✓")))))</f>
        <v>0</v>
      </c>
      <c r="T86" s="29"/>
      <c r="U86" s="27">
        <f>IFERROR(VLOOKUP($D86,BankOpTbl,2,0),"")</f>
        <v>0</v>
      </c>
      <c r="V86" s="27">
        <f>IFERROR(VLOOKUP($D86,BankOpTbl,3,0),"")</f>
        <v>0</v>
      </c>
      <c r="W86" s="27">
        <f>IFERROR(VLOOKUP($D86,BankOpTbl,4,0),"")</f>
        <v>0</v>
      </c>
      <c r="X86" s="27">
        <f>IF($E86="","",IFERROR(VLOOKUP($E86,BankTbl,4,0),""))</f>
        <v>0</v>
      </c>
      <c r="Y86" s="27">
        <f>IF($F86="","",IFERROR(VLOOKUP($F86,BankTbl,4,0),""))</f>
        <v>0</v>
      </c>
      <c r="Z86" s="27">
        <f>IF($B86="","",IF($V86="PICK",LEFT($N86,5),IF($V86="FIXED",$W86,IF($V86="CODE",$H86,""))))</f>
        <v>0</v>
      </c>
    </row>
    <row r="87" spans="1:26" ht="21" customHeight="1">
      <c r="A87" s="27">
        <f>IF($B87="","",COUNTA($B$13:$B87))</f>
        <v>0</v>
      </c>
      <c r="B87" s="28"/>
      <c r="C87" s="28"/>
      <c r="D87" s="29"/>
      <c r="E87" s="29"/>
      <c r="F87" s="29"/>
      <c r="G87" s="28"/>
      <c r="H87" s="28"/>
      <c r="I87" s="30">
        <f>IF($H87="","",IFERROR(VLOOKUP($H87,AcctTbl,2,0),"کد ناشناخته"))</f>
        <v>0</v>
      </c>
      <c r="J87" s="27">
        <f>IF($H87="","",IFERROR(VLOOKUP($H87,AcctTbl,3,0),""))</f>
        <v>0</v>
      </c>
      <c r="K87" s="29"/>
      <c r="L87" s="28"/>
      <c r="M87" s="31"/>
      <c r="N87" s="29"/>
      <c r="O87" s="32">
        <f>IF($B87="",0,IF($U87="IN",N($M87),0))</f>
        <v>0</v>
      </c>
      <c r="P87" s="32">
        <f>IF($B87="",0,IF(OR($U87="OUT",$U87="TRF"),N($M87),0))</f>
        <v>0</v>
      </c>
      <c r="Q87" s="32">
        <f>IF($B87="",0,IF(OR($U87="OUT",$U87="TRF"),N($M87),0))</f>
        <v>0</v>
      </c>
      <c r="R87" s="32">
        <f>IF($B87="",0,IF($U87="IN",N($M87),0))</f>
        <v>0</v>
      </c>
      <c r="S87" s="33">
        <f>IF($B87="","",IF($M87="","⚠ مبلغ",IF($E87="","⚠ بانک عامل",IF(AND($U87="TRF",$F87=""),"⚠ بانک مقصد",IF(AND($V87&lt;&gt;"NONE",$V87&lt;&gt;"",$Z87=""),"⚠ طرف حساب","✓")))))</f>
        <v>0</v>
      </c>
      <c r="T87" s="29"/>
      <c r="U87" s="27">
        <f>IFERROR(VLOOKUP($D87,BankOpTbl,2,0),"")</f>
        <v>0</v>
      </c>
      <c r="V87" s="27">
        <f>IFERROR(VLOOKUP($D87,BankOpTbl,3,0),"")</f>
        <v>0</v>
      </c>
      <c r="W87" s="27">
        <f>IFERROR(VLOOKUP($D87,BankOpTbl,4,0),"")</f>
        <v>0</v>
      </c>
      <c r="X87" s="27">
        <f>IF($E87="","",IFERROR(VLOOKUP($E87,BankTbl,4,0),""))</f>
        <v>0</v>
      </c>
      <c r="Y87" s="27">
        <f>IF($F87="","",IFERROR(VLOOKUP($F87,BankTbl,4,0),""))</f>
        <v>0</v>
      </c>
      <c r="Z87" s="27">
        <f>IF($B87="","",IF($V87="PICK",LEFT($N87,5),IF($V87="FIXED",$W87,IF($V87="CODE",$H87,""))))</f>
        <v>0</v>
      </c>
    </row>
    <row r="88" spans="1:26" ht="21" customHeight="1">
      <c r="A88" s="27">
        <f>IF($B88="","",COUNTA($B$13:$B88))</f>
        <v>0</v>
      </c>
      <c r="B88" s="28"/>
      <c r="C88" s="28"/>
      <c r="D88" s="29"/>
      <c r="E88" s="29"/>
      <c r="F88" s="29"/>
      <c r="G88" s="28"/>
      <c r="H88" s="28"/>
      <c r="I88" s="30">
        <f>IF($H88="","",IFERROR(VLOOKUP($H88,AcctTbl,2,0),"کد ناشناخته"))</f>
        <v>0</v>
      </c>
      <c r="J88" s="27">
        <f>IF($H88="","",IFERROR(VLOOKUP($H88,AcctTbl,3,0),""))</f>
        <v>0</v>
      </c>
      <c r="K88" s="29"/>
      <c r="L88" s="28"/>
      <c r="M88" s="31"/>
      <c r="N88" s="29"/>
      <c r="O88" s="32">
        <f>IF($B88="",0,IF($U88="IN",N($M88),0))</f>
        <v>0</v>
      </c>
      <c r="P88" s="32">
        <f>IF($B88="",0,IF(OR($U88="OUT",$U88="TRF"),N($M88),0))</f>
        <v>0</v>
      </c>
      <c r="Q88" s="32">
        <f>IF($B88="",0,IF(OR($U88="OUT",$U88="TRF"),N($M88),0))</f>
        <v>0</v>
      </c>
      <c r="R88" s="32">
        <f>IF($B88="",0,IF($U88="IN",N($M88),0))</f>
        <v>0</v>
      </c>
      <c r="S88" s="33">
        <f>IF($B88="","",IF($M88="","⚠ مبلغ",IF($E88="","⚠ بانک عامل",IF(AND($U88="TRF",$F88=""),"⚠ بانک مقصد",IF(AND($V88&lt;&gt;"NONE",$V88&lt;&gt;"",$Z88=""),"⚠ طرف حساب","✓")))))</f>
        <v>0</v>
      </c>
      <c r="T88" s="29"/>
      <c r="U88" s="27">
        <f>IFERROR(VLOOKUP($D88,BankOpTbl,2,0),"")</f>
        <v>0</v>
      </c>
      <c r="V88" s="27">
        <f>IFERROR(VLOOKUP($D88,BankOpTbl,3,0),"")</f>
        <v>0</v>
      </c>
      <c r="W88" s="27">
        <f>IFERROR(VLOOKUP($D88,BankOpTbl,4,0),"")</f>
        <v>0</v>
      </c>
      <c r="X88" s="27">
        <f>IF($E88="","",IFERROR(VLOOKUP($E88,BankTbl,4,0),""))</f>
        <v>0</v>
      </c>
      <c r="Y88" s="27">
        <f>IF($F88="","",IFERROR(VLOOKUP($F88,BankTbl,4,0),""))</f>
        <v>0</v>
      </c>
      <c r="Z88" s="27">
        <f>IF($B88="","",IF($V88="PICK",LEFT($N88,5),IF($V88="FIXED",$W88,IF($V88="CODE",$H88,""))))</f>
        <v>0</v>
      </c>
    </row>
    <row r="89" spans="1:26" ht="21" customHeight="1">
      <c r="A89" s="27">
        <f>IF($B89="","",COUNTA($B$13:$B89))</f>
        <v>0</v>
      </c>
      <c r="B89" s="28"/>
      <c r="C89" s="28"/>
      <c r="D89" s="29"/>
      <c r="E89" s="29"/>
      <c r="F89" s="29"/>
      <c r="G89" s="28"/>
      <c r="H89" s="28"/>
      <c r="I89" s="30">
        <f>IF($H89="","",IFERROR(VLOOKUP($H89,AcctTbl,2,0),"کد ناشناخته"))</f>
        <v>0</v>
      </c>
      <c r="J89" s="27">
        <f>IF($H89="","",IFERROR(VLOOKUP($H89,AcctTbl,3,0),""))</f>
        <v>0</v>
      </c>
      <c r="K89" s="29"/>
      <c r="L89" s="28"/>
      <c r="M89" s="31"/>
      <c r="N89" s="29"/>
      <c r="O89" s="32">
        <f>IF($B89="",0,IF($U89="IN",N($M89),0))</f>
        <v>0</v>
      </c>
      <c r="P89" s="32">
        <f>IF($B89="",0,IF(OR($U89="OUT",$U89="TRF"),N($M89),0))</f>
        <v>0</v>
      </c>
      <c r="Q89" s="32">
        <f>IF($B89="",0,IF(OR($U89="OUT",$U89="TRF"),N($M89),0))</f>
        <v>0</v>
      </c>
      <c r="R89" s="32">
        <f>IF($B89="",0,IF($U89="IN",N($M89),0))</f>
        <v>0</v>
      </c>
      <c r="S89" s="33">
        <f>IF($B89="","",IF($M89="","⚠ مبلغ",IF($E89="","⚠ بانک عامل",IF(AND($U89="TRF",$F89=""),"⚠ بانک مقصد",IF(AND($V89&lt;&gt;"NONE",$V89&lt;&gt;"",$Z89=""),"⚠ طرف حساب","✓")))))</f>
        <v>0</v>
      </c>
      <c r="T89" s="29"/>
      <c r="U89" s="27">
        <f>IFERROR(VLOOKUP($D89,BankOpTbl,2,0),"")</f>
        <v>0</v>
      </c>
      <c r="V89" s="27">
        <f>IFERROR(VLOOKUP($D89,BankOpTbl,3,0),"")</f>
        <v>0</v>
      </c>
      <c r="W89" s="27">
        <f>IFERROR(VLOOKUP($D89,BankOpTbl,4,0),"")</f>
        <v>0</v>
      </c>
      <c r="X89" s="27">
        <f>IF($E89="","",IFERROR(VLOOKUP($E89,BankTbl,4,0),""))</f>
        <v>0</v>
      </c>
      <c r="Y89" s="27">
        <f>IF($F89="","",IFERROR(VLOOKUP($F89,BankTbl,4,0),""))</f>
        <v>0</v>
      </c>
      <c r="Z89" s="27">
        <f>IF($B89="","",IF($V89="PICK",LEFT($N89,5),IF($V89="FIXED",$W89,IF($V89="CODE",$H89,""))))</f>
        <v>0</v>
      </c>
    </row>
    <row r="90" spans="1:26" ht="21" customHeight="1">
      <c r="A90" s="27">
        <f>IF($B90="","",COUNTA($B$13:$B90))</f>
        <v>0</v>
      </c>
      <c r="B90" s="28"/>
      <c r="C90" s="28"/>
      <c r="D90" s="29"/>
      <c r="E90" s="29"/>
      <c r="F90" s="29"/>
      <c r="G90" s="28"/>
      <c r="H90" s="28"/>
      <c r="I90" s="30">
        <f>IF($H90="","",IFERROR(VLOOKUP($H90,AcctTbl,2,0),"کد ناشناخته"))</f>
        <v>0</v>
      </c>
      <c r="J90" s="27">
        <f>IF($H90="","",IFERROR(VLOOKUP($H90,AcctTbl,3,0),""))</f>
        <v>0</v>
      </c>
      <c r="K90" s="29"/>
      <c r="L90" s="28"/>
      <c r="M90" s="31"/>
      <c r="N90" s="29"/>
      <c r="O90" s="32">
        <f>IF($B90="",0,IF($U90="IN",N($M90),0))</f>
        <v>0</v>
      </c>
      <c r="P90" s="32">
        <f>IF($B90="",0,IF(OR($U90="OUT",$U90="TRF"),N($M90),0))</f>
        <v>0</v>
      </c>
      <c r="Q90" s="32">
        <f>IF($B90="",0,IF(OR($U90="OUT",$U90="TRF"),N($M90),0))</f>
        <v>0</v>
      </c>
      <c r="R90" s="32">
        <f>IF($B90="",0,IF($U90="IN",N($M90),0))</f>
        <v>0</v>
      </c>
      <c r="S90" s="33">
        <f>IF($B90="","",IF($M90="","⚠ مبلغ",IF($E90="","⚠ بانک عامل",IF(AND($U90="TRF",$F90=""),"⚠ بانک مقصد",IF(AND($V90&lt;&gt;"NONE",$V90&lt;&gt;"",$Z90=""),"⚠ طرف حساب","✓")))))</f>
        <v>0</v>
      </c>
      <c r="T90" s="29"/>
      <c r="U90" s="27">
        <f>IFERROR(VLOOKUP($D90,BankOpTbl,2,0),"")</f>
        <v>0</v>
      </c>
      <c r="V90" s="27">
        <f>IFERROR(VLOOKUP($D90,BankOpTbl,3,0),"")</f>
        <v>0</v>
      </c>
      <c r="W90" s="27">
        <f>IFERROR(VLOOKUP($D90,BankOpTbl,4,0),"")</f>
        <v>0</v>
      </c>
      <c r="X90" s="27">
        <f>IF($E90="","",IFERROR(VLOOKUP($E90,BankTbl,4,0),""))</f>
        <v>0</v>
      </c>
      <c r="Y90" s="27">
        <f>IF($F90="","",IFERROR(VLOOKUP($F90,BankTbl,4,0),""))</f>
        <v>0</v>
      </c>
      <c r="Z90" s="27">
        <f>IF($B90="","",IF($V90="PICK",LEFT($N90,5),IF($V90="FIXED",$W90,IF($V90="CODE",$H90,""))))</f>
        <v>0</v>
      </c>
    </row>
    <row r="91" spans="1:26" ht="21" customHeight="1">
      <c r="A91" s="27">
        <f>IF($B91="","",COUNTA($B$13:$B91))</f>
        <v>0</v>
      </c>
      <c r="B91" s="28"/>
      <c r="C91" s="28"/>
      <c r="D91" s="29"/>
      <c r="E91" s="29"/>
      <c r="F91" s="29"/>
      <c r="G91" s="28"/>
      <c r="H91" s="28"/>
      <c r="I91" s="30">
        <f>IF($H91="","",IFERROR(VLOOKUP($H91,AcctTbl,2,0),"کد ناشناخته"))</f>
        <v>0</v>
      </c>
      <c r="J91" s="27">
        <f>IF($H91="","",IFERROR(VLOOKUP($H91,AcctTbl,3,0),""))</f>
        <v>0</v>
      </c>
      <c r="K91" s="29"/>
      <c r="L91" s="28"/>
      <c r="M91" s="31"/>
      <c r="N91" s="29"/>
      <c r="O91" s="32">
        <f>IF($B91="",0,IF($U91="IN",N($M91),0))</f>
        <v>0</v>
      </c>
      <c r="P91" s="32">
        <f>IF($B91="",0,IF(OR($U91="OUT",$U91="TRF"),N($M91),0))</f>
        <v>0</v>
      </c>
      <c r="Q91" s="32">
        <f>IF($B91="",0,IF(OR($U91="OUT",$U91="TRF"),N($M91),0))</f>
        <v>0</v>
      </c>
      <c r="R91" s="32">
        <f>IF($B91="",0,IF($U91="IN",N($M91),0))</f>
        <v>0</v>
      </c>
      <c r="S91" s="33">
        <f>IF($B91="","",IF($M91="","⚠ مبلغ",IF($E91="","⚠ بانک عامل",IF(AND($U91="TRF",$F91=""),"⚠ بانک مقصد",IF(AND($V91&lt;&gt;"NONE",$V91&lt;&gt;"",$Z91=""),"⚠ طرف حساب","✓")))))</f>
        <v>0</v>
      </c>
      <c r="T91" s="29"/>
      <c r="U91" s="27">
        <f>IFERROR(VLOOKUP($D91,BankOpTbl,2,0),"")</f>
        <v>0</v>
      </c>
      <c r="V91" s="27">
        <f>IFERROR(VLOOKUP($D91,BankOpTbl,3,0),"")</f>
        <v>0</v>
      </c>
      <c r="W91" s="27">
        <f>IFERROR(VLOOKUP($D91,BankOpTbl,4,0),"")</f>
        <v>0</v>
      </c>
      <c r="X91" s="27">
        <f>IF($E91="","",IFERROR(VLOOKUP($E91,BankTbl,4,0),""))</f>
        <v>0</v>
      </c>
      <c r="Y91" s="27">
        <f>IF($F91="","",IFERROR(VLOOKUP($F91,BankTbl,4,0),""))</f>
        <v>0</v>
      </c>
      <c r="Z91" s="27">
        <f>IF($B91="","",IF($V91="PICK",LEFT($N91,5),IF($V91="FIXED",$W91,IF($V91="CODE",$H91,""))))</f>
        <v>0</v>
      </c>
    </row>
    <row r="92" spans="1:26" ht="21" customHeight="1">
      <c r="A92" s="27">
        <f>IF($B92="","",COUNTA($B$13:$B92))</f>
        <v>0</v>
      </c>
      <c r="B92" s="28"/>
      <c r="C92" s="28"/>
      <c r="D92" s="29"/>
      <c r="E92" s="29"/>
      <c r="F92" s="29"/>
      <c r="G92" s="28"/>
      <c r="H92" s="28"/>
      <c r="I92" s="30">
        <f>IF($H92="","",IFERROR(VLOOKUP($H92,AcctTbl,2,0),"کد ناشناخته"))</f>
        <v>0</v>
      </c>
      <c r="J92" s="27">
        <f>IF($H92="","",IFERROR(VLOOKUP($H92,AcctTbl,3,0),""))</f>
        <v>0</v>
      </c>
      <c r="K92" s="29"/>
      <c r="L92" s="28"/>
      <c r="M92" s="31"/>
      <c r="N92" s="29"/>
      <c r="O92" s="32">
        <f>IF($B92="",0,IF($U92="IN",N($M92),0))</f>
        <v>0</v>
      </c>
      <c r="P92" s="32">
        <f>IF($B92="",0,IF(OR($U92="OUT",$U92="TRF"),N($M92),0))</f>
        <v>0</v>
      </c>
      <c r="Q92" s="32">
        <f>IF($B92="",0,IF(OR($U92="OUT",$U92="TRF"),N($M92),0))</f>
        <v>0</v>
      </c>
      <c r="R92" s="32">
        <f>IF($B92="",0,IF($U92="IN",N($M92),0))</f>
        <v>0</v>
      </c>
      <c r="S92" s="33">
        <f>IF($B92="","",IF($M92="","⚠ مبلغ",IF($E92="","⚠ بانک عامل",IF(AND($U92="TRF",$F92=""),"⚠ بانک مقصد",IF(AND($V92&lt;&gt;"NONE",$V92&lt;&gt;"",$Z92=""),"⚠ طرف حساب","✓")))))</f>
        <v>0</v>
      </c>
      <c r="T92" s="29"/>
      <c r="U92" s="27">
        <f>IFERROR(VLOOKUP($D92,BankOpTbl,2,0),"")</f>
        <v>0</v>
      </c>
      <c r="V92" s="27">
        <f>IFERROR(VLOOKUP($D92,BankOpTbl,3,0),"")</f>
        <v>0</v>
      </c>
      <c r="W92" s="27">
        <f>IFERROR(VLOOKUP($D92,BankOpTbl,4,0),"")</f>
        <v>0</v>
      </c>
      <c r="X92" s="27">
        <f>IF($E92="","",IFERROR(VLOOKUP($E92,BankTbl,4,0),""))</f>
        <v>0</v>
      </c>
      <c r="Y92" s="27">
        <f>IF($F92="","",IFERROR(VLOOKUP($F92,BankTbl,4,0),""))</f>
        <v>0</v>
      </c>
      <c r="Z92" s="27">
        <f>IF($B92="","",IF($V92="PICK",LEFT($N92,5),IF($V92="FIXED",$W92,IF($V92="CODE",$H92,""))))</f>
        <v>0</v>
      </c>
    </row>
    <row r="93" spans="1:26" ht="21" customHeight="1">
      <c r="A93" s="27">
        <f>IF($B93="","",COUNTA($B$13:$B93))</f>
        <v>0</v>
      </c>
      <c r="B93" s="28"/>
      <c r="C93" s="28"/>
      <c r="D93" s="29"/>
      <c r="E93" s="29"/>
      <c r="F93" s="29"/>
      <c r="G93" s="28"/>
      <c r="H93" s="28"/>
      <c r="I93" s="30">
        <f>IF($H93="","",IFERROR(VLOOKUP($H93,AcctTbl,2,0),"کد ناشناخته"))</f>
        <v>0</v>
      </c>
      <c r="J93" s="27">
        <f>IF($H93="","",IFERROR(VLOOKUP($H93,AcctTbl,3,0),""))</f>
        <v>0</v>
      </c>
      <c r="K93" s="29"/>
      <c r="L93" s="28"/>
      <c r="M93" s="31"/>
      <c r="N93" s="29"/>
      <c r="O93" s="32">
        <f>IF($B93="",0,IF($U93="IN",N($M93),0))</f>
        <v>0</v>
      </c>
      <c r="P93" s="32">
        <f>IF($B93="",0,IF(OR($U93="OUT",$U93="TRF"),N($M93),0))</f>
        <v>0</v>
      </c>
      <c r="Q93" s="32">
        <f>IF($B93="",0,IF(OR($U93="OUT",$U93="TRF"),N($M93),0))</f>
        <v>0</v>
      </c>
      <c r="R93" s="32">
        <f>IF($B93="",0,IF($U93="IN",N($M93),0))</f>
        <v>0</v>
      </c>
      <c r="S93" s="33">
        <f>IF($B93="","",IF($M93="","⚠ مبلغ",IF($E93="","⚠ بانک عامل",IF(AND($U93="TRF",$F93=""),"⚠ بانک مقصد",IF(AND($V93&lt;&gt;"NONE",$V93&lt;&gt;"",$Z93=""),"⚠ طرف حساب","✓")))))</f>
        <v>0</v>
      </c>
      <c r="T93" s="29"/>
      <c r="U93" s="27">
        <f>IFERROR(VLOOKUP($D93,BankOpTbl,2,0),"")</f>
        <v>0</v>
      </c>
      <c r="V93" s="27">
        <f>IFERROR(VLOOKUP($D93,BankOpTbl,3,0),"")</f>
        <v>0</v>
      </c>
      <c r="W93" s="27">
        <f>IFERROR(VLOOKUP($D93,BankOpTbl,4,0),"")</f>
        <v>0</v>
      </c>
      <c r="X93" s="27">
        <f>IF($E93="","",IFERROR(VLOOKUP($E93,BankTbl,4,0),""))</f>
        <v>0</v>
      </c>
      <c r="Y93" s="27">
        <f>IF($F93="","",IFERROR(VLOOKUP($F93,BankTbl,4,0),""))</f>
        <v>0</v>
      </c>
      <c r="Z93" s="27">
        <f>IF($B93="","",IF($V93="PICK",LEFT($N93,5),IF($V93="FIXED",$W93,IF($V93="CODE",$H93,""))))</f>
        <v>0</v>
      </c>
    </row>
    <row r="94" spans="1:26" ht="21" customHeight="1">
      <c r="A94" s="27">
        <f>IF($B94="","",COUNTA($B$13:$B94))</f>
        <v>0</v>
      </c>
      <c r="B94" s="28"/>
      <c r="C94" s="28"/>
      <c r="D94" s="29"/>
      <c r="E94" s="29"/>
      <c r="F94" s="29"/>
      <c r="G94" s="28"/>
      <c r="H94" s="28"/>
      <c r="I94" s="30">
        <f>IF($H94="","",IFERROR(VLOOKUP($H94,AcctTbl,2,0),"کد ناشناخته"))</f>
        <v>0</v>
      </c>
      <c r="J94" s="27">
        <f>IF($H94="","",IFERROR(VLOOKUP($H94,AcctTbl,3,0),""))</f>
        <v>0</v>
      </c>
      <c r="K94" s="29"/>
      <c r="L94" s="28"/>
      <c r="M94" s="31"/>
      <c r="N94" s="29"/>
      <c r="O94" s="32">
        <f>IF($B94="",0,IF($U94="IN",N($M94),0))</f>
        <v>0</v>
      </c>
      <c r="P94" s="32">
        <f>IF($B94="",0,IF(OR($U94="OUT",$U94="TRF"),N($M94),0))</f>
        <v>0</v>
      </c>
      <c r="Q94" s="32">
        <f>IF($B94="",0,IF(OR($U94="OUT",$U94="TRF"),N($M94),0))</f>
        <v>0</v>
      </c>
      <c r="R94" s="32">
        <f>IF($B94="",0,IF($U94="IN",N($M94),0))</f>
        <v>0</v>
      </c>
      <c r="S94" s="33">
        <f>IF($B94="","",IF($M94="","⚠ مبلغ",IF($E94="","⚠ بانک عامل",IF(AND($U94="TRF",$F94=""),"⚠ بانک مقصد",IF(AND($V94&lt;&gt;"NONE",$V94&lt;&gt;"",$Z94=""),"⚠ طرف حساب","✓")))))</f>
        <v>0</v>
      </c>
      <c r="T94" s="29"/>
      <c r="U94" s="27">
        <f>IFERROR(VLOOKUP($D94,BankOpTbl,2,0),"")</f>
        <v>0</v>
      </c>
      <c r="V94" s="27">
        <f>IFERROR(VLOOKUP($D94,BankOpTbl,3,0),"")</f>
        <v>0</v>
      </c>
      <c r="W94" s="27">
        <f>IFERROR(VLOOKUP($D94,BankOpTbl,4,0),"")</f>
        <v>0</v>
      </c>
      <c r="X94" s="27">
        <f>IF($E94="","",IFERROR(VLOOKUP($E94,BankTbl,4,0),""))</f>
        <v>0</v>
      </c>
      <c r="Y94" s="27">
        <f>IF($F94="","",IFERROR(VLOOKUP($F94,BankTbl,4,0),""))</f>
        <v>0</v>
      </c>
      <c r="Z94" s="27">
        <f>IF($B94="","",IF($V94="PICK",LEFT($N94,5),IF($V94="FIXED",$W94,IF($V94="CODE",$H94,""))))</f>
        <v>0</v>
      </c>
    </row>
    <row r="95" spans="1:26" ht="21" customHeight="1">
      <c r="A95" s="27">
        <f>IF($B95="","",COUNTA($B$13:$B95))</f>
        <v>0</v>
      </c>
      <c r="B95" s="28"/>
      <c r="C95" s="28"/>
      <c r="D95" s="29"/>
      <c r="E95" s="29"/>
      <c r="F95" s="29"/>
      <c r="G95" s="28"/>
      <c r="H95" s="28"/>
      <c r="I95" s="30">
        <f>IF($H95="","",IFERROR(VLOOKUP($H95,AcctTbl,2,0),"کد ناشناخته"))</f>
        <v>0</v>
      </c>
      <c r="J95" s="27">
        <f>IF($H95="","",IFERROR(VLOOKUP($H95,AcctTbl,3,0),""))</f>
        <v>0</v>
      </c>
      <c r="K95" s="29"/>
      <c r="L95" s="28"/>
      <c r="M95" s="31"/>
      <c r="N95" s="29"/>
      <c r="O95" s="32">
        <f>IF($B95="",0,IF($U95="IN",N($M95),0))</f>
        <v>0</v>
      </c>
      <c r="P95" s="32">
        <f>IF($B95="",0,IF(OR($U95="OUT",$U95="TRF"),N($M95),0))</f>
        <v>0</v>
      </c>
      <c r="Q95" s="32">
        <f>IF($B95="",0,IF(OR($U95="OUT",$U95="TRF"),N($M95),0))</f>
        <v>0</v>
      </c>
      <c r="R95" s="32">
        <f>IF($B95="",0,IF($U95="IN",N($M95),0))</f>
        <v>0</v>
      </c>
      <c r="S95" s="33">
        <f>IF($B95="","",IF($M95="","⚠ مبلغ",IF($E95="","⚠ بانک عامل",IF(AND($U95="TRF",$F95=""),"⚠ بانک مقصد",IF(AND($V95&lt;&gt;"NONE",$V95&lt;&gt;"",$Z95=""),"⚠ طرف حساب","✓")))))</f>
        <v>0</v>
      </c>
      <c r="T95" s="29"/>
      <c r="U95" s="27">
        <f>IFERROR(VLOOKUP($D95,BankOpTbl,2,0),"")</f>
        <v>0</v>
      </c>
      <c r="V95" s="27">
        <f>IFERROR(VLOOKUP($D95,BankOpTbl,3,0),"")</f>
        <v>0</v>
      </c>
      <c r="W95" s="27">
        <f>IFERROR(VLOOKUP($D95,BankOpTbl,4,0),"")</f>
        <v>0</v>
      </c>
      <c r="X95" s="27">
        <f>IF($E95="","",IFERROR(VLOOKUP($E95,BankTbl,4,0),""))</f>
        <v>0</v>
      </c>
      <c r="Y95" s="27">
        <f>IF($F95="","",IFERROR(VLOOKUP($F95,BankTbl,4,0),""))</f>
        <v>0</v>
      </c>
      <c r="Z95" s="27">
        <f>IF($B95="","",IF($V95="PICK",LEFT($N95,5),IF($V95="FIXED",$W95,IF($V95="CODE",$H95,""))))</f>
        <v>0</v>
      </c>
    </row>
    <row r="96" spans="1:26" ht="21" customHeight="1">
      <c r="A96" s="27">
        <f>IF($B96="","",COUNTA($B$13:$B96))</f>
        <v>0</v>
      </c>
      <c r="B96" s="28"/>
      <c r="C96" s="28"/>
      <c r="D96" s="29"/>
      <c r="E96" s="29"/>
      <c r="F96" s="29"/>
      <c r="G96" s="28"/>
      <c r="H96" s="28"/>
      <c r="I96" s="30">
        <f>IF($H96="","",IFERROR(VLOOKUP($H96,AcctTbl,2,0),"کد ناشناخته"))</f>
        <v>0</v>
      </c>
      <c r="J96" s="27">
        <f>IF($H96="","",IFERROR(VLOOKUP($H96,AcctTbl,3,0),""))</f>
        <v>0</v>
      </c>
      <c r="K96" s="29"/>
      <c r="L96" s="28"/>
      <c r="M96" s="31"/>
      <c r="N96" s="29"/>
      <c r="O96" s="32">
        <f>IF($B96="",0,IF($U96="IN",N($M96),0))</f>
        <v>0</v>
      </c>
      <c r="P96" s="32">
        <f>IF($B96="",0,IF(OR($U96="OUT",$U96="TRF"),N($M96),0))</f>
        <v>0</v>
      </c>
      <c r="Q96" s="32">
        <f>IF($B96="",0,IF(OR($U96="OUT",$U96="TRF"),N($M96),0))</f>
        <v>0</v>
      </c>
      <c r="R96" s="32">
        <f>IF($B96="",0,IF($U96="IN",N($M96),0))</f>
        <v>0</v>
      </c>
      <c r="S96" s="33">
        <f>IF($B96="","",IF($M96="","⚠ مبلغ",IF($E96="","⚠ بانک عامل",IF(AND($U96="TRF",$F96=""),"⚠ بانک مقصد",IF(AND($V96&lt;&gt;"NONE",$V96&lt;&gt;"",$Z96=""),"⚠ طرف حساب","✓")))))</f>
        <v>0</v>
      </c>
      <c r="T96" s="29"/>
      <c r="U96" s="27">
        <f>IFERROR(VLOOKUP($D96,BankOpTbl,2,0),"")</f>
        <v>0</v>
      </c>
      <c r="V96" s="27">
        <f>IFERROR(VLOOKUP($D96,BankOpTbl,3,0),"")</f>
        <v>0</v>
      </c>
      <c r="W96" s="27">
        <f>IFERROR(VLOOKUP($D96,BankOpTbl,4,0),"")</f>
        <v>0</v>
      </c>
      <c r="X96" s="27">
        <f>IF($E96="","",IFERROR(VLOOKUP($E96,BankTbl,4,0),""))</f>
        <v>0</v>
      </c>
      <c r="Y96" s="27">
        <f>IF($F96="","",IFERROR(VLOOKUP($F96,BankTbl,4,0),""))</f>
        <v>0</v>
      </c>
      <c r="Z96" s="27">
        <f>IF($B96="","",IF($V96="PICK",LEFT($N96,5),IF($V96="FIXED",$W96,IF($V96="CODE",$H96,""))))</f>
        <v>0</v>
      </c>
    </row>
    <row r="97" spans="1:26" ht="21" customHeight="1">
      <c r="A97" s="27">
        <f>IF($B97="","",COUNTA($B$13:$B97))</f>
        <v>0</v>
      </c>
      <c r="B97" s="28"/>
      <c r="C97" s="28"/>
      <c r="D97" s="29"/>
      <c r="E97" s="29"/>
      <c r="F97" s="29"/>
      <c r="G97" s="28"/>
      <c r="H97" s="28"/>
      <c r="I97" s="30">
        <f>IF($H97="","",IFERROR(VLOOKUP($H97,AcctTbl,2,0),"کد ناشناخته"))</f>
        <v>0</v>
      </c>
      <c r="J97" s="27">
        <f>IF($H97="","",IFERROR(VLOOKUP($H97,AcctTbl,3,0),""))</f>
        <v>0</v>
      </c>
      <c r="K97" s="29"/>
      <c r="L97" s="28"/>
      <c r="M97" s="31"/>
      <c r="N97" s="29"/>
      <c r="O97" s="32">
        <f>IF($B97="",0,IF($U97="IN",N($M97),0))</f>
        <v>0</v>
      </c>
      <c r="P97" s="32">
        <f>IF($B97="",0,IF(OR($U97="OUT",$U97="TRF"),N($M97),0))</f>
        <v>0</v>
      </c>
      <c r="Q97" s="32">
        <f>IF($B97="",0,IF(OR($U97="OUT",$U97="TRF"),N($M97),0))</f>
        <v>0</v>
      </c>
      <c r="R97" s="32">
        <f>IF($B97="",0,IF($U97="IN",N($M97),0))</f>
        <v>0</v>
      </c>
      <c r="S97" s="33">
        <f>IF($B97="","",IF($M97="","⚠ مبلغ",IF($E97="","⚠ بانک عامل",IF(AND($U97="TRF",$F97=""),"⚠ بانک مقصد",IF(AND($V97&lt;&gt;"NONE",$V97&lt;&gt;"",$Z97=""),"⚠ طرف حساب","✓")))))</f>
        <v>0</v>
      </c>
      <c r="T97" s="29"/>
      <c r="U97" s="27">
        <f>IFERROR(VLOOKUP($D97,BankOpTbl,2,0),"")</f>
        <v>0</v>
      </c>
      <c r="V97" s="27">
        <f>IFERROR(VLOOKUP($D97,BankOpTbl,3,0),"")</f>
        <v>0</v>
      </c>
      <c r="W97" s="27">
        <f>IFERROR(VLOOKUP($D97,BankOpTbl,4,0),"")</f>
        <v>0</v>
      </c>
      <c r="X97" s="27">
        <f>IF($E97="","",IFERROR(VLOOKUP($E97,BankTbl,4,0),""))</f>
        <v>0</v>
      </c>
      <c r="Y97" s="27">
        <f>IF($F97="","",IFERROR(VLOOKUP($F97,BankTbl,4,0),""))</f>
        <v>0</v>
      </c>
      <c r="Z97" s="27">
        <f>IF($B97="","",IF($V97="PICK",LEFT($N97,5),IF($V97="FIXED",$W97,IF($V97="CODE",$H97,""))))</f>
        <v>0</v>
      </c>
    </row>
    <row r="98" spans="1:26" ht="21" customHeight="1">
      <c r="A98" s="27">
        <f>IF($B98="","",COUNTA($B$13:$B98))</f>
        <v>0</v>
      </c>
      <c r="B98" s="28"/>
      <c r="C98" s="28"/>
      <c r="D98" s="29"/>
      <c r="E98" s="29"/>
      <c r="F98" s="29"/>
      <c r="G98" s="28"/>
      <c r="H98" s="28"/>
      <c r="I98" s="30">
        <f>IF($H98="","",IFERROR(VLOOKUP($H98,AcctTbl,2,0),"کد ناشناخته"))</f>
        <v>0</v>
      </c>
      <c r="J98" s="27">
        <f>IF($H98="","",IFERROR(VLOOKUP($H98,AcctTbl,3,0),""))</f>
        <v>0</v>
      </c>
      <c r="K98" s="29"/>
      <c r="L98" s="28"/>
      <c r="M98" s="31"/>
      <c r="N98" s="29"/>
      <c r="O98" s="32">
        <f>IF($B98="",0,IF($U98="IN",N($M98),0))</f>
        <v>0</v>
      </c>
      <c r="P98" s="32">
        <f>IF($B98="",0,IF(OR($U98="OUT",$U98="TRF"),N($M98),0))</f>
        <v>0</v>
      </c>
      <c r="Q98" s="32">
        <f>IF($B98="",0,IF(OR($U98="OUT",$U98="TRF"),N($M98),0))</f>
        <v>0</v>
      </c>
      <c r="R98" s="32">
        <f>IF($B98="",0,IF($U98="IN",N($M98),0))</f>
        <v>0</v>
      </c>
      <c r="S98" s="33">
        <f>IF($B98="","",IF($M98="","⚠ مبلغ",IF($E98="","⚠ بانک عامل",IF(AND($U98="TRF",$F98=""),"⚠ بانک مقصد",IF(AND($V98&lt;&gt;"NONE",$V98&lt;&gt;"",$Z98=""),"⚠ طرف حساب","✓")))))</f>
        <v>0</v>
      </c>
      <c r="T98" s="29"/>
      <c r="U98" s="27">
        <f>IFERROR(VLOOKUP($D98,BankOpTbl,2,0),"")</f>
        <v>0</v>
      </c>
      <c r="V98" s="27">
        <f>IFERROR(VLOOKUP($D98,BankOpTbl,3,0),"")</f>
        <v>0</v>
      </c>
      <c r="W98" s="27">
        <f>IFERROR(VLOOKUP($D98,BankOpTbl,4,0),"")</f>
        <v>0</v>
      </c>
      <c r="X98" s="27">
        <f>IF($E98="","",IFERROR(VLOOKUP($E98,BankTbl,4,0),""))</f>
        <v>0</v>
      </c>
      <c r="Y98" s="27">
        <f>IF($F98="","",IFERROR(VLOOKUP($F98,BankTbl,4,0),""))</f>
        <v>0</v>
      </c>
      <c r="Z98" s="27">
        <f>IF($B98="","",IF($V98="PICK",LEFT($N98,5),IF($V98="FIXED",$W98,IF($V98="CODE",$H98,""))))</f>
        <v>0</v>
      </c>
    </row>
    <row r="99" spans="1:26" ht="21" customHeight="1">
      <c r="A99" s="27">
        <f>IF($B99="","",COUNTA($B$13:$B99))</f>
        <v>0</v>
      </c>
      <c r="B99" s="28"/>
      <c r="C99" s="28"/>
      <c r="D99" s="29"/>
      <c r="E99" s="29"/>
      <c r="F99" s="29"/>
      <c r="G99" s="28"/>
      <c r="H99" s="28"/>
      <c r="I99" s="30">
        <f>IF($H99="","",IFERROR(VLOOKUP($H99,AcctTbl,2,0),"کد ناشناخته"))</f>
        <v>0</v>
      </c>
      <c r="J99" s="27">
        <f>IF($H99="","",IFERROR(VLOOKUP($H99,AcctTbl,3,0),""))</f>
        <v>0</v>
      </c>
      <c r="K99" s="29"/>
      <c r="L99" s="28"/>
      <c r="M99" s="31"/>
      <c r="N99" s="29"/>
      <c r="O99" s="32">
        <f>IF($B99="",0,IF($U99="IN",N($M99),0))</f>
        <v>0</v>
      </c>
      <c r="P99" s="32">
        <f>IF($B99="",0,IF(OR($U99="OUT",$U99="TRF"),N($M99),0))</f>
        <v>0</v>
      </c>
      <c r="Q99" s="32">
        <f>IF($B99="",0,IF(OR($U99="OUT",$U99="TRF"),N($M99),0))</f>
        <v>0</v>
      </c>
      <c r="R99" s="32">
        <f>IF($B99="",0,IF($U99="IN",N($M99),0))</f>
        <v>0</v>
      </c>
      <c r="S99" s="33">
        <f>IF($B99="","",IF($M99="","⚠ مبلغ",IF($E99="","⚠ بانک عامل",IF(AND($U99="TRF",$F99=""),"⚠ بانک مقصد",IF(AND($V99&lt;&gt;"NONE",$V99&lt;&gt;"",$Z99=""),"⚠ طرف حساب","✓")))))</f>
        <v>0</v>
      </c>
      <c r="T99" s="29"/>
      <c r="U99" s="27">
        <f>IFERROR(VLOOKUP($D99,BankOpTbl,2,0),"")</f>
        <v>0</v>
      </c>
      <c r="V99" s="27">
        <f>IFERROR(VLOOKUP($D99,BankOpTbl,3,0),"")</f>
        <v>0</v>
      </c>
      <c r="W99" s="27">
        <f>IFERROR(VLOOKUP($D99,BankOpTbl,4,0),"")</f>
        <v>0</v>
      </c>
      <c r="X99" s="27">
        <f>IF($E99="","",IFERROR(VLOOKUP($E99,BankTbl,4,0),""))</f>
        <v>0</v>
      </c>
      <c r="Y99" s="27">
        <f>IF($F99="","",IFERROR(VLOOKUP($F99,BankTbl,4,0),""))</f>
        <v>0</v>
      </c>
      <c r="Z99" s="27">
        <f>IF($B99="","",IF($V99="PICK",LEFT($N99,5),IF($V99="FIXED",$W99,IF($V99="CODE",$H99,""))))</f>
        <v>0</v>
      </c>
    </row>
    <row r="100" spans="1:26" ht="21" customHeight="1">
      <c r="A100" s="27">
        <f>IF($B100="","",COUNTA($B$13:$B100))</f>
        <v>0</v>
      </c>
      <c r="B100" s="28"/>
      <c r="C100" s="28"/>
      <c r="D100" s="29"/>
      <c r="E100" s="29"/>
      <c r="F100" s="29"/>
      <c r="G100" s="28"/>
      <c r="H100" s="28"/>
      <c r="I100" s="30">
        <f>IF($H100="","",IFERROR(VLOOKUP($H100,AcctTbl,2,0),"کد ناشناخته"))</f>
        <v>0</v>
      </c>
      <c r="J100" s="27">
        <f>IF($H100="","",IFERROR(VLOOKUP($H100,AcctTbl,3,0),""))</f>
        <v>0</v>
      </c>
      <c r="K100" s="29"/>
      <c r="L100" s="28"/>
      <c r="M100" s="31"/>
      <c r="N100" s="29"/>
      <c r="O100" s="32">
        <f>IF($B100="",0,IF($U100="IN",N($M100),0))</f>
        <v>0</v>
      </c>
      <c r="P100" s="32">
        <f>IF($B100="",0,IF(OR($U100="OUT",$U100="TRF"),N($M100),0))</f>
        <v>0</v>
      </c>
      <c r="Q100" s="32">
        <f>IF($B100="",0,IF(OR($U100="OUT",$U100="TRF"),N($M100),0))</f>
        <v>0</v>
      </c>
      <c r="R100" s="32">
        <f>IF($B100="",0,IF($U100="IN",N($M100),0))</f>
        <v>0</v>
      </c>
      <c r="S100" s="33">
        <f>IF($B100="","",IF($M100="","⚠ مبلغ",IF($E100="","⚠ بانک عامل",IF(AND($U100="TRF",$F100=""),"⚠ بانک مقصد",IF(AND($V100&lt;&gt;"NONE",$V100&lt;&gt;"",$Z100=""),"⚠ طرف حساب","✓")))))</f>
        <v>0</v>
      </c>
      <c r="T100" s="29"/>
      <c r="U100" s="27">
        <f>IFERROR(VLOOKUP($D100,BankOpTbl,2,0),"")</f>
        <v>0</v>
      </c>
      <c r="V100" s="27">
        <f>IFERROR(VLOOKUP($D100,BankOpTbl,3,0),"")</f>
        <v>0</v>
      </c>
      <c r="W100" s="27">
        <f>IFERROR(VLOOKUP($D100,BankOpTbl,4,0),"")</f>
        <v>0</v>
      </c>
      <c r="X100" s="27">
        <f>IF($E100="","",IFERROR(VLOOKUP($E100,BankTbl,4,0),""))</f>
        <v>0</v>
      </c>
      <c r="Y100" s="27">
        <f>IF($F100="","",IFERROR(VLOOKUP($F100,BankTbl,4,0),""))</f>
        <v>0</v>
      </c>
      <c r="Z100" s="27">
        <f>IF($B100="","",IF($V100="PICK",LEFT($N100,5),IF($V100="FIXED",$W100,IF($V100="CODE",$H100,""))))</f>
        <v>0</v>
      </c>
    </row>
    <row r="101" spans="1:26" ht="21" customHeight="1">
      <c r="A101" s="27">
        <f>IF($B101="","",COUNTA($B$13:$B101))</f>
        <v>0</v>
      </c>
      <c r="B101" s="28"/>
      <c r="C101" s="28"/>
      <c r="D101" s="29"/>
      <c r="E101" s="29"/>
      <c r="F101" s="29"/>
      <c r="G101" s="28"/>
      <c r="H101" s="28"/>
      <c r="I101" s="30">
        <f>IF($H101="","",IFERROR(VLOOKUP($H101,AcctTbl,2,0),"کد ناشناخته"))</f>
        <v>0</v>
      </c>
      <c r="J101" s="27">
        <f>IF($H101="","",IFERROR(VLOOKUP($H101,AcctTbl,3,0),""))</f>
        <v>0</v>
      </c>
      <c r="K101" s="29"/>
      <c r="L101" s="28"/>
      <c r="M101" s="31"/>
      <c r="N101" s="29"/>
      <c r="O101" s="32">
        <f>IF($B101="",0,IF($U101="IN",N($M101),0))</f>
        <v>0</v>
      </c>
      <c r="P101" s="32">
        <f>IF($B101="",0,IF(OR($U101="OUT",$U101="TRF"),N($M101),0))</f>
        <v>0</v>
      </c>
      <c r="Q101" s="32">
        <f>IF($B101="",0,IF(OR($U101="OUT",$U101="TRF"),N($M101),0))</f>
        <v>0</v>
      </c>
      <c r="R101" s="32">
        <f>IF($B101="",0,IF($U101="IN",N($M101),0))</f>
        <v>0</v>
      </c>
      <c r="S101" s="33">
        <f>IF($B101="","",IF($M101="","⚠ مبلغ",IF($E101="","⚠ بانک عامل",IF(AND($U101="TRF",$F101=""),"⚠ بانک مقصد",IF(AND($V101&lt;&gt;"NONE",$V101&lt;&gt;"",$Z101=""),"⚠ طرف حساب","✓")))))</f>
        <v>0</v>
      </c>
      <c r="T101" s="29"/>
      <c r="U101" s="27">
        <f>IFERROR(VLOOKUP($D101,BankOpTbl,2,0),"")</f>
        <v>0</v>
      </c>
      <c r="V101" s="27">
        <f>IFERROR(VLOOKUP($D101,BankOpTbl,3,0),"")</f>
        <v>0</v>
      </c>
      <c r="W101" s="27">
        <f>IFERROR(VLOOKUP($D101,BankOpTbl,4,0),"")</f>
        <v>0</v>
      </c>
      <c r="X101" s="27">
        <f>IF($E101="","",IFERROR(VLOOKUP($E101,BankTbl,4,0),""))</f>
        <v>0</v>
      </c>
      <c r="Y101" s="27">
        <f>IF($F101="","",IFERROR(VLOOKUP($F101,BankTbl,4,0),""))</f>
        <v>0</v>
      </c>
      <c r="Z101" s="27">
        <f>IF($B101="","",IF($V101="PICK",LEFT($N101,5),IF($V101="FIXED",$W101,IF($V101="CODE",$H101,""))))</f>
        <v>0</v>
      </c>
    </row>
    <row r="102" spans="1:26" ht="21" customHeight="1">
      <c r="A102" s="27">
        <f>IF($B102="","",COUNTA($B$13:$B102))</f>
        <v>0</v>
      </c>
      <c r="B102" s="28"/>
      <c r="C102" s="28"/>
      <c r="D102" s="29"/>
      <c r="E102" s="29"/>
      <c r="F102" s="29"/>
      <c r="G102" s="28"/>
      <c r="H102" s="28"/>
      <c r="I102" s="30">
        <f>IF($H102="","",IFERROR(VLOOKUP($H102,AcctTbl,2,0),"کد ناشناخته"))</f>
        <v>0</v>
      </c>
      <c r="J102" s="27">
        <f>IF($H102="","",IFERROR(VLOOKUP($H102,AcctTbl,3,0),""))</f>
        <v>0</v>
      </c>
      <c r="K102" s="29"/>
      <c r="L102" s="28"/>
      <c r="M102" s="31"/>
      <c r="N102" s="29"/>
      <c r="O102" s="32">
        <f>IF($B102="",0,IF($U102="IN",N($M102),0))</f>
        <v>0</v>
      </c>
      <c r="P102" s="32">
        <f>IF($B102="",0,IF(OR($U102="OUT",$U102="TRF"),N($M102),0))</f>
        <v>0</v>
      </c>
      <c r="Q102" s="32">
        <f>IF($B102="",0,IF(OR($U102="OUT",$U102="TRF"),N($M102),0))</f>
        <v>0</v>
      </c>
      <c r="R102" s="32">
        <f>IF($B102="",0,IF($U102="IN",N($M102),0))</f>
        <v>0</v>
      </c>
      <c r="S102" s="33">
        <f>IF($B102="","",IF($M102="","⚠ مبلغ",IF($E102="","⚠ بانک عامل",IF(AND($U102="TRF",$F102=""),"⚠ بانک مقصد",IF(AND($V102&lt;&gt;"NONE",$V102&lt;&gt;"",$Z102=""),"⚠ طرف حساب","✓")))))</f>
        <v>0</v>
      </c>
      <c r="T102" s="29"/>
      <c r="U102" s="27">
        <f>IFERROR(VLOOKUP($D102,BankOpTbl,2,0),"")</f>
        <v>0</v>
      </c>
      <c r="V102" s="27">
        <f>IFERROR(VLOOKUP($D102,BankOpTbl,3,0),"")</f>
        <v>0</v>
      </c>
      <c r="W102" s="27">
        <f>IFERROR(VLOOKUP($D102,BankOpTbl,4,0),"")</f>
        <v>0</v>
      </c>
      <c r="X102" s="27">
        <f>IF($E102="","",IFERROR(VLOOKUP($E102,BankTbl,4,0),""))</f>
        <v>0</v>
      </c>
      <c r="Y102" s="27">
        <f>IF($F102="","",IFERROR(VLOOKUP($F102,BankTbl,4,0),""))</f>
        <v>0</v>
      </c>
      <c r="Z102" s="27">
        <f>IF($B102="","",IF($V102="PICK",LEFT($N102,5),IF($V102="FIXED",$W102,IF($V102="CODE",$H102,""))))</f>
        <v>0</v>
      </c>
    </row>
    <row r="103" spans="1:26" ht="21" customHeight="1">
      <c r="A103" s="27">
        <f>IF($B103="","",COUNTA($B$13:$B103))</f>
        <v>0</v>
      </c>
      <c r="B103" s="28"/>
      <c r="C103" s="28"/>
      <c r="D103" s="29"/>
      <c r="E103" s="29"/>
      <c r="F103" s="29"/>
      <c r="G103" s="28"/>
      <c r="H103" s="28"/>
      <c r="I103" s="30">
        <f>IF($H103="","",IFERROR(VLOOKUP($H103,AcctTbl,2,0),"کد ناشناخته"))</f>
        <v>0</v>
      </c>
      <c r="J103" s="27">
        <f>IF($H103="","",IFERROR(VLOOKUP($H103,AcctTbl,3,0),""))</f>
        <v>0</v>
      </c>
      <c r="K103" s="29"/>
      <c r="L103" s="28"/>
      <c r="M103" s="31"/>
      <c r="N103" s="29"/>
      <c r="O103" s="32">
        <f>IF($B103="",0,IF($U103="IN",N($M103),0))</f>
        <v>0</v>
      </c>
      <c r="P103" s="32">
        <f>IF($B103="",0,IF(OR($U103="OUT",$U103="TRF"),N($M103),0))</f>
        <v>0</v>
      </c>
      <c r="Q103" s="32">
        <f>IF($B103="",0,IF(OR($U103="OUT",$U103="TRF"),N($M103),0))</f>
        <v>0</v>
      </c>
      <c r="R103" s="32">
        <f>IF($B103="",0,IF($U103="IN",N($M103),0))</f>
        <v>0</v>
      </c>
      <c r="S103" s="33">
        <f>IF($B103="","",IF($M103="","⚠ مبلغ",IF($E103="","⚠ بانک عامل",IF(AND($U103="TRF",$F103=""),"⚠ بانک مقصد",IF(AND($V103&lt;&gt;"NONE",$V103&lt;&gt;"",$Z103=""),"⚠ طرف حساب","✓")))))</f>
        <v>0</v>
      </c>
      <c r="T103" s="29"/>
      <c r="U103" s="27">
        <f>IFERROR(VLOOKUP($D103,BankOpTbl,2,0),"")</f>
        <v>0</v>
      </c>
      <c r="V103" s="27">
        <f>IFERROR(VLOOKUP($D103,BankOpTbl,3,0),"")</f>
        <v>0</v>
      </c>
      <c r="W103" s="27">
        <f>IFERROR(VLOOKUP($D103,BankOpTbl,4,0),"")</f>
        <v>0</v>
      </c>
      <c r="X103" s="27">
        <f>IF($E103="","",IFERROR(VLOOKUP($E103,BankTbl,4,0),""))</f>
        <v>0</v>
      </c>
      <c r="Y103" s="27">
        <f>IF($F103="","",IFERROR(VLOOKUP($F103,BankTbl,4,0),""))</f>
        <v>0</v>
      </c>
      <c r="Z103" s="27">
        <f>IF($B103="","",IF($V103="PICK",LEFT($N103,5),IF($V103="FIXED",$W103,IF($V103="CODE",$H103,""))))</f>
        <v>0</v>
      </c>
    </row>
    <row r="104" spans="1:26" ht="21" customHeight="1">
      <c r="A104" s="27">
        <f>IF($B104="","",COUNTA($B$13:$B104))</f>
        <v>0</v>
      </c>
      <c r="B104" s="28"/>
      <c r="C104" s="28"/>
      <c r="D104" s="29"/>
      <c r="E104" s="29"/>
      <c r="F104" s="29"/>
      <c r="G104" s="28"/>
      <c r="H104" s="28"/>
      <c r="I104" s="30">
        <f>IF($H104="","",IFERROR(VLOOKUP($H104,AcctTbl,2,0),"کد ناشناخته"))</f>
        <v>0</v>
      </c>
      <c r="J104" s="27">
        <f>IF($H104="","",IFERROR(VLOOKUP($H104,AcctTbl,3,0),""))</f>
        <v>0</v>
      </c>
      <c r="K104" s="29"/>
      <c r="L104" s="28"/>
      <c r="M104" s="31"/>
      <c r="N104" s="29"/>
      <c r="O104" s="32">
        <f>IF($B104="",0,IF($U104="IN",N($M104),0))</f>
        <v>0</v>
      </c>
      <c r="P104" s="32">
        <f>IF($B104="",0,IF(OR($U104="OUT",$U104="TRF"),N($M104),0))</f>
        <v>0</v>
      </c>
      <c r="Q104" s="32">
        <f>IF($B104="",0,IF(OR($U104="OUT",$U104="TRF"),N($M104),0))</f>
        <v>0</v>
      </c>
      <c r="R104" s="32">
        <f>IF($B104="",0,IF($U104="IN",N($M104),0))</f>
        <v>0</v>
      </c>
      <c r="S104" s="33">
        <f>IF($B104="","",IF($M104="","⚠ مبلغ",IF($E104="","⚠ بانک عامل",IF(AND($U104="TRF",$F104=""),"⚠ بانک مقصد",IF(AND($V104&lt;&gt;"NONE",$V104&lt;&gt;"",$Z104=""),"⚠ طرف حساب","✓")))))</f>
        <v>0</v>
      </c>
      <c r="T104" s="29"/>
      <c r="U104" s="27">
        <f>IFERROR(VLOOKUP($D104,BankOpTbl,2,0),"")</f>
        <v>0</v>
      </c>
      <c r="V104" s="27">
        <f>IFERROR(VLOOKUP($D104,BankOpTbl,3,0),"")</f>
        <v>0</v>
      </c>
      <c r="W104" s="27">
        <f>IFERROR(VLOOKUP($D104,BankOpTbl,4,0),"")</f>
        <v>0</v>
      </c>
      <c r="X104" s="27">
        <f>IF($E104="","",IFERROR(VLOOKUP($E104,BankTbl,4,0),""))</f>
        <v>0</v>
      </c>
      <c r="Y104" s="27">
        <f>IF($F104="","",IFERROR(VLOOKUP($F104,BankTbl,4,0),""))</f>
        <v>0</v>
      </c>
      <c r="Z104" s="27">
        <f>IF($B104="","",IF($V104="PICK",LEFT($N104,5),IF($V104="FIXED",$W104,IF($V104="CODE",$H104,""))))</f>
        <v>0</v>
      </c>
    </row>
    <row r="105" spans="1:26" ht="21" customHeight="1">
      <c r="A105" s="27">
        <f>IF($B105="","",COUNTA($B$13:$B105))</f>
        <v>0</v>
      </c>
      <c r="B105" s="28"/>
      <c r="C105" s="28"/>
      <c r="D105" s="29"/>
      <c r="E105" s="29"/>
      <c r="F105" s="29"/>
      <c r="G105" s="28"/>
      <c r="H105" s="28"/>
      <c r="I105" s="30">
        <f>IF($H105="","",IFERROR(VLOOKUP($H105,AcctTbl,2,0),"کد ناشناخته"))</f>
        <v>0</v>
      </c>
      <c r="J105" s="27">
        <f>IF($H105="","",IFERROR(VLOOKUP($H105,AcctTbl,3,0),""))</f>
        <v>0</v>
      </c>
      <c r="K105" s="29"/>
      <c r="L105" s="28"/>
      <c r="M105" s="31"/>
      <c r="N105" s="29"/>
      <c r="O105" s="32">
        <f>IF($B105="",0,IF($U105="IN",N($M105),0))</f>
        <v>0</v>
      </c>
      <c r="P105" s="32">
        <f>IF($B105="",0,IF(OR($U105="OUT",$U105="TRF"),N($M105),0))</f>
        <v>0</v>
      </c>
      <c r="Q105" s="32">
        <f>IF($B105="",0,IF(OR($U105="OUT",$U105="TRF"),N($M105),0))</f>
        <v>0</v>
      </c>
      <c r="R105" s="32">
        <f>IF($B105="",0,IF($U105="IN",N($M105),0))</f>
        <v>0</v>
      </c>
      <c r="S105" s="33">
        <f>IF($B105="","",IF($M105="","⚠ مبلغ",IF($E105="","⚠ بانک عامل",IF(AND($U105="TRF",$F105=""),"⚠ بانک مقصد",IF(AND($V105&lt;&gt;"NONE",$V105&lt;&gt;"",$Z105=""),"⚠ طرف حساب","✓")))))</f>
        <v>0</v>
      </c>
      <c r="T105" s="29"/>
      <c r="U105" s="27">
        <f>IFERROR(VLOOKUP($D105,BankOpTbl,2,0),"")</f>
        <v>0</v>
      </c>
      <c r="V105" s="27">
        <f>IFERROR(VLOOKUP($D105,BankOpTbl,3,0),"")</f>
        <v>0</v>
      </c>
      <c r="W105" s="27">
        <f>IFERROR(VLOOKUP($D105,BankOpTbl,4,0),"")</f>
        <v>0</v>
      </c>
      <c r="X105" s="27">
        <f>IF($E105="","",IFERROR(VLOOKUP($E105,BankTbl,4,0),""))</f>
        <v>0</v>
      </c>
      <c r="Y105" s="27">
        <f>IF($F105="","",IFERROR(VLOOKUP($F105,BankTbl,4,0),""))</f>
        <v>0</v>
      </c>
      <c r="Z105" s="27">
        <f>IF($B105="","",IF($V105="PICK",LEFT($N105,5),IF($V105="FIXED",$W105,IF($V105="CODE",$H105,""))))</f>
        <v>0</v>
      </c>
    </row>
    <row r="106" spans="1:26" ht="21" customHeight="1">
      <c r="A106" s="27">
        <f>IF($B106="","",COUNTA($B$13:$B106))</f>
        <v>0</v>
      </c>
      <c r="B106" s="28"/>
      <c r="C106" s="28"/>
      <c r="D106" s="29"/>
      <c r="E106" s="29"/>
      <c r="F106" s="29"/>
      <c r="G106" s="28"/>
      <c r="H106" s="28"/>
      <c r="I106" s="30">
        <f>IF($H106="","",IFERROR(VLOOKUP($H106,AcctTbl,2,0),"کد ناشناخته"))</f>
        <v>0</v>
      </c>
      <c r="J106" s="27">
        <f>IF($H106="","",IFERROR(VLOOKUP($H106,AcctTbl,3,0),""))</f>
        <v>0</v>
      </c>
      <c r="K106" s="29"/>
      <c r="L106" s="28"/>
      <c r="M106" s="31"/>
      <c r="N106" s="29"/>
      <c r="O106" s="32">
        <f>IF($B106="",0,IF($U106="IN",N($M106),0))</f>
        <v>0</v>
      </c>
      <c r="P106" s="32">
        <f>IF($B106="",0,IF(OR($U106="OUT",$U106="TRF"),N($M106),0))</f>
        <v>0</v>
      </c>
      <c r="Q106" s="32">
        <f>IF($B106="",0,IF(OR($U106="OUT",$U106="TRF"),N($M106),0))</f>
        <v>0</v>
      </c>
      <c r="R106" s="32">
        <f>IF($B106="",0,IF($U106="IN",N($M106),0))</f>
        <v>0</v>
      </c>
      <c r="S106" s="33">
        <f>IF($B106="","",IF($M106="","⚠ مبلغ",IF($E106="","⚠ بانک عامل",IF(AND($U106="TRF",$F106=""),"⚠ بانک مقصد",IF(AND($V106&lt;&gt;"NONE",$V106&lt;&gt;"",$Z106=""),"⚠ طرف حساب","✓")))))</f>
        <v>0</v>
      </c>
      <c r="T106" s="29"/>
      <c r="U106" s="27">
        <f>IFERROR(VLOOKUP($D106,BankOpTbl,2,0),"")</f>
        <v>0</v>
      </c>
      <c r="V106" s="27">
        <f>IFERROR(VLOOKUP($D106,BankOpTbl,3,0),"")</f>
        <v>0</v>
      </c>
      <c r="W106" s="27">
        <f>IFERROR(VLOOKUP($D106,BankOpTbl,4,0),"")</f>
        <v>0</v>
      </c>
      <c r="X106" s="27">
        <f>IF($E106="","",IFERROR(VLOOKUP($E106,BankTbl,4,0),""))</f>
        <v>0</v>
      </c>
      <c r="Y106" s="27">
        <f>IF($F106="","",IFERROR(VLOOKUP($F106,BankTbl,4,0),""))</f>
        <v>0</v>
      </c>
      <c r="Z106" s="27">
        <f>IF($B106="","",IF($V106="PICK",LEFT($N106,5),IF($V106="FIXED",$W106,IF($V106="CODE",$H106,""))))</f>
        <v>0</v>
      </c>
    </row>
    <row r="107" spans="1:26" ht="21" customHeight="1">
      <c r="A107" s="27">
        <f>IF($B107="","",COUNTA($B$13:$B107))</f>
        <v>0</v>
      </c>
      <c r="B107" s="28"/>
      <c r="C107" s="28"/>
      <c r="D107" s="29"/>
      <c r="E107" s="29"/>
      <c r="F107" s="29"/>
      <c r="G107" s="28"/>
      <c r="H107" s="28"/>
      <c r="I107" s="30">
        <f>IF($H107="","",IFERROR(VLOOKUP($H107,AcctTbl,2,0),"کد ناشناخته"))</f>
        <v>0</v>
      </c>
      <c r="J107" s="27">
        <f>IF($H107="","",IFERROR(VLOOKUP($H107,AcctTbl,3,0),""))</f>
        <v>0</v>
      </c>
      <c r="K107" s="29"/>
      <c r="L107" s="28"/>
      <c r="M107" s="31"/>
      <c r="N107" s="29"/>
      <c r="O107" s="32">
        <f>IF($B107="",0,IF($U107="IN",N($M107),0))</f>
        <v>0</v>
      </c>
      <c r="P107" s="32">
        <f>IF($B107="",0,IF(OR($U107="OUT",$U107="TRF"),N($M107),0))</f>
        <v>0</v>
      </c>
      <c r="Q107" s="32">
        <f>IF($B107="",0,IF(OR($U107="OUT",$U107="TRF"),N($M107),0))</f>
        <v>0</v>
      </c>
      <c r="R107" s="32">
        <f>IF($B107="",0,IF($U107="IN",N($M107),0))</f>
        <v>0</v>
      </c>
      <c r="S107" s="33">
        <f>IF($B107="","",IF($M107="","⚠ مبلغ",IF($E107="","⚠ بانک عامل",IF(AND($U107="TRF",$F107=""),"⚠ بانک مقصد",IF(AND($V107&lt;&gt;"NONE",$V107&lt;&gt;"",$Z107=""),"⚠ طرف حساب","✓")))))</f>
        <v>0</v>
      </c>
      <c r="T107" s="29"/>
      <c r="U107" s="27">
        <f>IFERROR(VLOOKUP($D107,BankOpTbl,2,0),"")</f>
        <v>0</v>
      </c>
      <c r="V107" s="27">
        <f>IFERROR(VLOOKUP($D107,BankOpTbl,3,0),"")</f>
        <v>0</v>
      </c>
      <c r="W107" s="27">
        <f>IFERROR(VLOOKUP($D107,BankOpTbl,4,0),"")</f>
        <v>0</v>
      </c>
      <c r="X107" s="27">
        <f>IF($E107="","",IFERROR(VLOOKUP($E107,BankTbl,4,0),""))</f>
        <v>0</v>
      </c>
      <c r="Y107" s="27">
        <f>IF($F107="","",IFERROR(VLOOKUP($F107,BankTbl,4,0),""))</f>
        <v>0</v>
      </c>
      <c r="Z107" s="27">
        <f>IF($B107="","",IF($V107="PICK",LEFT($N107,5),IF($V107="FIXED",$W107,IF($V107="CODE",$H107,""))))</f>
        <v>0</v>
      </c>
    </row>
    <row r="108" spans="1:26" ht="21" customHeight="1">
      <c r="A108" s="27">
        <f>IF($B108="","",COUNTA($B$13:$B108))</f>
        <v>0</v>
      </c>
      <c r="B108" s="28"/>
      <c r="C108" s="28"/>
      <c r="D108" s="29"/>
      <c r="E108" s="29"/>
      <c r="F108" s="29"/>
      <c r="G108" s="28"/>
      <c r="H108" s="28"/>
      <c r="I108" s="30">
        <f>IF($H108="","",IFERROR(VLOOKUP($H108,AcctTbl,2,0),"کد ناشناخته"))</f>
        <v>0</v>
      </c>
      <c r="J108" s="27">
        <f>IF($H108="","",IFERROR(VLOOKUP($H108,AcctTbl,3,0),""))</f>
        <v>0</v>
      </c>
      <c r="K108" s="29"/>
      <c r="L108" s="28"/>
      <c r="M108" s="31"/>
      <c r="N108" s="29"/>
      <c r="O108" s="32">
        <f>IF($B108="",0,IF($U108="IN",N($M108),0))</f>
        <v>0</v>
      </c>
      <c r="P108" s="32">
        <f>IF($B108="",0,IF(OR($U108="OUT",$U108="TRF"),N($M108),0))</f>
        <v>0</v>
      </c>
      <c r="Q108" s="32">
        <f>IF($B108="",0,IF(OR($U108="OUT",$U108="TRF"),N($M108),0))</f>
        <v>0</v>
      </c>
      <c r="R108" s="32">
        <f>IF($B108="",0,IF($U108="IN",N($M108),0))</f>
        <v>0</v>
      </c>
      <c r="S108" s="33">
        <f>IF($B108="","",IF($M108="","⚠ مبلغ",IF($E108="","⚠ بانک عامل",IF(AND($U108="TRF",$F108=""),"⚠ بانک مقصد",IF(AND($V108&lt;&gt;"NONE",$V108&lt;&gt;"",$Z108=""),"⚠ طرف حساب","✓")))))</f>
        <v>0</v>
      </c>
      <c r="T108" s="29"/>
      <c r="U108" s="27">
        <f>IFERROR(VLOOKUP($D108,BankOpTbl,2,0),"")</f>
        <v>0</v>
      </c>
      <c r="V108" s="27">
        <f>IFERROR(VLOOKUP($D108,BankOpTbl,3,0),"")</f>
        <v>0</v>
      </c>
      <c r="W108" s="27">
        <f>IFERROR(VLOOKUP($D108,BankOpTbl,4,0),"")</f>
        <v>0</v>
      </c>
      <c r="X108" s="27">
        <f>IF($E108="","",IFERROR(VLOOKUP($E108,BankTbl,4,0),""))</f>
        <v>0</v>
      </c>
      <c r="Y108" s="27">
        <f>IF($F108="","",IFERROR(VLOOKUP($F108,BankTbl,4,0),""))</f>
        <v>0</v>
      </c>
      <c r="Z108" s="27">
        <f>IF($B108="","",IF($V108="PICK",LEFT($N108,5),IF($V108="FIXED",$W108,IF($V108="CODE",$H108,""))))</f>
        <v>0</v>
      </c>
    </row>
    <row r="109" spans="1:26" ht="21" customHeight="1">
      <c r="A109" s="27">
        <f>IF($B109="","",COUNTA($B$13:$B109))</f>
        <v>0</v>
      </c>
      <c r="B109" s="28"/>
      <c r="C109" s="28"/>
      <c r="D109" s="29"/>
      <c r="E109" s="29"/>
      <c r="F109" s="29"/>
      <c r="G109" s="28"/>
      <c r="H109" s="28"/>
      <c r="I109" s="30">
        <f>IF($H109="","",IFERROR(VLOOKUP($H109,AcctTbl,2,0),"کد ناشناخته"))</f>
        <v>0</v>
      </c>
      <c r="J109" s="27">
        <f>IF($H109="","",IFERROR(VLOOKUP($H109,AcctTbl,3,0),""))</f>
        <v>0</v>
      </c>
      <c r="K109" s="29"/>
      <c r="L109" s="28"/>
      <c r="M109" s="31"/>
      <c r="N109" s="29"/>
      <c r="O109" s="32">
        <f>IF($B109="",0,IF($U109="IN",N($M109),0))</f>
        <v>0</v>
      </c>
      <c r="P109" s="32">
        <f>IF($B109="",0,IF(OR($U109="OUT",$U109="TRF"),N($M109),0))</f>
        <v>0</v>
      </c>
      <c r="Q109" s="32">
        <f>IF($B109="",0,IF(OR($U109="OUT",$U109="TRF"),N($M109),0))</f>
        <v>0</v>
      </c>
      <c r="R109" s="32">
        <f>IF($B109="",0,IF($U109="IN",N($M109),0))</f>
        <v>0</v>
      </c>
      <c r="S109" s="33">
        <f>IF($B109="","",IF($M109="","⚠ مبلغ",IF($E109="","⚠ بانک عامل",IF(AND($U109="TRF",$F109=""),"⚠ بانک مقصد",IF(AND($V109&lt;&gt;"NONE",$V109&lt;&gt;"",$Z109=""),"⚠ طرف حساب","✓")))))</f>
        <v>0</v>
      </c>
      <c r="T109" s="29"/>
      <c r="U109" s="27">
        <f>IFERROR(VLOOKUP($D109,BankOpTbl,2,0),"")</f>
        <v>0</v>
      </c>
      <c r="V109" s="27">
        <f>IFERROR(VLOOKUP($D109,BankOpTbl,3,0),"")</f>
        <v>0</v>
      </c>
      <c r="W109" s="27">
        <f>IFERROR(VLOOKUP($D109,BankOpTbl,4,0),"")</f>
        <v>0</v>
      </c>
      <c r="X109" s="27">
        <f>IF($E109="","",IFERROR(VLOOKUP($E109,BankTbl,4,0),""))</f>
        <v>0</v>
      </c>
      <c r="Y109" s="27">
        <f>IF($F109="","",IFERROR(VLOOKUP($F109,BankTbl,4,0),""))</f>
        <v>0</v>
      </c>
      <c r="Z109" s="27">
        <f>IF($B109="","",IF($V109="PICK",LEFT($N109,5),IF($V109="FIXED",$W109,IF($V109="CODE",$H109,""))))</f>
        <v>0</v>
      </c>
    </row>
    <row r="110" spans="1:26" ht="21" customHeight="1">
      <c r="A110" s="27">
        <f>IF($B110="","",COUNTA($B$13:$B110))</f>
        <v>0</v>
      </c>
      <c r="B110" s="28"/>
      <c r="C110" s="28"/>
      <c r="D110" s="29"/>
      <c r="E110" s="29"/>
      <c r="F110" s="29"/>
      <c r="G110" s="28"/>
      <c r="H110" s="28"/>
      <c r="I110" s="30">
        <f>IF($H110="","",IFERROR(VLOOKUP($H110,AcctTbl,2,0),"کد ناشناخته"))</f>
        <v>0</v>
      </c>
      <c r="J110" s="27">
        <f>IF($H110="","",IFERROR(VLOOKUP($H110,AcctTbl,3,0),""))</f>
        <v>0</v>
      </c>
      <c r="K110" s="29"/>
      <c r="L110" s="28"/>
      <c r="M110" s="31"/>
      <c r="N110" s="29"/>
      <c r="O110" s="32">
        <f>IF($B110="",0,IF($U110="IN",N($M110),0))</f>
        <v>0</v>
      </c>
      <c r="P110" s="32">
        <f>IF($B110="",0,IF(OR($U110="OUT",$U110="TRF"),N($M110),0))</f>
        <v>0</v>
      </c>
      <c r="Q110" s="32">
        <f>IF($B110="",0,IF(OR($U110="OUT",$U110="TRF"),N($M110),0))</f>
        <v>0</v>
      </c>
      <c r="R110" s="32">
        <f>IF($B110="",0,IF($U110="IN",N($M110),0))</f>
        <v>0</v>
      </c>
      <c r="S110" s="33">
        <f>IF($B110="","",IF($M110="","⚠ مبلغ",IF($E110="","⚠ بانک عامل",IF(AND($U110="TRF",$F110=""),"⚠ بانک مقصد",IF(AND($V110&lt;&gt;"NONE",$V110&lt;&gt;"",$Z110=""),"⚠ طرف حساب","✓")))))</f>
        <v>0</v>
      </c>
      <c r="T110" s="29"/>
      <c r="U110" s="27">
        <f>IFERROR(VLOOKUP($D110,BankOpTbl,2,0),"")</f>
        <v>0</v>
      </c>
      <c r="V110" s="27">
        <f>IFERROR(VLOOKUP($D110,BankOpTbl,3,0),"")</f>
        <v>0</v>
      </c>
      <c r="W110" s="27">
        <f>IFERROR(VLOOKUP($D110,BankOpTbl,4,0),"")</f>
        <v>0</v>
      </c>
      <c r="X110" s="27">
        <f>IF($E110="","",IFERROR(VLOOKUP($E110,BankTbl,4,0),""))</f>
        <v>0</v>
      </c>
      <c r="Y110" s="27">
        <f>IF($F110="","",IFERROR(VLOOKUP($F110,BankTbl,4,0),""))</f>
        <v>0</v>
      </c>
      <c r="Z110" s="27">
        <f>IF($B110="","",IF($V110="PICK",LEFT($N110,5),IF($V110="FIXED",$W110,IF($V110="CODE",$H110,""))))</f>
        <v>0</v>
      </c>
    </row>
    <row r="111" spans="1:26" ht="21" customHeight="1">
      <c r="A111" s="27">
        <f>IF($B111="","",COUNTA($B$13:$B111))</f>
        <v>0</v>
      </c>
      <c r="B111" s="28"/>
      <c r="C111" s="28"/>
      <c r="D111" s="29"/>
      <c r="E111" s="29"/>
      <c r="F111" s="29"/>
      <c r="G111" s="28"/>
      <c r="H111" s="28"/>
      <c r="I111" s="30">
        <f>IF($H111="","",IFERROR(VLOOKUP($H111,AcctTbl,2,0),"کد ناشناخته"))</f>
        <v>0</v>
      </c>
      <c r="J111" s="27">
        <f>IF($H111="","",IFERROR(VLOOKUP($H111,AcctTbl,3,0),""))</f>
        <v>0</v>
      </c>
      <c r="K111" s="29"/>
      <c r="L111" s="28"/>
      <c r="M111" s="31"/>
      <c r="N111" s="29"/>
      <c r="O111" s="32">
        <f>IF($B111="",0,IF($U111="IN",N($M111),0))</f>
        <v>0</v>
      </c>
      <c r="P111" s="32">
        <f>IF($B111="",0,IF(OR($U111="OUT",$U111="TRF"),N($M111),0))</f>
        <v>0</v>
      </c>
      <c r="Q111" s="32">
        <f>IF($B111="",0,IF(OR($U111="OUT",$U111="TRF"),N($M111),0))</f>
        <v>0</v>
      </c>
      <c r="R111" s="32">
        <f>IF($B111="",0,IF($U111="IN",N($M111),0))</f>
        <v>0</v>
      </c>
      <c r="S111" s="33">
        <f>IF($B111="","",IF($M111="","⚠ مبلغ",IF($E111="","⚠ بانک عامل",IF(AND($U111="TRF",$F111=""),"⚠ بانک مقصد",IF(AND($V111&lt;&gt;"NONE",$V111&lt;&gt;"",$Z111=""),"⚠ طرف حساب","✓")))))</f>
        <v>0</v>
      </c>
      <c r="T111" s="29"/>
      <c r="U111" s="27">
        <f>IFERROR(VLOOKUP($D111,BankOpTbl,2,0),"")</f>
        <v>0</v>
      </c>
      <c r="V111" s="27">
        <f>IFERROR(VLOOKUP($D111,BankOpTbl,3,0),"")</f>
        <v>0</v>
      </c>
      <c r="W111" s="27">
        <f>IFERROR(VLOOKUP($D111,BankOpTbl,4,0),"")</f>
        <v>0</v>
      </c>
      <c r="X111" s="27">
        <f>IF($E111="","",IFERROR(VLOOKUP($E111,BankTbl,4,0),""))</f>
        <v>0</v>
      </c>
      <c r="Y111" s="27">
        <f>IF($F111="","",IFERROR(VLOOKUP($F111,BankTbl,4,0),""))</f>
        <v>0</v>
      </c>
      <c r="Z111" s="27">
        <f>IF($B111="","",IF($V111="PICK",LEFT($N111,5),IF($V111="FIXED",$W111,IF($V111="CODE",$H111,""))))</f>
        <v>0</v>
      </c>
    </row>
    <row r="112" spans="1:26" ht="21" customHeight="1">
      <c r="A112" s="27">
        <f>IF($B112="","",COUNTA($B$13:$B112))</f>
        <v>0</v>
      </c>
      <c r="B112" s="28"/>
      <c r="C112" s="28"/>
      <c r="D112" s="29"/>
      <c r="E112" s="29"/>
      <c r="F112" s="29"/>
      <c r="G112" s="28"/>
      <c r="H112" s="28"/>
      <c r="I112" s="30">
        <f>IF($H112="","",IFERROR(VLOOKUP($H112,AcctTbl,2,0),"کد ناشناخته"))</f>
        <v>0</v>
      </c>
      <c r="J112" s="27">
        <f>IF($H112="","",IFERROR(VLOOKUP($H112,AcctTbl,3,0),""))</f>
        <v>0</v>
      </c>
      <c r="K112" s="29"/>
      <c r="L112" s="28"/>
      <c r="M112" s="31"/>
      <c r="N112" s="29"/>
      <c r="O112" s="32">
        <f>IF($B112="",0,IF($U112="IN",N($M112),0))</f>
        <v>0</v>
      </c>
      <c r="P112" s="32">
        <f>IF($B112="",0,IF(OR($U112="OUT",$U112="TRF"),N($M112),0))</f>
        <v>0</v>
      </c>
      <c r="Q112" s="32">
        <f>IF($B112="",0,IF(OR($U112="OUT",$U112="TRF"),N($M112),0))</f>
        <v>0</v>
      </c>
      <c r="R112" s="32">
        <f>IF($B112="",0,IF($U112="IN",N($M112),0))</f>
        <v>0</v>
      </c>
      <c r="S112" s="33">
        <f>IF($B112="","",IF($M112="","⚠ مبلغ",IF($E112="","⚠ بانک عامل",IF(AND($U112="TRF",$F112=""),"⚠ بانک مقصد",IF(AND($V112&lt;&gt;"NONE",$V112&lt;&gt;"",$Z112=""),"⚠ طرف حساب","✓")))))</f>
        <v>0</v>
      </c>
      <c r="T112" s="29"/>
      <c r="U112" s="27">
        <f>IFERROR(VLOOKUP($D112,BankOpTbl,2,0),"")</f>
        <v>0</v>
      </c>
      <c r="V112" s="27">
        <f>IFERROR(VLOOKUP($D112,BankOpTbl,3,0),"")</f>
        <v>0</v>
      </c>
      <c r="W112" s="27">
        <f>IFERROR(VLOOKUP($D112,BankOpTbl,4,0),"")</f>
        <v>0</v>
      </c>
      <c r="X112" s="27">
        <f>IF($E112="","",IFERROR(VLOOKUP($E112,BankTbl,4,0),""))</f>
        <v>0</v>
      </c>
      <c r="Y112" s="27">
        <f>IF($F112="","",IFERROR(VLOOKUP($F112,BankTbl,4,0),""))</f>
        <v>0</v>
      </c>
      <c r="Z112" s="27">
        <f>IF($B112="","",IF($V112="PICK",LEFT($N112,5),IF($V112="FIXED",$W112,IF($V112="CODE",$H112,""))))</f>
        <v>0</v>
      </c>
    </row>
    <row r="113" spans="1:26" ht="21" customHeight="1">
      <c r="A113" s="27">
        <f>IF($B113="","",COUNTA($B$13:$B113))</f>
        <v>0</v>
      </c>
      <c r="B113" s="28"/>
      <c r="C113" s="28"/>
      <c r="D113" s="29"/>
      <c r="E113" s="29"/>
      <c r="F113" s="29"/>
      <c r="G113" s="28"/>
      <c r="H113" s="28"/>
      <c r="I113" s="30">
        <f>IF($H113="","",IFERROR(VLOOKUP($H113,AcctTbl,2,0),"کد ناشناخته"))</f>
        <v>0</v>
      </c>
      <c r="J113" s="27">
        <f>IF($H113="","",IFERROR(VLOOKUP($H113,AcctTbl,3,0),""))</f>
        <v>0</v>
      </c>
      <c r="K113" s="29"/>
      <c r="L113" s="28"/>
      <c r="M113" s="31"/>
      <c r="N113" s="29"/>
      <c r="O113" s="32">
        <f>IF($B113="",0,IF($U113="IN",N($M113),0))</f>
        <v>0</v>
      </c>
      <c r="P113" s="32">
        <f>IF($B113="",0,IF(OR($U113="OUT",$U113="TRF"),N($M113),0))</f>
        <v>0</v>
      </c>
      <c r="Q113" s="32">
        <f>IF($B113="",0,IF(OR($U113="OUT",$U113="TRF"),N($M113),0))</f>
        <v>0</v>
      </c>
      <c r="R113" s="32">
        <f>IF($B113="",0,IF($U113="IN",N($M113),0))</f>
        <v>0</v>
      </c>
      <c r="S113" s="33">
        <f>IF($B113="","",IF($M113="","⚠ مبلغ",IF($E113="","⚠ بانک عامل",IF(AND($U113="TRF",$F113=""),"⚠ بانک مقصد",IF(AND($V113&lt;&gt;"NONE",$V113&lt;&gt;"",$Z113=""),"⚠ طرف حساب","✓")))))</f>
        <v>0</v>
      </c>
      <c r="T113" s="29"/>
      <c r="U113" s="27">
        <f>IFERROR(VLOOKUP($D113,BankOpTbl,2,0),"")</f>
        <v>0</v>
      </c>
      <c r="V113" s="27">
        <f>IFERROR(VLOOKUP($D113,BankOpTbl,3,0),"")</f>
        <v>0</v>
      </c>
      <c r="W113" s="27">
        <f>IFERROR(VLOOKUP($D113,BankOpTbl,4,0),"")</f>
        <v>0</v>
      </c>
      <c r="X113" s="27">
        <f>IF($E113="","",IFERROR(VLOOKUP($E113,BankTbl,4,0),""))</f>
        <v>0</v>
      </c>
      <c r="Y113" s="27">
        <f>IF($F113="","",IFERROR(VLOOKUP($F113,BankTbl,4,0),""))</f>
        <v>0</v>
      </c>
      <c r="Z113" s="27">
        <f>IF($B113="","",IF($V113="PICK",LEFT($N113,5),IF($V113="FIXED",$W113,IF($V113="CODE",$H113,""))))</f>
        <v>0</v>
      </c>
    </row>
    <row r="114" spans="1:26" ht="21" customHeight="1">
      <c r="A114" s="27">
        <f>IF($B114="","",COUNTA($B$13:$B114))</f>
        <v>0</v>
      </c>
      <c r="B114" s="28"/>
      <c r="C114" s="28"/>
      <c r="D114" s="29"/>
      <c r="E114" s="29"/>
      <c r="F114" s="29"/>
      <c r="G114" s="28"/>
      <c r="H114" s="28"/>
      <c r="I114" s="30">
        <f>IF($H114="","",IFERROR(VLOOKUP($H114,AcctTbl,2,0),"کد ناشناخته"))</f>
        <v>0</v>
      </c>
      <c r="J114" s="27">
        <f>IF($H114="","",IFERROR(VLOOKUP($H114,AcctTbl,3,0),""))</f>
        <v>0</v>
      </c>
      <c r="K114" s="29"/>
      <c r="L114" s="28"/>
      <c r="M114" s="31"/>
      <c r="N114" s="29"/>
      <c r="O114" s="32">
        <f>IF($B114="",0,IF($U114="IN",N($M114),0))</f>
        <v>0</v>
      </c>
      <c r="P114" s="32">
        <f>IF($B114="",0,IF(OR($U114="OUT",$U114="TRF"),N($M114),0))</f>
        <v>0</v>
      </c>
      <c r="Q114" s="32">
        <f>IF($B114="",0,IF(OR($U114="OUT",$U114="TRF"),N($M114),0))</f>
        <v>0</v>
      </c>
      <c r="R114" s="32">
        <f>IF($B114="",0,IF($U114="IN",N($M114),0))</f>
        <v>0</v>
      </c>
      <c r="S114" s="33">
        <f>IF($B114="","",IF($M114="","⚠ مبلغ",IF($E114="","⚠ بانک عامل",IF(AND($U114="TRF",$F114=""),"⚠ بانک مقصد",IF(AND($V114&lt;&gt;"NONE",$V114&lt;&gt;"",$Z114=""),"⚠ طرف حساب","✓")))))</f>
        <v>0</v>
      </c>
      <c r="T114" s="29"/>
      <c r="U114" s="27">
        <f>IFERROR(VLOOKUP($D114,BankOpTbl,2,0),"")</f>
        <v>0</v>
      </c>
      <c r="V114" s="27">
        <f>IFERROR(VLOOKUP($D114,BankOpTbl,3,0),"")</f>
        <v>0</v>
      </c>
      <c r="W114" s="27">
        <f>IFERROR(VLOOKUP($D114,BankOpTbl,4,0),"")</f>
        <v>0</v>
      </c>
      <c r="X114" s="27">
        <f>IF($E114="","",IFERROR(VLOOKUP($E114,BankTbl,4,0),""))</f>
        <v>0</v>
      </c>
      <c r="Y114" s="27">
        <f>IF($F114="","",IFERROR(VLOOKUP($F114,BankTbl,4,0),""))</f>
        <v>0</v>
      </c>
      <c r="Z114" s="27">
        <f>IF($B114="","",IF($V114="PICK",LEFT($N114,5),IF($V114="FIXED",$W114,IF($V114="CODE",$H114,""))))</f>
        <v>0</v>
      </c>
    </row>
    <row r="115" spans="1:26" ht="21" customHeight="1">
      <c r="A115" s="27">
        <f>IF($B115="","",COUNTA($B$13:$B115))</f>
        <v>0</v>
      </c>
      <c r="B115" s="28"/>
      <c r="C115" s="28"/>
      <c r="D115" s="29"/>
      <c r="E115" s="29"/>
      <c r="F115" s="29"/>
      <c r="G115" s="28"/>
      <c r="H115" s="28"/>
      <c r="I115" s="30">
        <f>IF($H115="","",IFERROR(VLOOKUP($H115,AcctTbl,2,0),"کد ناشناخته"))</f>
        <v>0</v>
      </c>
      <c r="J115" s="27">
        <f>IF($H115="","",IFERROR(VLOOKUP($H115,AcctTbl,3,0),""))</f>
        <v>0</v>
      </c>
      <c r="K115" s="29"/>
      <c r="L115" s="28"/>
      <c r="M115" s="31"/>
      <c r="N115" s="29"/>
      <c r="O115" s="32">
        <f>IF($B115="",0,IF($U115="IN",N($M115),0))</f>
        <v>0</v>
      </c>
      <c r="P115" s="32">
        <f>IF($B115="",0,IF(OR($U115="OUT",$U115="TRF"),N($M115),0))</f>
        <v>0</v>
      </c>
      <c r="Q115" s="32">
        <f>IF($B115="",0,IF(OR($U115="OUT",$U115="TRF"),N($M115),0))</f>
        <v>0</v>
      </c>
      <c r="R115" s="32">
        <f>IF($B115="",0,IF($U115="IN",N($M115),0))</f>
        <v>0</v>
      </c>
      <c r="S115" s="33">
        <f>IF($B115="","",IF($M115="","⚠ مبلغ",IF($E115="","⚠ بانک عامل",IF(AND($U115="TRF",$F115=""),"⚠ بانک مقصد",IF(AND($V115&lt;&gt;"NONE",$V115&lt;&gt;"",$Z115=""),"⚠ طرف حساب","✓")))))</f>
        <v>0</v>
      </c>
      <c r="T115" s="29"/>
      <c r="U115" s="27">
        <f>IFERROR(VLOOKUP($D115,BankOpTbl,2,0),"")</f>
        <v>0</v>
      </c>
      <c r="V115" s="27">
        <f>IFERROR(VLOOKUP($D115,BankOpTbl,3,0),"")</f>
        <v>0</v>
      </c>
      <c r="W115" s="27">
        <f>IFERROR(VLOOKUP($D115,BankOpTbl,4,0),"")</f>
        <v>0</v>
      </c>
      <c r="X115" s="27">
        <f>IF($E115="","",IFERROR(VLOOKUP($E115,BankTbl,4,0),""))</f>
        <v>0</v>
      </c>
      <c r="Y115" s="27">
        <f>IF($F115="","",IFERROR(VLOOKUP($F115,BankTbl,4,0),""))</f>
        <v>0</v>
      </c>
      <c r="Z115" s="27">
        <f>IF($B115="","",IF($V115="PICK",LEFT($N115,5),IF($V115="FIXED",$W115,IF($V115="CODE",$H115,""))))</f>
        <v>0</v>
      </c>
    </row>
    <row r="116" spans="1:26" ht="21" customHeight="1">
      <c r="A116" s="27">
        <f>IF($B116="","",COUNTA($B$13:$B116))</f>
        <v>0</v>
      </c>
      <c r="B116" s="28"/>
      <c r="C116" s="28"/>
      <c r="D116" s="29"/>
      <c r="E116" s="29"/>
      <c r="F116" s="29"/>
      <c r="G116" s="28"/>
      <c r="H116" s="28"/>
      <c r="I116" s="30">
        <f>IF($H116="","",IFERROR(VLOOKUP($H116,AcctTbl,2,0),"کد ناشناخته"))</f>
        <v>0</v>
      </c>
      <c r="J116" s="27">
        <f>IF($H116="","",IFERROR(VLOOKUP($H116,AcctTbl,3,0),""))</f>
        <v>0</v>
      </c>
      <c r="K116" s="29"/>
      <c r="L116" s="28"/>
      <c r="M116" s="31"/>
      <c r="N116" s="29"/>
      <c r="O116" s="32">
        <f>IF($B116="",0,IF($U116="IN",N($M116),0))</f>
        <v>0</v>
      </c>
      <c r="P116" s="32">
        <f>IF($B116="",0,IF(OR($U116="OUT",$U116="TRF"),N($M116),0))</f>
        <v>0</v>
      </c>
      <c r="Q116" s="32">
        <f>IF($B116="",0,IF(OR($U116="OUT",$U116="TRF"),N($M116),0))</f>
        <v>0</v>
      </c>
      <c r="R116" s="32">
        <f>IF($B116="",0,IF($U116="IN",N($M116),0))</f>
        <v>0</v>
      </c>
      <c r="S116" s="33">
        <f>IF($B116="","",IF($M116="","⚠ مبلغ",IF($E116="","⚠ بانک عامل",IF(AND($U116="TRF",$F116=""),"⚠ بانک مقصد",IF(AND($V116&lt;&gt;"NONE",$V116&lt;&gt;"",$Z116=""),"⚠ طرف حساب","✓")))))</f>
        <v>0</v>
      </c>
      <c r="T116" s="29"/>
      <c r="U116" s="27">
        <f>IFERROR(VLOOKUP($D116,BankOpTbl,2,0),"")</f>
        <v>0</v>
      </c>
      <c r="V116" s="27">
        <f>IFERROR(VLOOKUP($D116,BankOpTbl,3,0),"")</f>
        <v>0</v>
      </c>
      <c r="W116" s="27">
        <f>IFERROR(VLOOKUP($D116,BankOpTbl,4,0),"")</f>
        <v>0</v>
      </c>
      <c r="X116" s="27">
        <f>IF($E116="","",IFERROR(VLOOKUP($E116,BankTbl,4,0),""))</f>
        <v>0</v>
      </c>
      <c r="Y116" s="27">
        <f>IF($F116="","",IFERROR(VLOOKUP($F116,BankTbl,4,0),""))</f>
        <v>0</v>
      </c>
      <c r="Z116" s="27">
        <f>IF($B116="","",IF($V116="PICK",LEFT($N116,5),IF($V116="FIXED",$W116,IF($V116="CODE",$H116,""))))</f>
        <v>0</v>
      </c>
    </row>
    <row r="117" spans="1:26" ht="21" customHeight="1">
      <c r="A117" s="27">
        <f>IF($B117="","",COUNTA($B$13:$B117))</f>
        <v>0</v>
      </c>
      <c r="B117" s="28"/>
      <c r="C117" s="28"/>
      <c r="D117" s="29"/>
      <c r="E117" s="29"/>
      <c r="F117" s="29"/>
      <c r="G117" s="28"/>
      <c r="H117" s="28"/>
      <c r="I117" s="30">
        <f>IF($H117="","",IFERROR(VLOOKUP($H117,AcctTbl,2,0),"کد ناشناخته"))</f>
        <v>0</v>
      </c>
      <c r="J117" s="27">
        <f>IF($H117="","",IFERROR(VLOOKUP($H117,AcctTbl,3,0),""))</f>
        <v>0</v>
      </c>
      <c r="K117" s="29"/>
      <c r="L117" s="28"/>
      <c r="M117" s="31"/>
      <c r="N117" s="29"/>
      <c r="O117" s="32">
        <f>IF($B117="",0,IF($U117="IN",N($M117),0))</f>
        <v>0</v>
      </c>
      <c r="P117" s="32">
        <f>IF($B117="",0,IF(OR($U117="OUT",$U117="TRF"),N($M117),0))</f>
        <v>0</v>
      </c>
      <c r="Q117" s="32">
        <f>IF($B117="",0,IF(OR($U117="OUT",$U117="TRF"),N($M117),0))</f>
        <v>0</v>
      </c>
      <c r="R117" s="32">
        <f>IF($B117="",0,IF($U117="IN",N($M117),0))</f>
        <v>0</v>
      </c>
      <c r="S117" s="33">
        <f>IF($B117="","",IF($M117="","⚠ مبلغ",IF($E117="","⚠ بانک عامل",IF(AND($U117="TRF",$F117=""),"⚠ بانک مقصد",IF(AND($V117&lt;&gt;"NONE",$V117&lt;&gt;"",$Z117=""),"⚠ طرف حساب","✓")))))</f>
        <v>0</v>
      </c>
      <c r="T117" s="29"/>
      <c r="U117" s="27">
        <f>IFERROR(VLOOKUP($D117,BankOpTbl,2,0),"")</f>
        <v>0</v>
      </c>
      <c r="V117" s="27">
        <f>IFERROR(VLOOKUP($D117,BankOpTbl,3,0),"")</f>
        <v>0</v>
      </c>
      <c r="W117" s="27">
        <f>IFERROR(VLOOKUP($D117,BankOpTbl,4,0),"")</f>
        <v>0</v>
      </c>
      <c r="X117" s="27">
        <f>IF($E117="","",IFERROR(VLOOKUP($E117,BankTbl,4,0),""))</f>
        <v>0</v>
      </c>
      <c r="Y117" s="27">
        <f>IF($F117="","",IFERROR(VLOOKUP($F117,BankTbl,4,0),""))</f>
        <v>0</v>
      </c>
      <c r="Z117" s="27">
        <f>IF($B117="","",IF($V117="PICK",LEFT($N117,5),IF($V117="FIXED",$W117,IF($V117="CODE",$H117,""))))</f>
        <v>0</v>
      </c>
    </row>
    <row r="118" spans="1:26" ht="21" customHeight="1">
      <c r="A118" s="27">
        <f>IF($B118="","",COUNTA($B$13:$B118))</f>
        <v>0</v>
      </c>
      <c r="B118" s="28"/>
      <c r="C118" s="28"/>
      <c r="D118" s="29"/>
      <c r="E118" s="29"/>
      <c r="F118" s="29"/>
      <c r="G118" s="28"/>
      <c r="H118" s="28"/>
      <c r="I118" s="30">
        <f>IF($H118="","",IFERROR(VLOOKUP($H118,AcctTbl,2,0),"کد ناشناخته"))</f>
        <v>0</v>
      </c>
      <c r="J118" s="27">
        <f>IF($H118="","",IFERROR(VLOOKUP($H118,AcctTbl,3,0),""))</f>
        <v>0</v>
      </c>
      <c r="K118" s="29"/>
      <c r="L118" s="28"/>
      <c r="M118" s="31"/>
      <c r="N118" s="29"/>
      <c r="O118" s="32">
        <f>IF($B118="",0,IF($U118="IN",N($M118),0))</f>
        <v>0</v>
      </c>
      <c r="P118" s="32">
        <f>IF($B118="",0,IF(OR($U118="OUT",$U118="TRF"),N($M118),0))</f>
        <v>0</v>
      </c>
      <c r="Q118" s="32">
        <f>IF($B118="",0,IF(OR($U118="OUT",$U118="TRF"),N($M118),0))</f>
        <v>0</v>
      </c>
      <c r="R118" s="32">
        <f>IF($B118="",0,IF($U118="IN",N($M118),0))</f>
        <v>0</v>
      </c>
      <c r="S118" s="33">
        <f>IF($B118="","",IF($M118="","⚠ مبلغ",IF($E118="","⚠ بانک عامل",IF(AND($U118="TRF",$F118=""),"⚠ بانک مقصد",IF(AND($V118&lt;&gt;"NONE",$V118&lt;&gt;"",$Z118=""),"⚠ طرف حساب","✓")))))</f>
        <v>0</v>
      </c>
      <c r="T118" s="29"/>
      <c r="U118" s="27">
        <f>IFERROR(VLOOKUP($D118,BankOpTbl,2,0),"")</f>
        <v>0</v>
      </c>
      <c r="V118" s="27">
        <f>IFERROR(VLOOKUP($D118,BankOpTbl,3,0),"")</f>
        <v>0</v>
      </c>
      <c r="W118" s="27">
        <f>IFERROR(VLOOKUP($D118,BankOpTbl,4,0),"")</f>
        <v>0</v>
      </c>
      <c r="X118" s="27">
        <f>IF($E118="","",IFERROR(VLOOKUP($E118,BankTbl,4,0),""))</f>
        <v>0</v>
      </c>
      <c r="Y118" s="27">
        <f>IF($F118="","",IFERROR(VLOOKUP($F118,BankTbl,4,0),""))</f>
        <v>0</v>
      </c>
      <c r="Z118" s="27">
        <f>IF($B118="","",IF($V118="PICK",LEFT($N118,5),IF($V118="FIXED",$W118,IF($V118="CODE",$H118,""))))</f>
        <v>0</v>
      </c>
    </row>
    <row r="119" spans="1:26" ht="21" customHeight="1">
      <c r="A119" s="27">
        <f>IF($B119="","",COUNTA($B$13:$B119))</f>
        <v>0</v>
      </c>
      <c r="B119" s="28"/>
      <c r="C119" s="28"/>
      <c r="D119" s="29"/>
      <c r="E119" s="29"/>
      <c r="F119" s="29"/>
      <c r="G119" s="28"/>
      <c r="H119" s="28"/>
      <c r="I119" s="30">
        <f>IF($H119="","",IFERROR(VLOOKUP($H119,AcctTbl,2,0),"کد ناشناخته"))</f>
        <v>0</v>
      </c>
      <c r="J119" s="27">
        <f>IF($H119="","",IFERROR(VLOOKUP($H119,AcctTbl,3,0),""))</f>
        <v>0</v>
      </c>
      <c r="K119" s="29"/>
      <c r="L119" s="28"/>
      <c r="M119" s="31"/>
      <c r="N119" s="29"/>
      <c r="O119" s="32">
        <f>IF($B119="",0,IF($U119="IN",N($M119),0))</f>
        <v>0</v>
      </c>
      <c r="P119" s="32">
        <f>IF($B119="",0,IF(OR($U119="OUT",$U119="TRF"),N($M119),0))</f>
        <v>0</v>
      </c>
      <c r="Q119" s="32">
        <f>IF($B119="",0,IF(OR($U119="OUT",$U119="TRF"),N($M119),0))</f>
        <v>0</v>
      </c>
      <c r="R119" s="32">
        <f>IF($B119="",0,IF($U119="IN",N($M119),0))</f>
        <v>0</v>
      </c>
      <c r="S119" s="33">
        <f>IF($B119="","",IF($M119="","⚠ مبلغ",IF($E119="","⚠ بانک عامل",IF(AND($U119="TRF",$F119=""),"⚠ بانک مقصد",IF(AND($V119&lt;&gt;"NONE",$V119&lt;&gt;"",$Z119=""),"⚠ طرف حساب","✓")))))</f>
        <v>0</v>
      </c>
      <c r="T119" s="29"/>
      <c r="U119" s="27">
        <f>IFERROR(VLOOKUP($D119,BankOpTbl,2,0),"")</f>
        <v>0</v>
      </c>
      <c r="V119" s="27">
        <f>IFERROR(VLOOKUP($D119,BankOpTbl,3,0),"")</f>
        <v>0</v>
      </c>
      <c r="W119" s="27">
        <f>IFERROR(VLOOKUP($D119,BankOpTbl,4,0),"")</f>
        <v>0</v>
      </c>
      <c r="X119" s="27">
        <f>IF($E119="","",IFERROR(VLOOKUP($E119,BankTbl,4,0),""))</f>
        <v>0</v>
      </c>
      <c r="Y119" s="27">
        <f>IF($F119="","",IFERROR(VLOOKUP($F119,BankTbl,4,0),""))</f>
        <v>0</v>
      </c>
      <c r="Z119" s="27">
        <f>IF($B119="","",IF($V119="PICK",LEFT($N119,5),IF($V119="FIXED",$W119,IF($V119="CODE",$H119,""))))</f>
        <v>0</v>
      </c>
    </row>
    <row r="120" spans="1:26" ht="21" customHeight="1">
      <c r="A120" s="27">
        <f>IF($B120="","",COUNTA($B$13:$B120))</f>
        <v>0</v>
      </c>
      <c r="B120" s="28"/>
      <c r="C120" s="28"/>
      <c r="D120" s="29"/>
      <c r="E120" s="29"/>
      <c r="F120" s="29"/>
      <c r="G120" s="28"/>
      <c r="H120" s="28"/>
      <c r="I120" s="30">
        <f>IF($H120="","",IFERROR(VLOOKUP($H120,AcctTbl,2,0),"کد ناشناخته"))</f>
        <v>0</v>
      </c>
      <c r="J120" s="27">
        <f>IF($H120="","",IFERROR(VLOOKUP($H120,AcctTbl,3,0),""))</f>
        <v>0</v>
      </c>
      <c r="K120" s="29"/>
      <c r="L120" s="28"/>
      <c r="M120" s="31"/>
      <c r="N120" s="29"/>
      <c r="O120" s="32">
        <f>IF($B120="",0,IF($U120="IN",N($M120),0))</f>
        <v>0</v>
      </c>
      <c r="P120" s="32">
        <f>IF($B120="",0,IF(OR($U120="OUT",$U120="TRF"),N($M120),0))</f>
        <v>0</v>
      </c>
      <c r="Q120" s="32">
        <f>IF($B120="",0,IF(OR($U120="OUT",$U120="TRF"),N($M120),0))</f>
        <v>0</v>
      </c>
      <c r="R120" s="32">
        <f>IF($B120="",0,IF($U120="IN",N($M120),0))</f>
        <v>0</v>
      </c>
      <c r="S120" s="33">
        <f>IF($B120="","",IF($M120="","⚠ مبلغ",IF($E120="","⚠ بانک عامل",IF(AND($U120="TRF",$F120=""),"⚠ بانک مقصد",IF(AND($V120&lt;&gt;"NONE",$V120&lt;&gt;"",$Z120=""),"⚠ طرف حساب","✓")))))</f>
        <v>0</v>
      </c>
      <c r="T120" s="29"/>
      <c r="U120" s="27">
        <f>IFERROR(VLOOKUP($D120,BankOpTbl,2,0),"")</f>
        <v>0</v>
      </c>
      <c r="V120" s="27">
        <f>IFERROR(VLOOKUP($D120,BankOpTbl,3,0),"")</f>
        <v>0</v>
      </c>
      <c r="W120" s="27">
        <f>IFERROR(VLOOKUP($D120,BankOpTbl,4,0),"")</f>
        <v>0</v>
      </c>
      <c r="X120" s="27">
        <f>IF($E120="","",IFERROR(VLOOKUP($E120,BankTbl,4,0),""))</f>
        <v>0</v>
      </c>
      <c r="Y120" s="27">
        <f>IF($F120="","",IFERROR(VLOOKUP($F120,BankTbl,4,0),""))</f>
        <v>0</v>
      </c>
      <c r="Z120" s="27">
        <f>IF($B120="","",IF($V120="PICK",LEFT($N120,5),IF($V120="FIXED",$W120,IF($V120="CODE",$H120,""))))</f>
        <v>0</v>
      </c>
    </row>
    <row r="121" spans="1:26" ht="21" customHeight="1">
      <c r="A121" s="27">
        <f>IF($B121="","",COUNTA($B$13:$B121))</f>
        <v>0</v>
      </c>
      <c r="B121" s="28"/>
      <c r="C121" s="28"/>
      <c r="D121" s="29"/>
      <c r="E121" s="29"/>
      <c r="F121" s="29"/>
      <c r="G121" s="28"/>
      <c r="H121" s="28"/>
      <c r="I121" s="30">
        <f>IF($H121="","",IFERROR(VLOOKUP($H121,AcctTbl,2,0),"کد ناشناخته"))</f>
        <v>0</v>
      </c>
      <c r="J121" s="27">
        <f>IF($H121="","",IFERROR(VLOOKUP($H121,AcctTbl,3,0),""))</f>
        <v>0</v>
      </c>
      <c r="K121" s="29"/>
      <c r="L121" s="28"/>
      <c r="M121" s="31"/>
      <c r="N121" s="29"/>
      <c r="O121" s="32">
        <f>IF($B121="",0,IF($U121="IN",N($M121),0))</f>
        <v>0</v>
      </c>
      <c r="P121" s="32">
        <f>IF($B121="",0,IF(OR($U121="OUT",$U121="TRF"),N($M121),0))</f>
        <v>0</v>
      </c>
      <c r="Q121" s="32">
        <f>IF($B121="",0,IF(OR($U121="OUT",$U121="TRF"),N($M121),0))</f>
        <v>0</v>
      </c>
      <c r="R121" s="32">
        <f>IF($B121="",0,IF($U121="IN",N($M121),0))</f>
        <v>0</v>
      </c>
      <c r="S121" s="33">
        <f>IF($B121="","",IF($M121="","⚠ مبلغ",IF($E121="","⚠ بانک عامل",IF(AND($U121="TRF",$F121=""),"⚠ بانک مقصد",IF(AND($V121&lt;&gt;"NONE",$V121&lt;&gt;"",$Z121=""),"⚠ طرف حساب","✓")))))</f>
        <v>0</v>
      </c>
      <c r="T121" s="29"/>
      <c r="U121" s="27">
        <f>IFERROR(VLOOKUP($D121,BankOpTbl,2,0),"")</f>
        <v>0</v>
      </c>
      <c r="V121" s="27">
        <f>IFERROR(VLOOKUP($D121,BankOpTbl,3,0),"")</f>
        <v>0</v>
      </c>
      <c r="W121" s="27">
        <f>IFERROR(VLOOKUP($D121,BankOpTbl,4,0),"")</f>
        <v>0</v>
      </c>
      <c r="X121" s="27">
        <f>IF($E121="","",IFERROR(VLOOKUP($E121,BankTbl,4,0),""))</f>
        <v>0</v>
      </c>
      <c r="Y121" s="27">
        <f>IF($F121="","",IFERROR(VLOOKUP($F121,BankTbl,4,0),""))</f>
        <v>0</v>
      </c>
      <c r="Z121" s="27">
        <f>IF($B121="","",IF($V121="PICK",LEFT($N121,5),IF($V121="FIXED",$W121,IF($V121="CODE",$H121,""))))</f>
        <v>0</v>
      </c>
    </row>
    <row r="122" spans="1:26" ht="21" customHeight="1">
      <c r="A122" s="27">
        <f>IF($B122="","",COUNTA($B$13:$B122))</f>
        <v>0</v>
      </c>
      <c r="B122" s="28"/>
      <c r="C122" s="28"/>
      <c r="D122" s="29"/>
      <c r="E122" s="29"/>
      <c r="F122" s="29"/>
      <c r="G122" s="28"/>
      <c r="H122" s="28"/>
      <c r="I122" s="30">
        <f>IF($H122="","",IFERROR(VLOOKUP($H122,AcctTbl,2,0),"کد ناشناخته"))</f>
        <v>0</v>
      </c>
      <c r="J122" s="27">
        <f>IF($H122="","",IFERROR(VLOOKUP($H122,AcctTbl,3,0),""))</f>
        <v>0</v>
      </c>
      <c r="K122" s="29"/>
      <c r="L122" s="28"/>
      <c r="M122" s="31"/>
      <c r="N122" s="29"/>
      <c r="O122" s="32">
        <f>IF($B122="",0,IF($U122="IN",N($M122),0))</f>
        <v>0</v>
      </c>
      <c r="P122" s="32">
        <f>IF($B122="",0,IF(OR($U122="OUT",$U122="TRF"),N($M122),0))</f>
        <v>0</v>
      </c>
      <c r="Q122" s="32">
        <f>IF($B122="",0,IF(OR($U122="OUT",$U122="TRF"),N($M122),0))</f>
        <v>0</v>
      </c>
      <c r="R122" s="32">
        <f>IF($B122="",0,IF($U122="IN",N($M122),0))</f>
        <v>0</v>
      </c>
      <c r="S122" s="33">
        <f>IF($B122="","",IF($M122="","⚠ مبلغ",IF($E122="","⚠ بانک عامل",IF(AND($U122="TRF",$F122=""),"⚠ بانک مقصد",IF(AND($V122&lt;&gt;"NONE",$V122&lt;&gt;"",$Z122=""),"⚠ طرف حساب","✓")))))</f>
        <v>0</v>
      </c>
      <c r="T122" s="29"/>
      <c r="U122" s="27">
        <f>IFERROR(VLOOKUP($D122,BankOpTbl,2,0),"")</f>
        <v>0</v>
      </c>
      <c r="V122" s="27">
        <f>IFERROR(VLOOKUP($D122,BankOpTbl,3,0),"")</f>
        <v>0</v>
      </c>
      <c r="W122" s="27">
        <f>IFERROR(VLOOKUP($D122,BankOpTbl,4,0),"")</f>
        <v>0</v>
      </c>
      <c r="X122" s="27">
        <f>IF($E122="","",IFERROR(VLOOKUP($E122,BankTbl,4,0),""))</f>
        <v>0</v>
      </c>
      <c r="Y122" s="27">
        <f>IF($F122="","",IFERROR(VLOOKUP($F122,BankTbl,4,0),""))</f>
        <v>0</v>
      </c>
      <c r="Z122" s="27">
        <f>IF($B122="","",IF($V122="PICK",LEFT($N122,5),IF($V122="FIXED",$W122,IF($V122="CODE",$H122,""))))</f>
        <v>0</v>
      </c>
    </row>
    <row r="123" spans="1:26" ht="21" customHeight="1">
      <c r="A123" s="27">
        <f>IF($B123="","",COUNTA($B$13:$B123))</f>
        <v>0</v>
      </c>
      <c r="B123" s="28"/>
      <c r="C123" s="28"/>
      <c r="D123" s="29"/>
      <c r="E123" s="29"/>
      <c r="F123" s="29"/>
      <c r="G123" s="28"/>
      <c r="H123" s="28"/>
      <c r="I123" s="30">
        <f>IF($H123="","",IFERROR(VLOOKUP($H123,AcctTbl,2,0),"کد ناشناخته"))</f>
        <v>0</v>
      </c>
      <c r="J123" s="27">
        <f>IF($H123="","",IFERROR(VLOOKUP($H123,AcctTbl,3,0),""))</f>
        <v>0</v>
      </c>
      <c r="K123" s="29"/>
      <c r="L123" s="28"/>
      <c r="M123" s="31"/>
      <c r="N123" s="29"/>
      <c r="O123" s="32">
        <f>IF($B123="",0,IF($U123="IN",N($M123),0))</f>
        <v>0</v>
      </c>
      <c r="P123" s="32">
        <f>IF($B123="",0,IF(OR($U123="OUT",$U123="TRF"),N($M123),0))</f>
        <v>0</v>
      </c>
      <c r="Q123" s="32">
        <f>IF($B123="",0,IF(OR($U123="OUT",$U123="TRF"),N($M123),0))</f>
        <v>0</v>
      </c>
      <c r="R123" s="32">
        <f>IF($B123="",0,IF($U123="IN",N($M123),0))</f>
        <v>0</v>
      </c>
      <c r="S123" s="33">
        <f>IF($B123="","",IF($M123="","⚠ مبلغ",IF($E123="","⚠ بانک عامل",IF(AND($U123="TRF",$F123=""),"⚠ بانک مقصد",IF(AND($V123&lt;&gt;"NONE",$V123&lt;&gt;"",$Z123=""),"⚠ طرف حساب","✓")))))</f>
        <v>0</v>
      </c>
      <c r="T123" s="29"/>
      <c r="U123" s="27">
        <f>IFERROR(VLOOKUP($D123,BankOpTbl,2,0),"")</f>
        <v>0</v>
      </c>
      <c r="V123" s="27">
        <f>IFERROR(VLOOKUP($D123,BankOpTbl,3,0),"")</f>
        <v>0</v>
      </c>
      <c r="W123" s="27">
        <f>IFERROR(VLOOKUP($D123,BankOpTbl,4,0),"")</f>
        <v>0</v>
      </c>
      <c r="X123" s="27">
        <f>IF($E123="","",IFERROR(VLOOKUP($E123,BankTbl,4,0),""))</f>
        <v>0</v>
      </c>
      <c r="Y123" s="27">
        <f>IF($F123="","",IFERROR(VLOOKUP($F123,BankTbl,4,0),""))</f>
        <v>0</v>
      </c>
      <c r="Z123" s="27">
        <f>IF($B123="","",IF($V123="PICK",LEFT($N123,5),IF($V123="FIXED",$W123,IF($V123="CODE",$H123,""))))</f>
        <v>0</v>
      </c>
    </row>
    <row r="124" spans="1:26" ht="21" customHeight="1">
      <c r="A124" s="27">
        <f>IF($B124="","",COUNTA($B$13:$B124))</f>
        <v>0</v>
      </c>
      <c r="B124" s="28"/>
      <c r="C124" s="28"/>
      <c r="D124" s="29"/>
      <c r="E124" s="29"/>
      <c r="F124" s="29"/>
      <c r="G124" s="28"/>
      <c r="H124" s="28"/>
      <c r="I124" s="30">
        <f>IF($H124="","",IFERROR(VLOOKUP($H124,AcctTbl,2,0),"کد ناشناخته"))</f>
        <v>0</v>
      </c>
      <c r="J124" s="27">
        <f>IF($H124="","",IFERROR(VLOOKUP($H124,AcctTbl,3,0),""))</f>
        <v>0</v>
      </c>
      <c r="K124" s="29"/>
      <c r="L124" s="28"/>
      <c r="M124" s="31"/>
      <c r="N124" s="29"/>
      <c r="O124" s="32">
        <f>IF($B124="",0,IF($U124="IN",N($M124),0))</f>
        <v>0</v>
      </c>
      <c r="P124" s="32">
        <f>IF($B124="",0,IF(OR($U124="OUT",$U124="TRF"),N($M124),0))</f>
        <v>0</v>
      </c>
      <c r="Q124" s="32">
        <f>IF($B124="",0,IF(OR($U124="OUT",$U124="TRF"),N($M124),0))</f>
        <v>0</v>
      </c>
      <c r="R124" s="32">
        <f>IF($B124="",0,IF($U124="IN",N($M124),0))</f>
        <v>0</v>
      </c>
      <c r="S124" s="33">
        <f>IF($B124="","",IF($M124="","⚠ مبلغ",IF($E124="","⚠ بانک عامل",IF(AND($U124="TRF",$F124=""),"⚠ بانک مقصد",IF(AND($V124&lt;&gt;"NONE",$V124&lt;&gt;"",$Z124=""),"⚠ طرف حساب","✓")))))</f>
        <v>0</v>
      </c>
      <c r="T124" s="29"/>
      <c r="U124" s="27">
        <f>IFERROR(VLOOKUP($D124,BankOpTbl,2,0),"")</f>
        <v>0</v>
      </c>
      <c r="V124" s="27">
        <f>IFERROR(VLOOKUP($D124,BankOpTbl,3,0),"")</f>
        <v>0</v>
      </c>
      <c r="W124" s="27">
        <f>IFERROR(VLOOKUP($D124,BankOpTbl,4,0),"")</f>
        <v>0</v>
      </c>
      <c r="X124" s="27">
        <f>IF($E124="","",IFERROR(VLOOKUP($E124,BankTbl,4,0),""))</f>
        <v>0</v>
      </c>
      <c r="Y124" s="27">
        <f>IF($F124="","",IFERROR(VLOOKUP($F124,BankTbl,4,0),""))</f>
        <v>0</v>
      </c>
      <c r="Z124" s="27">
        <f>IF($B124="","",IF($V124="PICK",LEFT($N124,5),IF($V124="FIXED",$W124,IF($V124="CODE",$H124,""))))</f>
        <v>0</v>
      </c>
    </row>
    <row r="125" spans="1:26" ht="21" customHeight="1">
      <c r="A125" s="27">
        <f>IF($B125="","",COUNTA($B$13:$B125))</f>
        <v>0</v>
      </c>
      <c r="B125" s="28"/>
      <c r="C125" s="28"/>
      <c r="D125" s="29"/>
      <c r="E125" s="29"/>
      <c r="F125" s="29"/>
      <c r="G125" s="28"/>
      <c r="H125" s="28"/>
      <c r="I125" s="30">
        <f>IF($H125="","",IFERROR(VLOOKUP($H125,AcctTbl,2,0),"کد ناشناخته"))</f>
        <v>0</v>
      </c>
      <c r="J125" s="27">
        <f>IF($H125="","",IFERROR(VLOOKUP($H125,AcctTbl,3,0),""))</f>
        <v>0</v>
      </c>
      <c r="K125" s="29"/>
      <c r="L125" s="28"/>
      <c r="M125" s="31"/>
      <c r="N125" s="29"/>
      <c r="O125" s="32">
        <f>IF($B125="",0,IF($U125="IN",N($M125),0))</f>
        <v>0</v>
      </c>
      <c r="P125" s="32">
        <f>IF($B125="",0,IF(OR($U125="OUT",$U125="TRF"),N($M125),0))</f>
        <v>0</v>
      </c>
      <c r="Q125" s="32">
        <f>IF($B125="",0,IF(OR($U125="OUT",$U125="TRF"),N($M125),0))</f>
        <v>0</v>
      </c>
      <c r="R125" s="32">
        <f>IF($B125="",0,IF($U125="IN",N($M125),0))</f>
        <v>0</v>
      </c>
      <c r="S125" s="33">
        <f>IF($B125="","",IF($M125="","⚠ مبلغ",IF($E125="","⚠ بانک عامل",IF(AND($U125="TRF",$F125=""),"⚠ بانک مقصد",IF(AND($V125&lt;&gt;"NONE",$V125&lt;&gt;"",$Z125=""),"⚠ طرف حساب","✓")))))</f>
        <v>0</v>
      </c>
      <c r="T125" s="29"/>
      <c r="U125" s="27">
        <f>IFERROR(VLOOKUP($D125,BankOpTbl,2,0),"")</f>
        <v>0</v>
      </c>
      <c r="V125" s="27">
        <f>IFERROR(VLOOKUP($D125,BankOpTbl,3,0),"")</f>
        <v>0</v>
      </c>
      <c r="W125" s="27">
        <f>IFERROR(VLOOKUP($D125,BankOpTbl,4,0),"")</f>
        <v>0</v>
      </c>
      <c r="X125" s="27">
        <f>IF($E125="","",IFERROR(VLOOKUP($E125,BankTbl,4,0),""))</f>
        <v>0</v>
      </c>
      <c r="Y125" s="27">
        <f>IF($F125="","",IFERROR(VLOOKUP($F125,BankTbl,4,0),""))</f>
        <v>0</v>
      </c>
      <c r="Z125" s="27">
        <f>IF($B125="","",IF($V125="PICK",LEFT($N125,5),IF($V125="FIXED",$W125,IF($V125="CODE",$H125,""))))</f>
        <v>0</v>
      </c>
    </row>
    <row r="126" spans="1:26" ht="21" customHeight="1">
      <c r="A126" s="27">
        <f>IF($B126="","",COUNTA($B$13:$B126))</f>
        <v>0</v>
      </c>
      <c r="B126" s="28"/>
      <c r="C126" s="28"/>
      <c r="D126" s="29"/>
      <c r="E126" s="29"/>
      <c r="F126" s="29"/>
      <c r="G126" s="28"/>
      <c r="H126" s="28"/>
      <c r="I126" s="30">
        <f>IF($H126="","",IFERROR(VLOOKUP($H126,AcctTbl,2,0),"کد ناشناخته"))</f>
        <v>0</v>
      </c>
      <c r="J126" s="27">
        <f>IF($H126="","",IFERROR(VLOOKUP($H126,AcctTbl,3,0),""))</f>
        <v>0</v>
      </c>
      <c r="K126" s="29"/>
      <c r="L126" s="28"/>
      <c r="M126" s="31"/>
      <c r="N126" s="29"/>
      <c r="O126" s="32">
        <f>IF($B126="",0,IF($U126="IN",N($M126),0))</f>
        <v>0</v>
      </c>
      <c r="P126" s="32">
        <f>IF($B126="",0,IF(OR($U126="OUT",$U126="TRF"),N($M126),0))</f>
        <v>0</v>
      </c>
      <c r="Q126" s="32">
        <f>IF($B126="",0,IF(OR($U126="OUT",$U126="TRF"),N($M126),0))</f>
        <v>0</v>
      </c>
      <c r="R126" s="32">
        <f>IF($B126="",0,IF($U126="IN",N($M126),0))</f>
        <v>0</v>
      </c>
      <c r="S126" s="33">
        <f>IF($B126="","",IF($M126="","⚠ مبلغ",IF($E126="","⚠ بانک عامل",IF(AND($U126="TRF",$F126=""),"⚠ بانک مقصد",IF(AND($V126&lt;&gt;"NONE",$V126&lt;&gt;"",$Z126=""),"⚠ طرف حساب","✓")))))</f>
        <v>0</v>
      </c>
      <c r="T126" s="29"/>
      <c r="U126" s="27">
        <f>IFERROR(VLOOKUP($D126,BankOpTbl,2,0),"")</f>
        <v>0</v>
      </c>
      <c r="V126" s="27">
        <f>IFERROR(VLOOKUP($D126,BankOpTbl,3,0),"")</f>
        <v>0</v>
      </c>
      <c r="W126" s="27">
        <f>IFERROR(VLOOKUP($D126,BankOpTbl,4,0),"")</f>
        <v>0</v>
      </c>
      <c r="X126" s="27">
        <f>IF($E126="","",IFERROR(VLOOKUP($E126,BankTbl,4,0),""))</f>
        <v>0</v>
      </c>
      <c r="Y126" s="27">
        <f>IF($F126="","",IFERROR(VLOOKUP($F126,BankTbl,4,0),""))</f>
        <v>0</v>
      </c>
      <c r="Z126" s="27">
        <f>IF($B126="","",IF($V126="PICK",LEFT($N126,5),IF($V126="FIXED",$W126,IF($V126="CODE",$H126,""))))</f>
        <v>0</v>
      </c>
    </row>
    <row r="127" spans="1:26" ht="21" customHeight="1">
      <c r="A127" s="27">
        <f>IF($B127="","",COUNTA($B$13:$B127))</f>
        <v>0</v>
      </c>
      <c r="B127" s="28"/>
      <c r="C127" s="28"/>
      <c r="D127" s="29"/>
      <c r="E127" s="29"/>
      <c r="F127" s="29"/>
      <c r="G127" s="28"/>
      <c r="H127" s="28"/>
      <c r="I127" s="30">
        <f>IF($H127="","",IFERROR(VLOOKUP($H127,AcctTbl,2,0),"کد ناشناخته"))</f>
        <v>0</v>
      </c>
      <c r="J127" s="27">
        <f>IF($H127="","",IFERROR(VLOOKUP($H127,AcctTbl,3,0),""))</f>
        <v>0</v>
      </c>
      <c r="K127" s="29"/>
      <c r="L127" s="28"/>
      <c r="M127" s="31"/>
      <c r="N127" s="29"/>
      <c r="O127" s="32">
        <f>IF($B127="",0,IF($U127="IN",N($M127),0))</f>
        <v>0</v>
      </c>
      <c r="P127" s="32">
        <f>IF($B127="",0,IF(OR($U127="OUT",$U127="TRF"),N($M127),0))</f>
        <v>0</v>
      </c>
      <c r="Q127" s="32">
        <f>IF($B127="",0,IF(OR($U127="OUT",$U127="TRF"),N($M127),0))</f>
        <v>0</v>
      </c>
      <c r="R127" s="32">
        <f>IF($B127="",0,IF($U127="IN",N($M127),0))</f>
        <v>0</v>
      </c>
      <c r="S127" s="33">
        <f>IF($B127="","",IF($M127="","⚠ مبلغ",IF($E127="","⚠ بانک عامل",IF(AND($U127="TRF",$F127=""),"⚠ بانک مقصد",IF(AND($V127&lt;&gt;"NONE",$V127&lt;&gt;"",$Z127=""),"⚠ طرف حساب","✓")))))</f>
        <v>0</v>
      </c>
      <c r="T127" s="29"/>
      <c r="U127" s="27">
        <f>IFERROR(VLOOKUP($D127,BankOpTbl,2,0),"")</f>
        <v>0</v>
      </c>
      <c r="V127" s="27">
        <f>IFERROR(VLOOKUP($D127,BankOpTbl,3,0),"")</f>
        <v>0</v>
      </c>
      <c r="W127" s="27">
        <f>IFERROR(VLOOKUP($D127,BankOpTbl,4,0),"")</f>
        <v>0</v>
      </c>
      <c r="X127" s="27">
        <f>IF($E127="","",IFERROR(VLOOKUP($E127,BankTbl,4,0),""))</f>
        <v>0</v>
      </c>
      <c r="Y127" s="27">
        <f>IF($F127="","",IFERROR(VLOOKUP($F127,BankTbl,4,0),""))</f>
        <v>0</v>
      </c>
      <c r="Z127" s="27">
        <f>IF($B127="","",IF($V127="PICK",LEFT($N127,5),IF($V127="FIXED",$W127,IF($V127="CODE",$H127,""))))</f>
        <v>0</v>
      </c>
    </row>
    <row r="128" spans="1:26" ht="21" customHeight="1">
      <c r="A128" s="27">
        <f>IF($B128="","",COUNTA($B$13:$B128))</f>
        <v>0</v>
      </c>
      <c r="B128" s="28"/>
      <c r="C128" s="28"/>
      <c r="D128" s="29"/>
      <c r="E128" s="29"/>
      <c r="F128" s="29"/>
      <c r="G128" s="28"/>
      <c r="H128" s="28"/>
      <c r="I128" s="30">
        <f>IF($H128="","",IFERROR(VLOOKUP($H128,AcctTbl,2,0),"کد ناشناخته"))</f>
        <v>0</v>
      </c>
      <c r="J128" s="27">
        <f>IF($H128="","",IFERROR(VLOOKUP($H128,AcctTbl,3,0),""))</f>
        <v>0</v>
      </c>
      <c r="K128" s="29"/>
      <c r="L128" s="28"/>
      <c r="M128" s="31"/>
      <c r="N128" s="29"/>
      <c r="O128" s="32">
        <f>IF($B128="",0,IF($U128="IN",N($M128),0))</f>
        <v>0</v>
      </c>
      <c r="P128" s="32">
        <f>IF($B128="",0,IF(OR($U128="OUT",$U128="TRF"),N($M128),0))</f>
        <v>0</v>
      </c>
      <c r="Q128" s="32">
        <f>IF($B128="",0,IF(OR($U128="OUT",$U128="TRF"),N($M128),0))</f>
        <v>0</v>
      </c>
      <c r="R128" s="32">
        <f>IF($B128="",0,IF($U128="IN",N($M128),0))</f>
        <v>0</v>
      </c>
      <c r="S128" s="33">
        <f>IF($B128="","",IF($M128="","⚠ مبلغ",IF($E128="","⚠ بانک عامل",IF(AND($U128="TRF",$F128=""),"⚠ بانک مقصد",IF(AND($V128&lt;&gt;"NONE",$V128&lt;&gt;"",$Z128=""),"⚠ طرف حساب","✓")))))</f>
        <v>0</v>
      </c>
      <c r="T128" s="29"/>
      <c r="U128" s="27">
        <f>IFERROR(VLOOKUP($D128,BankOpTbl,2,0),"")</f>
        <v>0</v>
      </c>
      <c r="V128" s="27">
        <f>IFERROR(VLOOKUP($D128,BankOpTbl,3,0),"")</f>
        <v>0</v>
      </c>
      <c r="W128" s="27">
        <f>IFERROR(VLOOKUP($D128,BankOpTbl,4,0),"")</f>
        <v>0</v>
      </c>
      <c r="X128" s="27">
        <f>IF($E128="","",IFERROR(VLOOKUP($E128,BankTbl,4,0),""))</f>
        <v>0</v>
      </c>
      <c r="Y128" s="27">
        <f>IF($F128="","",IFERROR(VLOOKUP($F128,BankTbl,4,0),""))</f>
        <v>0</v>
      </c>
      <c r="Z128" s="27">
        <f>IF($B128="","",IF($V128="PICK",LEFT($N128,5),IF($V128="FIXED",$W128,IF($V128="CODE",$H128,""))))</f>
        <v>0</v>
      </c>
    </row>
    <row r="129" spans="1:26" ht="21" customHeight="1">
      <c r="A129" s="27">
        <f>IF($B129="","",COUNTA($B$13:$B129))</f>
        <v>0</v>
      </c>
      <c r="B129" s="28"/>
      <c r="C129" s="28"/>
      <c r="D129" s="29"/>
      <c r="E129" s="29"/>
      <c r="F129" s="29"/>
      <c r="G129" s="28"/>
      <c r="H129" s="28"/>
      <c r="I129" s="30">
        <f>IF($H129="","",IFERROR(VLOOKUP($H129,AcctTbl,2,0),"کد ناشناخته"))</f>
        <v>0</v>
      </c>
      <c r="J129" s="27">
        <f>IF($H129="","",IFERROR(VLOOKUP($H129,AcctTbl,3,0),""))</f>
        <v>0</v>
      </c>
      <c r="K129" s="29"/>
      <c r="L129" s="28"/>
      <c r="M129" s="31"/>
      <c r="N129" s="29"/>
      <c r="O129" s="32">
        <f>IF($B129="",0,IF($U129="IN",N($M129),0))</f>
        <v>0</v>
      </c>
      <c r="P129" s="32">
        <f>IF($B129="",0,IF(OR($U129="OUT",$U129="TRF"),N($M129),0))</f>
        <v>0</v>
      </c>
      <c r="Q129" s="32">
        <f>IF($B129="",0,IF(OR($U129="OUT",$U129="TRF"),N($M129),0))</f>
        <v>0</v>
      </c>
      <c r="R129" s="32">
        <f>IF($B129="",0,IF($U129="IN",N($M129),0))</f>
        <v>0</v>
      </c>
      <c r="S129" s="33">
        <f>IF($B129="","",IF($M129="","⚠ مبلغ",IF($E129="","⚠ بانک عامل",IF(AND($U129="TRF",$F129=""),"⚠ بانک مقصد",IF(AND($V129&lt;&gt;"NONE",$V129&lt;&gt;"",$Z129=""),"⚠ طرف حساب","✓")))))</f>
        <v>0</v>
      </c>
      <c r="T129" s="29"/>
      <c r="U129" s="27">
        <f>IFERROR(VLOOKUP($D129,BankOpTbl,2,0),"")</f>
        <v>0</v>
      </c>
      <c r="V129" s="27">
        <f>IFERROR(VLOOKUP($D129,BankOpTbl,3,0),"")</f>
        <v>0</v>
      </c>
      <c r="W129" s="27">
        <f>IFERROR(VLOOKUP($D129,BankOpTbl,4,0),"")</f>
        <v>0</v>
      </c>
      <c r="X129" s="27">
        <f>IF($E129="","",IFERROR(VLOOKUP($E129,BankTbl,4,0),""))</f>
        <v>0</v>
      </c>
      <c r="Y129" s="27">
        <f>IF($F129="","",IFERROR(VLOOKUP($F129,BankTbl,4,0),""))</f>
        <v>0</v>
      </c>
      <c r="Z129" s="27">
        <f>IF($B129="","",IF($V129="PICK",LEFT($N129,5),IF($V129="FIXED",$W129,IF($V129="CODE",$H129,""))))</f>
        <v>0</v>
      </c>
    </row>
    <row r="130" spans="1:26" ht="21" customHeight="1">
      <c r="A130" s="27">
        <f>IF($B130="","",COUNTA($B$13:$B130))</f>
        <v>0</v>
      </c>
      <c r="B130" s="28"/>
      <c r="C130" s="28"/>
      <c r="D130" s="29"/>
      <c r="E130" s="29"/>
      <c r="F130" s="29"/>
      <c r="G130" s="28"/>
      <c r="H130" s="28"/>
      <c r="I130" s="30">
        <f>IF($H130="","",IFERROR(VLOOKUP($H130,AcctTbl,2,0),"کد ناشناخته"))</f>
        <v>0</v>
      </c>
      <c r="J130" s="27">
        <f>IF($H130="","",IFERROR(VLOOKUP($H130,AcctTbl,3,0),""))</f>
        <v>0</v>
      </c>
      <c r="K130" s="29"/>
      <c r="L130" s="28"/>
      <c r="M130" s="31"/>
      <c r="N130" s="29"/>
      <c r="O130" s="32">
        <f>IF($B130="",0,IF($U130="IN",N($M130),0))</f>
        <v>0</v>
      </c>
      <c r="P130" s="32">
        <f>IF($B130="",0,IF(OR($U130="OUT",$U130="TRF"),N($M130),0))</f>
        <v>0</v>
      </c>
      <c r="Q130" s="32">
        <f>IF($B130="",0,IF(OR($U130="OUT",$U130="TRF"),N($M130),0))</f>
        <v>0</v>
      </c>
      <c r="R130" s="32">
        <f>IF($B130="",0,IF($U130="IN",N($M130),0))</f>
        <v>0</v>
      </c>
      <c r="S130" s="33">
        <f>IF($B130="","",IF($M130="","⚠ مبلغ",IF($E130="","⚠ بانک عامل",IF(AND($U130="TRF",$F130=""),"⚠ بانک مقصد",IF(AND($V130&lt;&gt;"NONE",$V130&lt;&gt;"",$Z130=""),"⚠ طرف حساب","✓")))))</f>
        <v>0</v>
      </c>
      <c r="T130" s="29"/>
      <c r="U130" s="27">
        <f>IFERROR(VLOOKUP($D130,BankOpTbl,2,0),"")</f>
        <v>0</v>
      </c>
      <c r="V130" s="27">
        <f>IFERROR(VLOOKUP($D130,BankOpTbl,3,0),"")</f>
        <v>0</v>
      </c>
      <c r="W130" s="27">
        <f>IFERROR(VLOOKUP($D130,BankOpTbl,4,0),"")</f>
        <v>0</v>
      </c>
      <c r="X130" s="27">
        <f>IF($E130="","",IFERROR(VLOOKUP($E130,BankTbl,4,0),""))</f>
        <v>0</v>
      </c>
      <c r="Y130" s="27">
        <f>IF($F130="","",IFERROR(VLOOKUP($F130,BankTbl,4,0),""))</f>
        <v>0</v>
      </c>
      <c r="Z130" s="27">
        <f>IF($B130="","",IF($V130="PICK",LEFT($N130,5),IF($V130="FIXED",$W130,IF($V130="CODE",$H130,""))))</f>
        <v>0</v>
      </c>
    </row>
    <row r="131" spans="1:26" ht="21" customHeight="1">
      <c r="A131" s="27">
        <f>IF($B131="","",COUNTA($B$13:$B131))</f>
        <v>0</v>
      </c>
      <c r="B131" s="28"/>
      <c r="C131" s="28"/>
      <c r="D131" s="29"/>
      <c r="E131" s="29"/>
      <c r="F131" s="29"/>
      <c r="G131" s="28"/>
      <c r="H131" s="28"/>
      <c r="I131" s="30">
        <f>IF($H131="","",IFERROR(VLOOKUP($H131,AcctTbl,2,0),"کد ناشناخته"))</f>
        <v>0</v>
      </c>
      <c r="J131" s="27">
        <f>IF($H131="","",IFERROR(VLOOKUP($H131,AcctTbl,3,0),""))</f>
        <v>0</v>
      </c>
      <c r="K131" s="29"/>
      <c r="L131" s="28"/>
      <c r="M131" s="31"/>
      <c r="N131" s="29"/>
      <c r="O131" s="32">
        <f>IF($B131="",0,IF($U131="IN",N($M131),0))</f>
        <v>0</v>
      </c>
      <c r="P131" s="32">
        <f>IF($B131="",0,IF(OR($U131="OUT",$U131="TRF"),N($M131),0))</f>
        <v>0</v>
      </c>
      <c r="Q131" s="32">
        <f>IF($B131="",0,IF(OR($U131="OUT",$U131="TRF"),N($M131),0))</f>
        <v>0</v>
      </c>
      <c r="R131" s="32">
        <f>IF($B131="",0,IF($U131="IN",N($M131),0))</f>
        <v>0</v>
      </c>
      <c r="S131" s="33">
        <f>IF($B131="","",IF($M131="","⚠ مبلغ",IF($E131="","⚠ بانک عامل",IF(AND($U131="TRF",$F131=""),"⚠ بانک مقصد",IF(AND($V131&lt;&gt;"NONE",$V131&lt;&gt;"",$Z131=""),"⚠ طرف حساب","✓")))))</f>
        <v>0</v>
      </c>
      <c r="T131" s="29"/>
      <c r="U131" s="27">
        <f>IFERROR(VLOOKUP($D131,BankOpTbl,2,0),"")</f>
        <v>0</v>
      </c>
      <c r="V131" s="27">
        <f>IFERROR(VLOOKUP($D131,BankOpTbl,3,0),"")</f>
        <v>0</v>
      </c>
      <c r="W131" s="27">
        <f>IFERROR(VLOOKUP($D131,BankOpTbl,4,0),"")</f>
        <v>0</v>
      </c>
      <c r="X131" s="27">
        <f>IF($E131="","",IFERROR(VLOOKUP($E131,BankTbl,4,0),""))</f>
        <v>0</v>
      </c>
      <c r="Y131" s="27">
        <f>IF($F131="","",IFERROR(VLOOKUP($F131,BankTbl,4,0),""))</f>
        <v>0</v>
      </c>
      <c r="Z131" s="27">
        <f>IF($B131="","",IF($V131="PICK",LEFT($N131,5),IF($V131="FIXED",$W131,IF($V131="CODE",$H131,""))))</f>
        <v>0</v>
      </c>
    </row>
    <row r="132" spans="1:26" ht="21" customHeight="1">
      <c r="A132" s="27">
        <f>IF($B132="","",COUNTA($B$13:$B132))</f>
        <v>0</v>
      </c>
      <c r="B132" s="28"/>
      <c r="C132" s="28"/>
      <c r="D132" s="29"/>
      <c r="E132" s="29"/>
      <c r="F132" s="29"/>
      <c r="G132" s="28"/>
      <c r="H132" s="28"/>
      <c r="I132" s="30">
        <f>IF($H132="","",IFERROR(VLOOKUP($H132,AcctTbl,2,0),"کد ناشناخته"))</f>
        <v>0</v>
      </c>
      <c r="J132" s="27">
        <f>IF($H132="","",IFERROR(VLOOKUP($H132,AcctTbl,3,0),""))</f>
        <v>0</v>
      </c>
      <c r="K132" s="29"/>
      <c r="L132" s="28"/>
      <c r="M132" s="31"/>
      <c r="N132" s="29"/>
      <c r="O132" s="32">
        <f>IF($B132="",0,IF($U132="IN",N($M132),0))</f>
        <v>0</v>
      </c>
      <c r="P132" s="32">
        <f>IF($B132="",0,IF(OR($U132="OUT",$U132="TRF"),N($M132),0))</f>
        <v>0</v>
      </c>
      <c r="Q132" s="32">
        <f>IF($B132="",0,IF(OR($U132="OUT",$U132="TRF"),N($M132),0))</f>
        <v>0</v>
      </c>
      <c r="R132" s="32">
        <f>IF($B132="",0,IF($U132="IN",N($M132),0))</f>
        <v>0</v>
      </c>
      <c r="S132" s="33">
        <f>IF($B132="","",IF($M132="","⚠ مبلغ",IF($E132="","⚠ بانک عامل",IF(AND($U132="TRF",$F132=""),"⚠ بانک مقصد",IF(AND($V132&lt;&gt;"NONE",$V132&lt;&gt;"",$Z132=""),"⚠ طرف حساب","✓")))))</f>
        <v>0</v>
      </c>
      <c r="T132" s="29"/>
      <c r="U132" s="27">
        <f>IFERROR(VLOOKUP($D132,BankOpTbl,2,0),"")</f>
        <v>0</v>
      </c>
      <c r="V132" s="27">
        <f>IFERROR(VLOOKUP($D132,BankOpTbl,3,0),"")</f>
        <v>0</v>
      </c>
      <c r="W132" s="27">
        <f>IFERROR(VLOOKUP($D132,BankOpTbl,4,0),"")</f>
        <v>0</v>
      </c>
      <c r="X132" s="27">
        <f>IF($E132="","",IFERROR(VLOOKUP($E132,BankTbl,4,0),""))</f>
        <v>0</v>
      </c>
      <c r="Y132" s="27">
        <f>IF($F132="","",IFERROR(VLOOKUP($F132,BankTbl,4,0),""))</f>
        <v>0</v>
      </c>
      <c r="Z132" s="27">
        <f>IF($B132="","",IF($V132="PICK",LEFT($N132,5),IF($V132="FIXED",$W132,IF($V132="CODE",$H132,""))))</f>
        <v>0</v>
      </c>
    </row>
    <row r="133" spans="1:26" ht="21" customHeight="1">
      <c r="A133" s="27">
        <f>IF($B133="","",COUNTA($B$13:$B133))</f>
        <v>0</v>
      </c>
      <c r="B133" s="28"/>
      <c r="C133" s="28"/>
      <c r="D133" s="29"/>
      <c r="E133" s="29"/>
      <c r="F133" s="29"/>
      <c r="G133" s="28"/>
      <c r="H133" s="28"/>
      <c r="I133" s="30">
        <f>IF($H133="","",IFERROR(VLOOKUP($H133,AcctTbl,2,0),"کد ناشناخته"))</f>
        <v>0</v>
      </c>
      <c r="J133" s="27">
        <f>IF($H133="","",IFERROR(VLOOKUP($H133,AcctTbl,3,0),""))</f>
        <v>0</v>
      </c>
      <c r="K133" s="29"/>
      <c r="L133" s="28"/>
      <c r="M133" s="31"/>
      <c r="N133" s="29"/>
      <c r="O133" s="32">
        <f>IF($B133="",0,IF($U133="IN",N($M133),0))</f>
        <v>0</v>
      </c>
      <c r="P133" s="32">
        <f>IF($B133="",0,IF(OR($U133="OUT",$U133="TRF"),N($M133),0))</f>
        <v>0</v>
      </c>
      <c r="Q133" s="32">
        <f>IF($B133="",0,IF(OR($U133="OUT",$U133="TRF"),N($M133),0))</f>
        <v>0</v>
      </c>
      <c r="R133" s="32">
        <f>IF($B133="",0,IF($U133="IN",N($M133),0))</f>
        <v>0</v>
      </c>
      <c r="S133" s="33">
        <f>IF($B133="","",IF($M133="","⚠ مبلغ",IF($E133="","⚠ بانک عامل",IF(AND($U133="TRF",$F133=""),"⚠ بانک مقصد",IF(AND($V133&lt;&gt;"NONE",$V133&lt;&gt;"",$Z133=""),"⚠ طرف حساب","✓")))))</f>
        <v>0</v>
      </c>
      <c r="T133" s="29"/>
      <c r="U133" s="27">
        <f>IFERROR(VLOOKUP($D133,BankOpTbl,2,0),"")</f>
        <v>0</v>
      </c>
      <c r="V133" s="27">
        <f>IFERROR(VLOOKUP($D133,BankOpTbl,3,0),"")</f>
        <v>0</v>
      </c>
      <c r="W133" s="27">
        <f>IFERROR(VLOOKUP($D133,BankOpTbl,4,0),"")</f>
        <v>0</v>
      </c>
      <c r="X133" s="27">
        <f>IF($E133="","",IFERROR(VLOOKUP($E133,BankTbl,4,0),""))</f>
        <v>0</v>
      </c>
      <c r="Y133" s="27">
        <f>IF($F133="","",IFERROR(VLOOKUP($F133,BankTbl,4,0),""))</f>
        <v>0</v>
      </c>
      <c r="Z133" s="27">
        <f>IF($B133="","",IF($V133="PICK",LEFT($N133,5),IF($V133="FIXED",$W133,IF($V133="CODE",$H133,""))))</f>
        <v>0</v>
      </c>
    </row>
    <row r="134" spans="1:26" ht="21" customHeight="1">
      <c r="A134" s="27">
        <f>IF($B134="","",COUNTA($B$13:$B134))</f>
        <v>0</v>
      </c>
      <c r="B134" s="28"/>
      <c r="C134" s="28"/>
      <c r="D134" s="29"/>
      <c r="E134" s="29"/>
      <c r="F134" s="29"/>
      <c r="G134" s="28"/>
      <c r="H134" s="28"/>
      <c r="I134" s="30">
        <f>IF($H134="","",IFERROR(VLOOKUP($H134,AcctTbl,2,0),"کد ناشناخته"))</f>
        <v>0</v>
      </c>
      <c r="J134" s="27">
        <f>IF($H134="","",IFERROR(VLOOKUP($H134,AcctTbl,3,0),""))</f>
        <v>0</v>
      </c>
      <c r="K134" s="29"/>
      <c r="L134" s="28"/>
      <c r="M134" s="31"/>
      <c r="N134" s="29"/>
      <c r="O134" s="32">
        <f>IF($B134="",0,IF($U134="IN",N($M134),0))</f>
        <v>0</v>
      </c>
      <c r="P134" s="32">
        <f>IF($B134="",0,IF(OR($U134="OUT",$U134="TRF"),N($M134),0))</f>
        <v>0</v>
      </c>
      <c r="Q134" s="32">
        <f>IF($B134="",0,IF(OR($U134="OUT",$U134="TRF"),N($M134),0))</f>
        <v>0</v>
      </c>
      <c r="R134" s="32">
        <f>IF($B134="",0,IF($U134="IN",N($M134),0))</f>
        <v>0</v>
      </c>
      <c r="S134" s="33">
        <f>IF($B134="","",IF($M134="","⚠ مبلغ",IF($E134="","⚠ بانک عامل",IF(AND($U134="TRF",$F134=""),"⚠ بانک مقصد",IF(AND($V134&lt;&gt;"NONE",$V134&lt;&gt;"",$Z134=""),"⚠ طرف حساب","✓")))))</f>
        <v>0</v>
      </c>
      <c r="T134" s="29"/>
      <c r="U134" s="27">
        <f>IFERROR(VLOOKUP($D134,BankOpTbl,2,0),"")</f>
        <v>0</v>
      </c>
      <c r="V134" s="27">
        <f>IFERROR(VLOOKUP($D134,BankOpTbl,3,0),"")</f>
        <v>0</v>
      </c>
      <c r="W134" s="27">
        <f>IFERROR(VLOOKUP($D134,BankOpTbl,4,0),"")</f>
        <v>0</v>
      </c>
      <c r="X134" s="27">
        <f>IF($E134="","",IFERROR(VLOOKUP($E134,BankTbl,4,0),""))</f>
        <v>0</v>
      </c>
      <c r="Y134" s="27">
        <f>IF($F134="","",IFERROR(VLOOKUP($F134,BankTbl,4,0),""))</f>
        <v>0</v>
      </c>
      <c r="Z134" s="27">
        <f>IF($B134="","",IF($V134="PICK",LEFT($N134,5),IF($V134="FIXED",$W134,IF($V134="CODE",$H134,""))))</f>
        <v>0</v>
      </c>
    </row>
    <row r="135" spans="1:26" ht="21" customHeight="1">
      <c r="A135" s="27">
        <f>IF($B135="","",COUNTA($B$13:$B135))</f>
        <v>0</v>
      </c>
      <c r="B135" s="28"/>
      <c r="C135" s="28"/>
      <c r="D135" s="29"/>
      <c r="E135" s="29"/>
      <c r="F135" s="29"/>
      <c r="G135" s="28"/>
      <c r="H135" s="28"/>
      <c r="I135" s="30">
        <f>IF($H135="","",IFERROR(VLOOKUP($H135,AcctTbl,2,0),"کد ناشناخته"))</f>
        <v>0</v>
      </c>
      <c r="J135" s="27">
        <f>IF($H135="","",IFERROR(VLOOKUP($H135,AcctTbl,3,0),""))</f>
        <v>0</v>
      </c>
      <c r="K135" s="29"/>
      <c r="L135" s="28"/>
      <c r="M135" s="31"/>
      <c r="N135" s="29"/>
      <c r="O135" s="32">
        <f>IF($B135="",0,IF($U135="IN",N($M135),0))</f>
        <v>0</v>
      </c>
      <c r="P135" s="32">
        <f>IF($B135="",0,IF(OR($U135="OUT",$U135="TRF"),N($M135),0))</f>
        <v>0</v>
      </c>
      <c r="Q135" s="32">
        <f>IF($B135="",0,IF(OR($U135="OUT",$U135="TRF"),N($M135),0))</f>
        <v>0</v>
      </c>
      <c r="R135" s="32">
        <f>IF($B135="",0,IF($U135="IN",N($M135),0))</f>
        <v>0</v>
      </c>
      <c r="S135" s="33">
        <f>IF($B135="","",IF($M135="","⚠ مبلغ",IF($E135="","⚠ بانک عامل",IF(AND($U135="TRF",$F135=""),"⚠ بانک مقصد",IF(AND($V135&lt;&gt;"NONE",$V135&lt;&gt;"",$Z135=""),"⚠ طرف حساب","✓")))))</f>
        <v>0</v>
      </c>
      <c r="T135" s="29"/>
      <c r="U135" s="27">
        <f>IFERROR(VLOOKUP($D135,BankOpTbl,2,0),"")</f>
        <v>0</v>
      </c>
      <c r="V135" s="27">
        <f>IFERROR(VLOOKUP($D135,BankOpTbl,3,0),"")</f>
        <v>0</v>
      </c>
      <c r="W135" s="27">
        <f>IFERROR(VLOOKUP($D135,BankOpTbl,4,0),"")</f>
        <v>0</v>
      </c>
      <c r="X135" s="27">
        <f>IF($E135="","",IFERROR(VLOOKUP($E135,BankTbl,4,0),""))</f>
        <v>0</v>
      </c>
      <c r="Y135" s="27">
        <f>IF($F135="","",IFERROR(VLOOKUP($F135,BankTbl,4,0),""))</f>
        <v>0</v>
      </c>
      <c r="Z135" s="27">
        <f>IF($B135="","",IF($V135="PICK",LEFT($N135,5),IF($V135="FIXED",$W135,IF($V135="CODE",$H135,""))))</f>
        <v>0</v>
      </c>
    </row>
    <row r="136" spans="1:26" ht="21" customHeight="1">
      <c r="A136" s="27">
        <f>IF($B136="","",COUNTA($B$13:$B136))</f>
        <v>0</v>
      </c>
      <c r="B136" s="28"/>
      <c r="C136" s="28"/>
      <c r="D136" s="29"/>
      <c r="E136" s="29"/>
      <c r="F136" s="29"/>
      <c r="G136" s="28"/>
      <c r="H136" s="28"/>
      <c r="I136" s="30">
        <f>IF($H136="","",IFERROR(VLOOKUP($H136,AcctTbl,2,0),"کد ناشناخته"))</f>
        <v>0</v>
      </c>
      <c r="J136" s="27">
        <f>IF($H136="","",IFERROR(VLOOKUP($H136,AcctTbl,3,0),""))</f>
        <v>0</v>
      </c>
      <c r="K136" s="29"/>
      <c r="L136" s="28"/>
      <c r="M136" s="31"/>
      <c r="N136" s="29"/>
      <c r="O136" s="32">
        <f>IF($B136="",0,IF($U136="IN",N($M136),0))</f>
        <v>0</v>
      </c>
      <c r="P136" s="32">
        <f>IF($B136="",0,IF(OR($U136="OUT",$U136="TRF"),N($M136),0))</f>
        <v>0</v>
      </c>
      <c r="Q136" s="32">
        <f>IF($B136="",0,IF(OR($U136="OUT",$U136="TRF"),N($M136),0))</f>
        <v>0</v>
      </c>
      <c r="R136" s="32">
        <f>IF($B136="",0,IF($U136="IN",N($M136),0))</f>
        <v>0</v>
      </c>
      <c r="S136" s="33">
        <f>IF($B136="","",IF($M136="","⚠ مبلغ",IF($E136="","⚠ بانک عامل",IF(AND($U136="TRF",$F136=""),"⚠ بانک مقصد",IF(AND($V136&lt;&gt;"NONE",$V136&lt;&gt;"",$Z136=""),"⚠ طرف حساب","✓")))))</f>
        <v>0</v>
      </c>
      <c r="T136" s="29"/>
      <c r="U136" s="27">
        <f>IFERROR(VLOOKUP($D136,BankOpTbl,2,0),"")</f>
        <v>0</v>
      </c>
      <c r="V136" s="27">
        <f>IFERROR(VLOOKUP($D136,BankOpTbl,3,0),"")</f>
        <v>0</v>
      </c>
      <c r="W136" s="27">
        <f>IFERROR(VLOOKUP($D136,BankOpTbl,4,0),"")</f>
        <v>0</v>
      </c>
      <c r="X136" s="27">
        <f>IF($E136="","",IFERROR(VLOOKUP($E136,BankTbl,4,0),""))</f>
        <v>0</v>
      </c>
      <c r="Y136" s="27">
        <f>IF($F136="","",IFERROR(VLOOKUP($F136,BankTbl,4,0),""))</f>
        <v>0</v>
      </c>
      <c r="Z136" s="27">
        <f>IF($B136="","",IF($V136="PICK",LEFT($N136,5),IF($V136="FIXED",$W136,IF($V136="CODE",$H136,""))))</f>
        <v>0</v>
      </c>
    </row>
    <row r="137" spans="1:26" ht="21" customHeight="1">
      <c r="A137" s="27">
        <f>IF($B137="","",COUNTA($B$13:$B137))</f>
        <v>0</v>
      </c>
      <c r="B137" s="28"/>
      <c r="C137" s="28"/>
      <c r="D137" s="29"/>
      <c r="E137" s="29"/>
      <c r="F137" s="29"/>
      <c r="G137" s="28"/>
      <c r="H137" s="28"/>
      <c r="I137" s="30">
        <f>IF($H137="","",IFERROR(VLOOKUP($H137,AcctTbl,2,0),"کد ناشناخته"))</f>
        <v>0</v>
      </c>
      <c r="J137" s="27">
        <f>IF($H137="","",IFERROR(VLOOKUP($H137,AcctTbl,3,0),""))</f>
        <v>0</v>
      </c>
      <c r="K137" s="29"/>
      <c r="L137" s="28"/>
      <c r="M137" s="31"/>
      <c r="N137" s="29"/>
      <c r="O137" s="32">
        <f>IF($B137="",0,IF($U137="IN",N($M137),0))</f>
        <v>0</v>
      </c>
      <c r="P137" s="32">
        <f>IF($B137="",0,IF(OR($U137="OUT",$U137="TRF"),N($M137),0))</f>
        <v>0</v>
      </c>
      <c r="Q137" s="32">
        <f>IF($B137="",0,IF(OR($U137="OUT",$U137="TRF"),N($M137),0))</f>
        <v>0</v>
      </c>
      <c r="R137" s="32">
        <f>IF($B137="",0,IF($U137="IN",N($M137),0))</f>
        <v>0</v>
      </c>
      <c r="S137" s="33">
        <f>IF($B137="","",IF($M137="","⚠ مبلغ",IF($E137="","⚠ بانک عامل",IF(AND($U137="TRF",$F137=""),"⚠ بانک مقصد",IF(AND($V137&lt;&gt;"NONE",$V137&lt;&gt;"",$Z137=""),"⚠ طرف حساب","✓")))))</f>
        <v>0</v>
      </c>
      <c r="T137" s="29"/>
      <c r="U137" s="27">
        <f>IFERROR(VLOOKUP($D137,BankOpTbl,2,0),"")</f>
        <v>0</v>
      </c>
      <c r="V137" s="27">
        <f>IFERROR(VLOOKUP($D137,BankOpTbl,3,0),"")</f>
        <v>0</v>
      </c>
      <c r="W137" s="27">
        <f>IFERROR(VLOOKUP($D137,BankOpTbl,4,0),"")</f>
        <v>0</v>
      </c>
      <c r="X137" s="27">
        <f>IF($E137="","",IFERROR(VLOOKUP($E137,BankTbl,4,0),""))</f>
        <v>0</v>
      </c>
      <c r="Y137" s="27">
        <f>IF($F137="","",IFERROR(VLOOKUP($F137,BankTbl,4,0),""))</f>
        <v>0</v>
      </c>
      <c r="Z137" s="27">
        <f>IF($B137="","",IF($V137="PICK",LEFT($N137,5),IF($V137="FIXED",$W137,IF($V137="CODE",$H137,""))))</f>
        <v>0</v>
      </c>
    </row>
    <row r="138" spans="1:26" ht="21" customHeight="1">
      <c r="A138" s="27">
        <f>IF($B138="","",COUNTA($B$13:$B138))</f>
        <v>0</v>
      </c>
      <c r="B138" s="28"/>
      <c r="C138" s="28"/>
      <c r="D138" s="29"/>
      <c r="E138" s="29"/>
      <c r="F138" s="29"/>
      <c r="G138" s="28"/>
      <c r="H138" s="28"/>
      <c r="I138" s="30">
        <f>IF($H138="","",IFERROR(VLOOKUP($H138,AcctTbl,2,0),"کد ناشناخته"))</f>
        <v>0</v>
      </c>
      <c r="J138" s="27">
        <f>IF($H138="","",IFERROR(VLOOKUP($H138,AcctTbl,3,0),""))</f>
        <v>0</v>
      </c>
      <c r="K138" s="29"/>
      <c r="L138" s="28"/>
      <c r="M138" s="31"/>
      <c r="N138" s="29"/>
      <c r="O138" s="32">
        <f>IF($B138="",0,IF($U138="IN",N($M138),0))</f>
        <v>0</v>
      </c>
      <c r="P138" s="32">
        <f>IF($B138="",0,IF(OR($U138="OUT",$U138="TRF"),N($M138),0))</f>
        <v>0</v>
      </c>
      <c r="Q138" s="32">
        <f>IF($B138="",0,IF(OR($U138="OUT",$U138="TRF"),N($M138),0))</f>
        <v>0</v>
      </c>
      <c r="R138" s="32">
        <f>IF($B138="",0,IF($U138="IN",N($M138),0))</f>
        <v>0</v>
      </c>
      <c r="S138" s="33">
        <f>IF($B138="","",IF($M138="","⚠ مبلغ",IF($E138="","⚠ بانک عامل",IF(AND($U138="TRF",$F138=""),"⚠ بانک مقصد",IF(AND($V138&lt;&gt;"NONE",$V138&lt;&gt;"",$Z138=""),"⚠ طرف حساب","✓")))))</f>
        <v>0</v>
      </c>
      <c r="T138" s="29"/>
      <c r="U138" s="27">
        <f>IFERROR(VLOOKUP($D138,BankOpTbl,2,0),"")</f>
        <v>0</v>
      </c>
      <c r="V138" s="27">
        <f>IFERROR(VLOOKUP($D138,BankOpTbl,3,0),"")</f>
        <v>0</v>
      </c>
      <c r="W138" s="27">
        <f>IFERROR(VLOOKUP($D138,BankOpTbl,4,0),"")</f>
        <v>0</v>
      </c>
      <c r="X138" s="27">
        <f>IF($E138="","",IFERROR(VLOOKUP($E138,BankTbl,4,0),""))</f>
        <v>0</v>
      </c>
      <c r="Y138" s="27">
        <f>IF($F138="","",IFERROR(VLOOKUP($F138,BankTbl,4,0),""))</f>
        <v>0</v>
      </c>
      <c r="Z138" s="27">
        <f>IF($B138="","",IF($V138="PICK",LEFT($N138,5),IF($V138="FIXED",$W138,IF($V138="CODE",$H138,""))))</f>
        <v>0</v>
      </c>
    </row>
    <row r="139" spans="1:26" ht="21" customHeight="1">
      <c r="A139" s="27">
        <f>IF($B139="","",COUNTA($B$13:$B139))</f>
        <v>0</v>
      </c>
      <c r="B139" s="28"/>
      <c r="C139" s="28"/>
      <c r="D139" s="29"/>
      <c r="E139" s="29"/>
      <c r="F139" s="29"/>
      <c r="G139" s="28"/>
      <c r="H139" s="28"/>
      <c r="I139" s="30">
        <f>IF($H139="","",IFERROR(VLOOKUP($H139,AcctTbl,2,0),"کد ناشناخته"))</f>
        <v>0</v>
      </c>
      <c r="J139" s="27">
        <f>IF($H139="","",IFERROR(VLOOKUP($H139,AcctTbl,3,0),""))</f>
        <v>0</v>
      </c>
      <c r="K139" s="29"/>
      <c r="L139" s="28"/>
      <c r="M139" s="31"/>
      <c r="N139" s="29"/>
      <c r="O139" s="32">
        <f>IF($B139="",0,IF($U139="IN",N($M139),0))</f>
        <v>0</v>
      </c>
      <c r="P139" s="32">
        <f>IF($B139="",0,IF(OR($U139="OUT",$U139="TRF"),N($M139),0))</f>
        <v>0</v>
      </c>
      <c r="Q139" s="32">
        <f>IF($B139="",0,IF(OR($U139="OUT",$U139="TRF"),N($M139),0))</f>
        <v>0</v>
      </c>
      <c r="R139" s="32">
        <f>IF($B139="",0,IF($U139="IN",N($M139),0))</f>
        <v>0</v>
      </c>
      <c r="S139" s="33">
        <f>IF($B139="","",IF($M139="","⚠ مبلغ",IF($E139="","⚠ بانک عامل",IF(AND($U139="TRF",$F139=""),"⚠ بانک مقصد",IF(AND($V139&lt;&gt;"NONE",$V139&lt;&gt;"",$Z139=""),"⚠ طرف حساب","✓")))))</f>
        <v>0</v>
      </c>
      <c r="T139" s="29"/>
      <c r="U139" s="27">
        <f>IFERROR(VLOOKUP($D139,BankOpTbl,2,0),"")</f>
        <v>0</v>
      </c>
      <c r="V139" s="27">
        <f>IFERROR(VLOOKUP($D139,BankOpTbl,3,0),"")</f>
        <v>0</v>
      </c>
      <c r="W139" s="27">
        <f>IFERROR(VLOOKUP($D139,BankOpTbl,4,0),"")</f>
        <v>0</v>
      </c>
      <c r="X139" s="27">
        <f>IF($E139="","",IFERROR(VLOOKUP($E139,BankTbl,4,0),""))</f>
        <v>0</v>
      </c>
      <c r="Y139" s="27">
        <f>IF($F139="","",IFERROR(VLOOKUP($F139,BankTbl,4,0),""))</f>
        <v>0</v>
      </c>
      <c r="Z139" s="27">
        <f>IF($B139="","",IF($V139="PICK",LEFT($N139,5),IF($V139="FIXED",$W139,IF($V139="CODE",$H139,""))))</f>
        <v>0</v>
      </c>
    </row>
    <row r="140" spans="1:26" ht="21" customHeight="1">
      <c r="A140" s="27">
        <f>IF($B140="","",COUNTA($B$13:$B140))</f>
        <v>0</v>
      </c>
      <c r="B140" s="28"/>
      <c r="C140" s="28"/>
      <c r="D140" s="29"/>
      <c r="E140" s="29"/>
      <c r="F140" s="29"/>
      <c r="G140" s="28"/>
      <c r="H140" s="28"/>
      <c r="I140" s="30">
        <f>IF($H140="","",IFERROR(VLOOKUP($H140,AcctTbl,2,0),"کد ناشناخته"))</f>
        <v>0</v>
      </c>
      <c r="J140" s="27">
        <f>IF($H140="","",IFERROR(VLOOKUP($H140,AcctTbl,3,0),""))</f>
        <v>0</v>
      </c>
      <c r="K140" s="29"/>
      <c r="L140" s="28"/>
      <c r="M140" s="31"/>
      <c r="N140" s="29"/>
      <c r="O140" s="32">
        <f>IF($B140="",0,IF($U140="IN",N($M140),0))</f>
        <v>0</v>
      </c>
      <c r="P140" s="32">
        <f>IF($B140="",0,IF(OR($U140="OUT",$U140="TRF"),N($M140),0))</f>
        <v>0</v>
      </c>
      <c r="Q140" s="32">
        <f>IF($B140="",0,IF(OR($U140="OUT",$U140="TRF"),N($M140),0))</f>
        <v>0</v>
      </c>
      <c r="R140" s="32">
        <f>IF($B140="",0,IF($U140="IN",N($M140),0))</f>
        <v>0</v>
      </c>
      <c r="S140" s="33">
        <f>IF($B140="","",IF($M140="","⚠ مبلغ",IF($E140="","⚠ بانک عامل",IF(AND($U140="TRF",$F140=""),"⚠ بانک مقصد",IF(AND($V140&lt;&gt;"NONE",$V140&lt;&gt;"",$Z140=""),"⚠ طرف حساب","✓")))))</f>
        <v>0</v>
      </c>
      <c r="T140" s="29"/>
      <c r="U140" s="27">
        <f>IFERROR(VLOOKUP($D140,BankOpTbl,2,0),"")</f>
        <v>0</v>
      </c>
      <c r="V140" s="27">
        <f>IFERROR(VLOOKUP($D140,BankOpTbl,3,0),"")</f>
        <v>0</v>
      </c>
      <c r="W140" s="27">
        <f>IFERROR(VLOOKUP($D140,BankOpTbl,4,0),"")</f>
        <v>0</v>
      </c>
      <c r="X140" s="27">
        <f>IF($E140="","",IFERROR(VLOOKUP($E140,BankTbl,4,0),""))</f>
        <v>0</v>
      </c>
      <c r="Y140" s="27">
        <f>IF($F140="","",IFERROR(VLOOKUP($F140,BankTbl,4,0),""))</f>
        <v>0</v>
      </c>
      <c r="Z140" s="27">
        <f>IF($B140="","",IF($V140="PICK",LEFT($N140,5),IF($V140="FIXED",$W140,IF($V140="CODE",$H140,""))))</f>
        <v>0</v>
      </c>
    </row>
    <row r="141" spans="1:26" ht="21" customHeight="1">
      <c r="A141" s="27">
        <f>IF($B141="","",COUNTA($B$13:$B141))</f>
        <v>0</v>
      </c>
      <c r="B141" s="28"/>
      <c r="C141" s="28"/>
      <c r="D141" s="29"/>
      <c r="E141" s="29"/>
      <c r="F141" s="29"/>
      <c r="G141" s="28"/>
      <c r="H141" s="28"/>
      <c r="I141" s="30">
        <f>IF($H141="","",IFERROR(VLOOKUP($H141,AcctTbl,2,0),"کد ناشناخته"))</f>
        <v>0</v>
      </c>
      <c r="J141" s="27">
        <f>IF($H141="","",IFERROR(VLOOKUP($H141,AcctTbl,3,0),""))</f>
        <v>0</v>
      </c>
      <c r="K141" s="29"/>
      <c r="L141" s="28"/>
      <c r="M141" s="31"/>
      <c r="N141" s="29"/>
      <c r="O141" s="32">
        <f>IF($B141="",0,IF($U141="IN",N($M141),0))</f>
        <v>0</v>
      </c>
      <c r="P141" s="32">
        <f>IF($B141="",0,IF(OR($U141="OUT",$U141="TRF"),N($M141),0))</f>
        <v>0</v>
      </c>
      <c r="Q141" s="32">
        <f>IF($B141="",0,IF(OR($U141="OUT",$U141="TRF"),N($M141),0))</f>
        <v>0</v>
      </c>
      <c r="R141" s="32">
        <f>IF($B141="",0,IF($U141="IN",N($M141),0))</f>
        <v>0</v>
      </c>
      <c r="S141" s="33">
        <f>IF($B141="","",IF($M141="","⚠ مبلغ",IF($E141="","⚠ بانک عامل",IF(AND($U141="TRF",$F141=""),"⚠ بانک مقصد",IF(AND($V141&lt;&gt;"NONE",$V141&lt;&gt;"",$Z141=""),"⚠ طرف حساب","✓")))))</f>
        <v>0</v>
      </c>
      <c r="T141" s="29"/>
      <c r="U141" s="27">
        <f>IFERROR(VLOOKUP($D141,BankOpTbl,2,0),"")</f>
        <v>0</v>
      </c>
      <c r="V141" s="27">
        <f>IFERROR(VLOOKUP($D141,BankOpTbl,3,0),"")</f>
        <v>0</v>
      </c>
      <c r="W141" s="27">
        <f>IFERROR(VLOOKUP($D141,BankOpTbl,4,0),"")</f>
        <v>0</v>
      </c>
      <c r="X141" s="27">
        <f>IF($E141="","",IFERROR(VLOOKUP($E141,BankTbl,4,0),""))</f>
        <v>0</v>
      </c>
      <c r="Y141" s="27">
        <f>IF($F141="","",IFERROR(VLOOKUP($F141,BankTbl,4,0),""))</f>
        <v>0</v>
      </c>
      <c r="Z141" s="27">
        <f>IF($B141="","",IF($V141="PICK",LEFT($N141,5),IF($V141="FIXED",$W141,IF($V141="CODE",$H141,""))))</f>
        <v>0</v>
      </c>
    </row>
    <row r="142" spans="1:26" ht="21" customHeight="1">
      <c r="A142" s="27">
        <f>IF($B142="","",COUNTA($B$13:$B142))</f>
        <v>0</v>
      </c>
      <c r="B142" s="28"/>
      <c r="C142" s="28"/>
      <c r="D142" s="29"/>
      <c r="E142" s="29"/>
      <c r="F142" s="29"/>
      <c r="G142" s="28"/>
      <c r="H142" s="28"/>
      <c r="I142" s="30">
        <f>IF($H142="","",IFERROR(VLOOKUP($H142,AcctTbl,2,0),"کد ناشناخته"))</f>
        <v>0</v>
      </c>
      <c r="J142" s="27">
        <f>IF($H142="","",IFERROR(VLOOKUP($H142,AcctTbl,3,0),""))</f>
        <v>0</v>
      </c>
      <c r="K142" s="29"/>
      <c r="L142" s="28"/>
      <c r="M142" s="31"/>
      <c r="N142" s="29"/>
      <c r="O142" s="32">
        <f>IF($B142="",0,IF($U142="IN",N($M142),0))</f>
        <v>0</v>
      </c>
      <c r="P142" s="32">
        <f>IF($B142="",0,IF(OR($U142="OUT",$U142="TRF"),N($M142),0))</f>
        <v>0</v>
      </c>
      <c r="Q142" s="32">
        <f>IF($B142="",0,IF(OR($U142="OUT",$U142="TRF"),N($M142),0))</f>
        <v>0</v>
      </c>
      <c r="R142" s="32">
        <f>IF($B142="",0,IF($U142="IN",N($M142),0))</f>
        <v>0</v>
      </c>
      <c r="S142" s="33">
        <f>IF($B142="","",IF($M142="","⚠ مبلغ",IF($E142="","⚠ بانک عامل",IF(AND($U142="TRF",$F142=""),"⚠ بانک مقصد",IF(AND($V142&lt;&gt;"NONE",$V142&lt;&gt;"",$Z142=""),"⚠ طرف حساب","✓")))))</f>
        <v>0</v>
      </c>
      <c r="T142" s="29"/>
      <c r="U142" s="27">
        <f>IFERROR(VLOOKUP($D142,BankOpTbl,2,0),"")</f>
        <v>0</v>
      </c>
      <c r="V142" s="27">
        <f>IFERROR(VLOOKUP($D142,BankOpTbl,3,0),"")</f>
        <v>0</v>
      </c>
      <c r="W142" s="27">
        <f>IFERROR(VLOOKUP($D142,BankOpTbl,4,0),"")</f>
        <v>0</v>
      </c>
      <c r="X142" s="27">
        <f>IF($E142="","",IFERROR(VLOOKUP($E142,BankTbl,4,0),""))</f>
        <v>0</v>
      </c>
      <c r="Y142" s="27">
        <f>IF($F142="","",IFERROR(VLOOKUP($F142,BankTbl,4,0),""))</f>
        <v>0</v>
      </c>
      <c r="Z142" s="27">
        <f>IF($B142="","",IF($V142="PICK",LEFT($N142,5),IF($V142="FIXED",$W142,IF($V142="CODE",$H142,""))))</f>
        <v>0</v>
      </c>
    </row>
    <row r="143" spans="1:26" ht="21" customHeight="1">
      <c r="A143" s="27">
        <f>IF($B143="","",COUNTA($B$13:$B143))</f>
        <v>0</v>
      </c>
      <c r="B143" s="28"/>
      <c r="C143" s="28"/>
      <c r="D143" s="29"/>
      <c r="E143" s="29"/>
      <c r="F143" s="29"/>
      <c r="G143" s="28"/>
      <c r="H143" s="28"/>
      <c r="I143" s="30">
        <f>IF($H143="","",IFERROR(VLOOKUP($H143,AcctTbl,2,0),"کد ناشناخته"))</f>
        <v>0</v>
      </c>
      <c r="J143" s="27">
        <f>IF($H143="","",IFERROR(VLOOKUP($H143,AcctTbl,3,0),""))</f>
        <v>0</v>
      </c>
      <c r="K143" s="29"/>
      <c r="L143" s="28"/>
      <c r="M143" s="31"/>
      <c r="N143" s="29"/>
      <c r="O143" s="32">
        <f>IF($B143="",0,IF($U143="IN",N($M143),0))</f>
        <v>0</v>
      </c>
      <c r="P143" s="32">
        <f>IF($B143="",0,IF(OR($U143="OUT",$U143="TRF"),N($M143),0))</f>
        <v>0</v>
      </c>
      <c r="Q143" s="32">
        <f>IF($B143="",0,IF(OR($U143="OUT",$U143="TRF"),N($M143),0))</f>
        <v>0</v>
      </c>
      <c r="R143" s="32">
        <f>IF($B143="",0,IF($U143="IN",N($M143),0))</f>
        <v>0</v>
      </c>
      <c r="S143" s="33">
        <f>IF($B143="","",IF($M143="","⚠ مبلغ",IF($E143="","⚠ بانک عامل",IF(AND($U143="TRF",$F143=""),"⚠ بانک مقصد",IF(AND($V143&lt;&gt;"NONE",$V143&lt;&gt;"",$Z143=""),"⚠ طرف حساب","✓")))))</f>
        <v>0</v>
      </c>
      <c r="T143" s="29"/>
      <c r="U143" s="27">
        <f>IFERROR(VLOOKUP($D143,BankOpTbl,2,0),"")</f>
        <v>0</v>
      </c>
      <c r="V143" s="27">
        <f>IFERROR(VLOOKUP($D143,BankOpTbl,3,0),"")</f>
        <v>0</v>
      </c>
      <c r="W143" s="27">
        <f>IFERROR(VLOOKUP($D143,BankOpTbl,4,0),"")</f>
        <v>0</v>
      </c>
      <c r="X143" s="27">
        <f>IF($E143="","",IFERROR(VLOOKUP($E143,BankTbl,4,0),""))</f>
        <v>0</v>
      </c>
      <c r="Y143" s="27">
        <f>IF($F143="","",IFERROR(VLOOKUP($F143,BankTbl,4,0),""))</f>
        <v>0</v>
      </c>
      <c r="Z143" s="27">
        <f>IF($B143="","",IF($V143="PICK",LEFT($N143,5),IF($V143="FIXED",$W143,IF($V143="CODE",$H143,""))))</f>
        <v>0</v>
      </c>
    </row>
    <row r="144" spans="1:26" ht="21" customHeight="1">
      <c r="A144" s="27">
        <f>IF($B144="","",COUNTA($B$13:$B144))</f>
        <v>0</v>
      </c>
      <c r="B144" s="28"/>
      <c r="C144" s="28"/>
      <c r="D144" s="29"/>
      <c r="E144" s="29"/>
      <c r="F144" s="29"/>
      <c r="G144" s="28"/>
      <c r="H144" s="28"/>
      <c r="I144" s="30">
        <f>IF($H144="","",IFERROR(VLOOKUP($H144,AcctTbl,2,0),"کد ناشناخته"))</f>
        <v>0</v>
      </c>
      <c r="J144" s="27">
        <f>IF($H144="","",IFERROR(VLOOKUP($H144,AcctTbl,3,0),""))</f>
        <v>0</v>
      </c>
      <c r="K144" s="29"/>
      <c r="L144" s="28"/>
      <c r="M144" s="31"/>
      <c r="N144" s="29"/>
      <c r="O144" s="32">
        <f>IF($B144="",0,IF($U144="IN",N($M144),0))</f>
        <v>0</v>
      </c>
      <c r="P144" s="32">
        <f>IF($B144="",0,IF(OR($U144="OUT",$U144="TRF"),N($M144),0))</f>
        <v>0</v>
      </c>
      <c r="Q144" s="32">
        <f>IF($B144="",0,IF(OR($U144="OUT",$U144="TRF"),N($M144),0))</f>
        <v>0</v>
      </c>
      <c r="R144" s="32">
        <f>IF($B144="",0,IF($U144="IN",N($M144),0))</f>
        <v>0</v>
      </c>
      <c r="S144" s="33">
        <f>IF($B144="","",IF($M144="","⚠ مبلغ",IF($E144="","⚠ بانک عامل",IF(AND($U144="TRF",$F144=""),"⚠ بانک مقصد",IF(AND($V144&lt;&gt;"NONE",$V144&lt;&gt;"",$Z144=""),"⚠ طرف حساب","✓")))))</f>
        <v>0</v>
      </c>
      <c r="T144" s="29"/>
      <c r="U144" s="27">
        <f>IFERROR(VLOOKUP($D144,BankOpTbl,2,0),"")</f>
        <v>0</v>
      </c>
      <c r="V144" s="27">
        <f>IFERROR(VLOOKUP($D144,BankOpTbl,3,0),"")</f>
        <v>0</v>
      </c>
      <c r="W144" s="27">
        <f>IFERROR(VLOOKUP($D144,BankOpTbl,4,0),"")</f>
        <v>0</v>
      </c>
      <c r="X144" s="27">
        <f>IF($E144="","",IFERROR(VLOOKUP($E144,BankTbl,4,0),""))</f>
        <v>0</v>
      </c>
      <c r="Y144" s="27">
        <f>IF($F144="","",IFERROR(VLOOKUP($F144,BankTbl,4,0),""))</f>
        <v>0</v>
      </c>
      <c r="Z144" s="27">
        <f>IF($B144="","",IF($V144="PICK",LEFT($N144,5),IF($V144="FIXED",$W144,IF($V144="CODE",$H144,""))))</f>
        <v>0</v>
      </c>
    </row>
    <row r="145" spans="1:26" ht="21" customHeight="1">
      <c r="A145" s="27">
        <f>IF($B145="","",COUNTA($B$13:$B145))</f>
        <v>0</v>
      </c>
      <c r="B145" s="28"/>
      <c r="C145" s="28"/>
      <c r="D145" s="29"/>
      <c r="E145" s="29"/>
      <c r="F145" s="29"/>
      <c r="G145" s="28"/>
      <c r="H145" s="28"/>
      <c r="I145" s="30">
        <f>IF($H145="","",IFERROR(VLOOKUP($H145,AcctTbl,2,0),"کد ناشناخته"))</f>
        <v>0</v>
      </c>
      <c r="J145" s="27">
        <f>IF($H145="","",IFERROR(VLOOKUP($H145,AcctTbl,3,0),""))</f>
        <v>0</v>
      </c>
      <c r="K145" s="29"/>
      <c r="L145" s="28"/>
      <c r="M145" s="31"/>
      <c r="N145" s="29"/>
      <c r="O145" s="32">
        <f>IF($B145="",0,IF($U145="IN",N($M145),0))</f>
        <v>0</v>
      </c>
      <c r="P145" s="32">
        <f>IF($B145="",0,IF(OR($U145="OUT",$U145="TRF"),N($M145),0))</f>
        <v>0</v>
      </c>
      <c r="Q145" s="32">
        <f>IF($B145="",0,IF(OR($U145="OUT",$U145="TRF"),N($M145),0))</f>
        <v>0</v>
      </c>
      <c r="R145" s="32">
        <f>IF($B145="",0,IF($U145="IN",N($M145),0))</f>
        <v>0</v>
      </c>
      <c r="S145" s="33">
        <f>IF($B145="","",IF($M145="","⚠ مبلغ",IF($E145="","⚠ بانک عامل",IF(AND($U145="TRF",$F145=""),"⚠ بانک مقصد",IF(AND($V145&lt;&gt;"NONE",$V145&lt;&gt;"",$Z145=""),"⚠ طرف حساب","✓")))))</f>
        <v>0</v>
      </c>
      <c r="T145" s="29"/>
      <c r="U145" s="27">
        <f>IFERROR(VLOOKUP($D145,BankOpTbl,2,0),"")</f>
        <v>0</v>
      </c>
      <c r="V145" s="27">
        <f>IFERROR(VLOOKUP($D145,BankOpTbl,3,0),"")</f>
        <v>0</v>
      </c>
      <c r="W145" s="27">
        <f>IFERROR(VLOOKUP($D145,BankOpTbl,4,0),"")</f>
        <v>0</v>
      </c>
      <c r="X145" s="27">
        <f>IF($E145="","",IFERROR(VLOOKUP($E145,BankTbl,4,0),""))</f>
        <v>0</v>
      </c>
      <c r="Y145" s="27">
        <f>IF($F145="","",IFERROR(VLOOKUP($F145,BankTbl,4,0),""))</f>
        <v>0</v>
      </c>
      <c r="Z145" s="27">
        <f>IF($B145="","",IF($V145="PICK",LEFT($N145,5),IF($V145="FIXED",$W145,IF($V145="CODE",$H145,""))))</f>
        <v>0</v>
      </c>
    </row>
    <row r="146" spans="1:26" ht="21" customHeight="1">
      <c r="A146" s="27">
        <f>IF($B146="","",COUNTA($B$13:$B146))</f>
        <v>0</v>
      </c>
      <c r="B146" s="28"/>
      <c r="C146" s="28"/>
      <c r="D146" s="29"/>
      <c r="E146" s="29"/>
      <c r="F146" s="29"/>
      <c r="G146" s="28"/>
      <c r="H146" s="28"/>
      <c r="I146" s="30">
        <f>IF($H146="","",IFERROR(VLOOKUP($H146,AcctTbl,2,0),"کد ناشناخته"))</f>
        <v>0</v>
      </c>
      <c r="J146" s="27">
        <f>IF($H146="","",IFERROR(VLOOKUP($H146,AcctTbl,3,0),""))</f>
        <v>0</v>
      </c>
      <c r="K146" s="29"/>
      <c r="L146" s="28"/>
      <c r="M146" s="31"/>
      <c r="N146" s="29"/>
      <c r="O146" s="32">
        <f>IF($B146="",0,IF($U146="IN",N($M146),0))</f>
        <v>0</v>
      </c>
      <c r="P146" s="32">
        <f>IF($B146="",0,IF(OR($U146="OUT",$U146="TRF"),N($M146),0))</f>
        <v>0</v>
      </c>
      <c r="Q146" s="32">
        <f>IF($B146="",0,IF(OR($U146="OUT",$U146="TRF"),N($M146),0))</f>
        <v>0</v>
      </c>
      <c r="R146" s="32">
        <f>IF($B146="",0,IF($U146="IN",N($M146),0))</f>
        <v>0</v>
      </c>
      <c r="S146" s="33">
        <f>IF($B146="","",IF($M146="","⚠ مبلغ",IF($E146="","⚠ بانک عامل",IF(AND($U146="TRF",$F146=""),"⚠ بانک مقصد",IF(AND($V146&lt;&gt;"NONE",$V146&lt;&gt;"",$Z146=""),"⚠ طرف حساب","✓")))))</f>
        <v>0</v>
      </c>
      <c r="T146" s="29"/>
      <c r="U146" s="27">
        <f>IFERROR(VLOOKUP($D146,BankOpTbl,2,0),"")</f>
        <v>0</v>
      </c>
      <c r="V146" s="27">
        <f>IFERROR(VLOOKUP($D146,BankOpTbl,3,0),"")</f>
        <v>0</v>
      </c>
      <c r="W146" s="27">
        <f>IFERROR(VLOOKUP($D146,BankOpTbl,4,0),"")</f>
        <v>0</v>
      </c>
      <c r="X146" s="27">
        <f>IF($E146="","",IFERROR(VLOOKUP($E146,BankTbl,4,0),""))</f>
        <v>0</v>
      </c>
      <c r="Y146" s="27">
        <f>IF($F146="","",IFERROR(VLOOKUP($F146,BankTbl,4,0),""))</f>
        <v>0</v>
      </c>
      <c r="Z146" s="27">
        <f>IF($B146="","",IF($V146="PICK",LEFT($N146,5),IF($V146="FIXED",$W146,IF($V146="CODE",$H146,""))))</f>
        <v>0</v>
      </c>
    </row>
    <row r="147" spans="1:26" ht="21" customHeight="1">
      <c r="A147" s="27">
        <f>IF($B147="","",COUNTA($B$13:$B147))</f>
        <v>0</v>
      </c>
      <c r="B147" s="28"/>
      <c r="C147" s="28"/>
      <c r="D147" s="29"/>
      <c r="E147" s="29"/>
      <c r="F147" s="29"/>
      <c r="G147" s="28"/>
      <c r="H147" s="28"/>
      <c r="I147" s="30">
        <f>IF($H147="","",IFERROR(VLOOKUP($H147,AcctTbl,2,0),"کد ناشناخته"))</f>
        <v>0</v>
      </c>
      <c r="J147" s="27">
        <f>IF($H147="","",IFERROR(VLOOKUP($H147,AcctTbl,3,0),""))</f>
        <v>0</v>
      </c>
      <c r="K147" s="29"/>
      <c r="L147" s="28"/>
      <c r="M147" s="31"/>
      <c r="N147" s="29"/>
      <c r="O147" s="32">
        <f>IF($B147="",0,IF($U147="IN",N($M147),0))</f>
        <v>0</v>
      </c>
      <c r="P147" s="32">
        <f>IF($B147="",0,IF(OR($U147="OUT",$U147="TRF"),N($M147),0))</f>
        <v>0</v>
      </c>
      <c r="Q147" s="32">
        <f>IF($B147="",0,IF(OR($U147="OUT",$U147="TRF"),N($M147),0))</f>
        <v>0</v>
      </c>
      <c r="R147" s="32">
        <f>IF($B147="",0,IF($U147="IN",N($M147),0))</f>
        <v>0</v>
      </c>
      <c r="S147" s="33">
        <f>IF($B147="","",IF($M147="","⚠ مبلغ",IF($E147="","⚠ بانک عامل",IF(AND($U147="TRF",$F147=""),"⚠ بانک مقصد",IF(AND($V147&lt;&gt;"NONE",$V147&lt;&gt;"",$Z147=""),"⚠ طرف حساب","✓")))))</f>
        <v>0</v>
      </c>
      <c r="T147" s="29"/>
      <c r="U147" s="27">
        <f>IFERROR(VLOOKUP($D147,BankOpTbl,2,0),"")</f>
        <v>0</v>
      </c>
      <c r="V147" s="27">
        <f>IFERROR(VLOOKUP($D147,BankOpTbl,3,0),"")</f>
        <v>0</v>
      </c>
      <c r="W147" s="27">
        <f>IFERROR(VLOOKUP($D147,BankOpTbl,4,0),"")</f>
        <v>0</v>
      </c>
      <c r="X147" s="27">
        <f>IF($E147="","",IFERROR(VLOOKUP($E147,BankTbl,4,0),""))</f>
        <v>0</v>
      </c>
      <c r="Y147" s="27">
        <f>IF($F147="","",IFERROR(VLOOKUP($F147,BankTbl,4,0),""))</f>
        <v>0</v>
      </c>
      <c r="Z147" s="27">
        <f>IF($B147="","",IF($V147="PICK",LEFT($N147,5),IF($V147="FIXED",$W147,IF($V147="CODE",$H147,""))))</f>
        <v>0</v>
      </c>
    </row>
    <row r="148" spans="1:26" ht="21" customHeight="1">
      <c r="A148" s="27">
        <f>IF($B148="","",COUNTA($B$13:$B148))</f>
        <v>0</v>
      </c>
      <c r="B148" s="28"/>
      <c r="C148" s="28"/>
      <c r="D148" s="29"/>
      <c r="E148" s="29"/>
      <c r="F148" s="29"/>
      <c r="G148" s="28"/>
      <c r="H148" s="28"/>
      <c r="I148" s="30">
        <f>IF($H148="","",IFERROR(VLOOKUP($H148,AcctTbl,2,0),"کد ناشناخته"))</f>
        <v>0</v>
      </c>
      <c r="J148" s="27">
        <f>IF($H148="","",IFERROR(VLOOKUP($H148,AcctTbl,3,0),""))</f>
        <v>0</v>
      </c>
      <c r="K148" s="29"/>
      <c r="L148" s="28"/>
      <c r="M148" s="31"/>
      <c r="N148" s="29"/>
      <c r="O148" s="32">
        <f>IF($B148="",0,IF($U148="IN",N($M148),0))</f>
        <v>0</v>
      </c>
      <c r="P148" s="32">
        <f>IF($B148="",0,IF(OR($U148="OUT",$U148="TRF"),N($M148),0))</f>
        <v>0</v>
      </c>
      <c r="Q148" s="32">
        <f>IF($B148="",0,IF(OR($U148="OUT",$U148="TRF"),N($M148),0))</f>
        <v>0</v>
      </c>
      <c r="R148" s="32">
        <f>IF($B148="",0,IF($U148="IN",N($M148),0))</f>
        <v>0</v>
      </c>
      <c r="S148" s="33">
        <f>IF($B148="","",IF($M148="","⚠ مبلغ",IF($E148="","⚠ بانک عامل",IF(AND($U148="TRF",$F148=""),"⚠ بانک مقصد",IF(AND($V148&lt;&gt;"NONE",$V148&lt;&gt;"",$Z148=""),"⚠ طرف حساب","✓")))))</f>
        <v>0</v>
      </c>
      <c r="T148" s="29"/>
      <c r="U148" s="27">
        <f>IFERROR(VLOOKUP($D148,BankOpTbl,2,0),"")</f>
        <v>0</v>
      </c>
      <c r="V148" s="27">
        <f>IFERROR(VLOOKUP($D148,BankOpTbl,3,0),"")</f>
        <v>0</v>
      </c>
      <c r="W148" s="27">
        <f>IFERROR(VLOOKUP($D148,BankOpTbl,4,0),"")</f>
        <v>0</v>
      </c>
      <c r="X148" s="27">
        <f>IF($E148="","",IFERROR(VLOOKUP($E148,BankTbl,4,0),""))</f>
        <v>0</v>
      </c>
      <c r="Y148" s="27">
        <f>IF($F148="","",IFERROR(VLOOKUP($F148,BankTbl,4,0),""))</f>
        <v>0</v>
      </c>
      <c r="Z148" s="27">
        <f>IF($B148="","",IF($V148="PICK",LEFT($N148,5),IF($V148="FIXED",$W148,IF($V148="CODE",$H148,""))))</f>
        <v>0</v>
      </c>
    </row>
    <row r="149" spans="1:26" ht="21" customHeight="1">
      <c r="A149" s="27">
        <f>IF($B149="","",COUNTA($B$13:$B149))</f>
        <v>0</v>
      </c>
      <c r="B149" s="28"/>
      <c r="C149" s="28"/>
      <c r="D149" s="29"/>
      <c r="E149" s="29"/>
      <c r="F149" s="29"/>
      <c r="G149" s="28"/>
      <c r="H149" s="28"/>
      <c r="I149" s="30">
        <f>IF($H149="","",IFERROR(VLOOKUP($H149,AcctTbl,2,0),"کد ناشناخته"))</f>
        <v>0</v>
      </c>
      <c r="J149" s="27">
        <f>IF($H149="","",IFERROR(VLOOKUP($H149,AcctTbl,3,0),""))</f>
        <v>0</v>
      </c>
      <c r="K149" s="29"/>
      <c r="L149" s="28"/>
      <c r="M149" s="31"/>
      <c r="N149" s="29"/>
      <c r="O149" s="32">
        <f>IF($B149="",0,IF($U149="IN",N($M149),0))</f>
        <v>0</v>
      </c>
      <c r="P149" s="32">
        <f>IF($B149="",0,IF(OR($U149="OUT",$U149="TRF"),N($M149),0))</f>
        <v>0</v>
      </c>
      <c r="Q149" s="32">
        <f>IF($B149="",0,IF(OR($U149="OUT",$U149="TRF"),N($M149),0))</f>
        <v>0</v>
      </c>
      <c r="R149" s="32">
        <f>IF($B149="",0,IF($U149="IN",N($M149),0))</f>
        <v>0</v>
      </c>
      <c r="S149" s="33">
        <f>IF($B149="","",IF($M149="","⚠ مبلغ",IF($E149="","⚠ بانک عامل",IF(AND($U149="TRF",$F149=""),"⚠ بانک مقصد",IF(AND($V149&lt;&gt;"NONE",$V149&lt;&gt;"",$Z149=""),"⚠ طرف حساب","✓")))))</f>
        <v>0</v>
      </c>
      <c r="T149" s="29"/>
      <c r="U149" s="27">
        <f>IFERROR(VLOOKUP($D149,BankOpTbl,2,0),"")</f>
        <v>0</v>
      </c>
      <c r="V149" s="27">
        <f>IFERROR(VLOOKUP($D149,BankOpTbl,3,0),"")</f>
        <v>0</v>
      </c>
      <c r="W149" s="27">
        <f>IFERROR(VLOOKUP($D149,BankOpTbl,4,0),"")</f>
        <v>0</v>
      </c>
      <c r="X149" s="27">
        <f>IF($E149="","",IFERROR(VLOOKUP($E149,BankTbl,4,0),""))</f>
        <v>0</v>
      </c>
      <c r="Y149" s="27">
        <f>IF($F149="","",IFERROR(VLOOKUP($F149,BankTbl,4,0),""))</f>
        <v>0</v>
      </c>
      <c r="Z149" s="27">
        <f>IF($B149="","",IF($V149="PICK",LEFT($N149,5),IF($V149="FIXED",$W149,IF($V149="CODE",$H149,""))))</f>
        <v>0</v>
      </c>
    </row>
    <row r="150" spans="1:26" ht="21" customHeight="1">
      <c r="A150" s="27">
        <f>IF($B150="","",COUNTA($B$13:$B150))</f>
        <v>0</v>
      </c>
      <c r="B150" s="28"/>
      <c r="C150" s="28"/>
      <c r="D150" s="29"/>
      <c r="E150" s="29"/>
      <c r="F150" s="29"/>
      <c r="G150" s="28"/>
      <c r="H150" s="28"/>
      <c r="I150" s="30">
        <f>IF($H150="","",IFERROR(VLOOKUP($H150,AcctTbl,2,0),"کد ناشناخته"))</f>
        <v>0</v>
      </c>
      <c r="J150" s="27">
        <f>IF($H150="","",IFERROR(VLOOKUP($H150,AcctTbl,3,0),""))</f>
        <v>0</v>
      </c>
      <c r="K150" s="29"/>
      <c r="L150" s="28"/>
      <c r="M150" s="31"/>
      <c r="N150" s="29"/>
      <c r="O150" s="32">
        <f>IF($B150="",0,IF($U150="IN",N($M150),0))</f>
        <v>0</v>
      </c>
      <c r="P150" s="32">
        <f>IF($B150="",0,IF(OR($U150="OUT",$U150="TRF"),N($M150),0))</f>
        <v>0</v>
      </c>
      <c r="Q150" s="32">
        <f>IF($B150="",0,IF(OR($U150="OUT",$U150="TRF"),N($M150),0))</f>
        <v>0</v>
      </c>
      <c r="R150" s="32">
        <f>IF($B150="",0,IF($U150="IN",N($M150),0))</f>
        <v>0</v>
      </c>
      <c r="S150" s="33">
        <f>IF($B150="","",IF($M150="","⚠ مبلغ",IF($E150="","⚠ بانک عامل",IF(AND($U150="TRF",$F150=""),"⚠ بانک مقصد",IF(AND($V150&lt;&gt;"NONE",$V150&lt;&gt;"",$Z150=""),"⚠ طرف حساب","✓")))))</f>
        <v>0</v>
      </c>
      <c r="T150" s="29"/>
      <c r="U150" s="27">
        <f>IFERROR(VLOOKUP($D150,BankOpTbl,2,0),"")</f>
        <v>0</v>
      </c>
      <c r="V150" s="27">
        <f>IFERROR(VLOOKUP($D150,BankOpTbl,3,0),"")</f>
        <v>0</v>
      </c>
      <c r="W150" s="27">
        <f>IFERROR(VLOOKUP($D150,BankOpTbl,4,0),"")</f>
        <v>0</v>
      </c>
      <c r="X150" s="27">
        <f>IF($E150="","",IFERROR(VLOOKUP($E150,BankTbl,4,0),""))</f>
        <v>0</v>
      </c>
      <c r="Y150" s="27">
        <f>IF($F150="","",IFERROR(VLOOKUP($F150,BankTbl,4,0),""))</f>
        <v>0</v>
      </c>
      <c r="Z150" s="27">
        <f>IF($B150="","",IF($V150="PICK",LEFT($N150,5),IF($V150="FIXED",$W150,IF($V150="CODE",$H150,""))))</f>
        <v>0</v>
      </c>
    </row>
    <row r="151" spans="1:26" ht="21" customHeight="1">
      <c r="A151" s="27">
        <f>IF($B151="","",COUNTA($B$13:$B151))</f>
        <v>0</v>
      </c>
      <c r="B151" s="28"/>
      <c r="C151" s="28"/>
      <c r="D151" s="29"/>
      <c r="E151" s="29"/>
      <c r="F151" s="29"/>
      <c r="G151" s="28"/>
      <c r="H151" s="28"/>
      <c r="I151" s="30">
        <f>IF($H151="","",IFERROR(VLOOKUP($H151,AcctTbl,2,0),"کد ناشناخته"))</f>
        <v>0</v>
      </c>
      <c r="J151" s="27">
        <f>IF($H151="","",IFERROR(VLOOKUP($H151,AcctTbl,3,0),""))</f>
        <v>0</v>
      </c>
      <c r="K151" s="29"/>
      <c r="L151" s="28"/>
      <c r="M151" s="31"/>
      <c r="N151" s="29"/>
      <c r="O151" s="32">
        <f>IF($B151="",0,IF($U151="IN",N($M151),0))</f>
        <v>0</v>
      </c>
      <c r="P151" s="32">
        <f>IF($B151="",0,IF(OR($U151="OUT",$U151="TRF"),N($M151),0))</f>
        <v>0</v>
      </c>
      <c r="Q151" s="32">
        <f>IF($B151="",0,IF(OR($U151="OUT",$U151="TRF"),N($M151),0))</f>
        <v>0</v>
      </c>
      <c r="R151" s="32">
        <f>IF($B151="",0,IF($U151="IN",N($M151),0))</f>
        <v>0</v>
      </c>
      <c r="S151" s="33">
        <f>IF($B151="","",IF($M151="","⚠ مبلغ",IF($E151="","⚠ بانک عامل",IF(AND($U151="TRF",$F151=""),"⚠ بانک مقصد",IF(AND($V151&lt;&gt;"NONE",$V151&lt;&gt;"",$Z151=""),"⚠ طرف حساب","✓")))))</f>
        <v>0</v>
      </c>
      <c r="T151" s="29"/>
      <c r="U151" s="27">
        <f>IFERROR(VLOOKUP($D151,BankOpTbl,2,0),"")</f>
        <v>0</v>
      </c>
      <c r="V151" s="27">
        <f>IFERROR(VLOOKUP($D151,BankOpTbl,3,0),"")</f>
        <v>0</v>
      </c>
      <c r="W151" s="27">
        <f>IFERROR(VLOOKUP($D151,BankOpTbl,4,0),"")</f>
        <v>0</v>
      </c>
      <c r="X151" s="27">
        <f>IF($E151="","",IFERROR(VLOOKUP($E151,BankTbl,4,0),""))</f>
        <v>0</v>
      </c>
      <c r="Y151" s="27">
        <f>IF($F151="","",IFERROR(VLOOKUP($F151,BankTbl,4,0),""))</f>
        <v>0</v>
      </c>
      <c r="Z151" s="27">
        <f>IF($B151="","",IF($V151="PICK",LEFT($N151,5),IF($V151="FIXED",$W151,IF($V151="CODE",$H151,""))))</f>
        <v>0</v>
      </c>
    </row>
    <row r="152" spans="1:26" ht="21" customHeight="1">
      <c r="A152" s="27">
        <f>IF($B152="","",COUNTA($B$13:$B152))</f>
        <v>0</v>
      </c>
      <c r="B152" s="28"/>
      <c r="C152" s="28"/>
      <c r="D152" s="29"/>
      <c r="E152" s="29"/>
      <c r="F152" s="29"/>
      <c r="G152" s="28"/>
      <c r="H152" s="28"/>
      <c r="I152" s="30">
        <f>IF($H152="","",IFERROR(VLOOKUP($H152,AcctTbl,2,0),"کد ناشناخته"))</f>
        <v>0</v>
      </c>
      <c r="J152" s="27">
        <f>IF($H152="","",IFERROR(VLOOKUP($H152,AcctTbl,3,0),""))</f>
        <v>0</v>
      </c>
      <c r="K152" s="29"/>
      <c r="L152" s="28"/>
      <c r="M152" s="31"/>
      <c r="N152" s="29"/>
      <c r="O152" s="32">
        <f>IF($B152="",0,IF($U152="IN",N($M152),0))</f>
        <v>0</v>
      </c>
      <c r="P152" s="32">
        <f>IF($B152="",0,IF(OR($U152="OUT",$U152="TRF"),N($M152),0))</f>
        <v>0</v>
      </c>
      <c r="Q152" s="32">
        <f>IF($B152="",0,IF(OR($U152="OUT",$U152="TRF"),N($M152),0))</f>
        <v>0</v>
      </c>
      <c r="R152" s="32">
        <f>IF($B152="",0,IF($U152="IN",N($M152),0))</f>
        <v>0</v>
      </c>
      <c r="S152" s="33">
        <f>IF($B152="","",IF($M152="","⚠ مبلغ",IF($E152="","⚠ بانک عامل",IF(AND($U152="TRF",$F152=""),"⚠ بانک مقصد",IF(AND($V152&lt;&gt;"NONE",$V152&lt;&gt;"",$Z152=""),"⚠ طرف حساب","✓")))))</f>
        <v>0</v>
      </c>
      <c r="T152" s="29"/>
      <c r="U152" s="27">
        <f>IFERROR(VLOOKUP($D152,BankOpTbl,2,0),"")</f>
        <v>0</v>
      </c>
      <c r="V152" s="27">
        <f>IFERROR(VLOOKUP($D152,BankOpTbl,3,0),"")</f>
        <v>0</v>
      </c>
      <c r="W152" s="27">
        <f>IFERROR(VLOOKUP($D152,BankOpTbl,4,0),"")</f>
        <v>0</v>
      </c>
      <c r="X152" s="27">
        <f>IF($E152="","",IFERROR(VLOOKUP($E152,BankTbl,4,0),""))</f>
        <v>0</v>
      </c>
      <c r="Y152" s="27">
        <f>IF($F152="","",IFERROR(VLOOKUP($F152,BankTbl,4,0),""))</f>
        <v>0</v>
      </c>
      <c r="Z152" s="27">
        <f>IF($B152="","",IF($V152="PICK",LEFT($N152,5),IF($V152="FIXED",$W152,IF($V152="CODE",$H152,""))))</f>
        <v>0</v>
      </c>
    </row>
    <row r="153" spans="1:26" ht="24" customHeight="1">
      <c r="A153" s="34" t="s">
        <v>103</v>
      </c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5">
        <f>SUM(O12:O151)</f>
        <v>0</v>
      </c>
      <c r="P153" s="35">
        <f>SUM(P12:P151)</f>
        <v>0</v>
      </c>
      <c r="Q153" s="35">
        <f>SUM(Q12:Q151)</f>
        <v>0</v>
      </c>
      <c r="R153" s="35">
        <f>SUM(R12:R151)</f>
        <v>0</v>
      </c>
      <c r="S153" s="36">
        <f>IF(COUNTIF($S$13:$S$152,"⚠*")=0,"✓ تراز","⚠ بررسی")</f>
        <v>0</v>
      </c>
    </row>
  </sheetData>
  <autoFilter ref="A11:T152"/>
  <mergeCells count="17">
    <mergeCell ref="A2:T2"/>
    <mergeCell ref="A3:T3"/>
    <mergeCell ref="A4:T4"/>
    <mergeCell ref="A7:D7"/>
    <mergeCell ref="A8:D8"/>
    <mergeCell ref="E7:H7"/>
    <mergeCell ref="E8:H8"/>
    <mergeCell ref="I7:L7"/>
    <mergeCell ref="I8:L8"/>
    <mergeCell ref="M7:P7"/>
    <mergeCell ref="M8:P8"/>
    <mergeCell ref="Q7:T7"/>
    <mergeCell ref="Q8:T8"/>
    <mergeCell ref="A9:T9"/>
    <mergeCell ref="A11:R11"/>
    <mergeCell ref="S11:T11"/>
    <mergeCell ref="A153:N153"/>
  </mergeCells>
  <conditionalFormatting sqref="A12:T152">
    <cfRule type="expression" dxfId="0" priority="1">
      <formula>$U12="IN"</formula>
    </cfRule>
    <cfRule type="expression" dxfId="1" priority="2">
      <formula>$U12="OUT"</formula>
    </cfRule>
    <cfRule type="expression" dxfId="2" priority="3">
      <formula>$U12="TRF"</formula>
    </cfRule>
  </conditionalFormatting>
  <conditionalFormatting sqref="S12:S152">
    <cfRule type="containsText" dxfId="3" priority="4" operator="containsText" text="⚠">
      <formula>NOT(ISERROR(SEARCH("⚠",S12)))</formula>
    </cfRule>
    <cfRule type="containsText" dxfId="4" priority="5" operator="containsText" text="✓">
      <formula>NOT(ISERROR(SEARCH("✓",S12)))</formula>
    </cfRule>
  </conditionalFormatting>
  <dataValidations count="7">
    <dataValidation type="custom" allowBlank="1" showInputMessage="1" showErrorMessage="1" errorTitle="تاریخ شمسی" error="تاریخ را به شکل 1405/07/10 وارد کنید." sqref="B13:B152">
      <formula1>OR($B13="",AND(LEN($B13)=10,MID($B13,5,1)="/",MID($B13,8,1)="/"))</formula1>
    </dataValidation>
    <dataValidation type="list" allowBlank="1" showInputMessage="1" showErrorMessage="1" sqref="D13:D152">
      <formula1>ListBankOps</formula1>
    </dataValidation>
    <dataValidation type="list" allowBlank="1" showInputMessage="1" showErrorMessage="1" sqref="E13:E152">
      <formula1>ListBanks</formula1>
    </dataValidation>
    <dataValidation type="list" errorStyle="warning" allowBlank="1" showInputMessage="1" showErrorMessage="1" sqref="F13:F152">
      <formula1>ListBanks</formula1>
    </dataValidation>
    <dataValidation type="list" errorStyle="warning" allowBlank="1" showInputMessage="1" showErrorMessage="1" sqref="G13:G152">
      <formula1>ListPayMethods</formula1>
    </dataValidation>
    <dataValidation type="list" errorStyle="warning" allowBlank="1" showInputMessage="1" showErrorMessage="1" sqref="H13:H152">
      <formula1>ListAllCodes</formula1>
    </dataValidation>
    <dataValidation type="list" errorStyle="warning" allowBlank="1" showInputMessage="1" showErrorMessage="1" sqref="N13:N152">
      <formula1>ListOtherScales</formula1>
    </dataValidation>
  </dataValidations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9:N292"/>
  <sheetViews>
    <sheetView showGridLines="0" rightToLeft="1" zoomScale="85" zoomScaleNormal="85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/>
    </sheetView>
  </sheetViews>
  <sheetFormatPr defaultRowHeight="15"/>
  <cols>
    <col min="1" max="2" width="11.7109375" customWidth="1"/>
    <col min="3" max="3" width="14.7109375" customWidth="1"/>
    <col min="4" max="4" width="11.7109375" customWidth="1"/>
    <col min="5" max="5" width="26.7109375" customWidth="1"/>
    <col min="6" max="6" width="14.7109375" customWidth="1"/>
    <col min="7" max="7" width="24.7109375" customWidth="1"/>
    <col min="8" max="8" width="11.7109375" customWidth="1"/>
    <col min="9" max="10" width="14.7109375" customWidth="1"/>
    <col min="11" max="11" width="7.7109375" customWidth="1"/>
    <col min="12" max="12" width="28.7109375" customWidth="1"/>
  </cols>
  <sheetData>
    <row r="9" spans="1:14">
      <c r="A9" s="37" t="s">
        <v>104</v>
      </c>
      <c r="B9" s="37" t="s">
        <v>105</v>
      </c>
      <c r="C9" s="37" t="s">
        <v>106</v>
      </c>
      <c r="D9" s="37" t="s">
        <v>107</v>
      </c>
      <c r="E9" s="37" t="s">
        <v>108</v>
      </c>
      <c r="F9" s="37" t="s">
        <v>109</v>
      </c>
      <c r="G9" s="37" t="s">
        <v>110</v>
      </c>
      <c r="H9" s="37" t="s">
        <v>111</v>
      </c>
      <c r="I9" s="37" t="s">
        <v>112</v>
      </c>
      <c r="J9" s="37" t="s">
        <v>113</v>
      </c>
      <c r="K9" s="37" t="s">
        <v>114</v>
      </c>
      <c r="L9" s="37" t="s">
        <v>115</v>
      </c>
      <c r="M9" s="37"/>
      <c r="N9" s="37" t="s">
        <v>116</v>
      </c>
    </row>
    <row r="13" spans="1:14">
      <c r="A13" s="38">
        <f>IF(Txn!$B13="","",Txn!$B13)</f>
        <v>0</v>
      </c>
      <c r="B13" s="38">
        <f>IF(Txn!$B13="","",Txn!$C13)</f>
        <v>0</v>
      </c>
      <c r="C13" s="39">
        <f>IF(Txn!$B13="","","تراکنش بانکی")</f>
        <v>0</v>
      </c>
      <c r="D13" s="38">
        <f>IF(Txn!$B13="","",IF(Txn!$X13="","",Txn!$X13))</f>
        <v>0</v>
      </c>
      <c r="E13" s="39">
        <f>IF($D13="","",IFERROR(VLOOKUP($D13,AcctTbl,2,0),""))</f>
        <v>0</v>
      </c>
      <c r="F13" s="39">
        <f>IF($D13="","",IFERROR(VLOOKUP($D13,AcctTbl,3,0),""))</f>
        <v>0</v>
      </c>
      <c r="G13" s="39">
        <f>IF(Txn!$B13="","",Txn!$D13)</f>
        <v>0</v>
      </c>
      <c r="H13" s="38">
        <f>IF(Txn!$B13="","",Txn!$E13)</f>
        <v>0</v>
      </c>
      <c r="I13" s="40">
        <f>IF(Txn!$B13="",0,Txn!$O13)</f>
        <v>0</v>
      </c>
      <c r="J13" s="40">
        <f>IF(Txn!$B13="",0,Txn!$P13)</f>
        <v>0</v>
      </c>
      <c r="K13" s="41">
        <f>IF($A13="","",IFERROR(VALUE(MID($A13,6,2)),""))</f>
        <v>0</v>
      </c>
      <c r="L13" s="39">
        <f>IF(Txn!$K13="","",Txn!$K13)</f>
        <v>0</v>
      </c>
      <c r="N13" s="42">
        <f>IF($D13="",0,COUNTIF(BankAccts,$D13))</f>
        <v>0</v>
      </c>
    </row>
    <row r="14" spans="1:14">
      <c r="A14" s="38">
        <f>IF(Txn!$B13="","",Txn!$B13)</f>
        <v>0</v>
      </c>
      <c r="B14" s="38">
        <f>IF(Txn!$B13="","",Txn!$C13)</f>
        <v>0</v>
      </c>
      <c r="C14" s="39">
        <f>IF(Txn!$B13="","","تراکنش بانکی")</f>
        <v>0</v>
      </c>
      <c r="D14" s="38">
        <f>IF(Txn!$B13="","",IF(IF(Txn!$U13="TRF",Txn!$Y13,Txn!$Z13)="","",IF(Txn!$U13="TRF",Txn!$Y13,Txn!$Z13)))</f>
        <v>0</v>
      </c>
      <c r="E14" s="39">
        <f>IF($D14="","",IFERROR(VLOOKUP($D14,AcctTbl,2,0),""))</f>
        <v>0</v>
      </c>
      <c r="F14" s="39">
        <f>IF($D14="","",IFERROR(VLOOKUP($D14,AcctTbl,3,0),""))</f>
        <v>0</v>
      </c>
      <c r="G14" s="39">
        <f>IF(Txn!$B13="","",Txn!$D13)</f>
        <v>0</v>
      </c>
      <c r="H14" s="38">
        <f>IF(Txn!$B13="","",Txn!$E13)</f>
        <v>0</v>
      </c>
      <c r="I14" s="40">
        <f>IF(Txn!$B13="",0,Txn!$Q13)</f>
        <v>0</v>
      </c>
      <c r="J14" s="40">
        <f>IF(Txn!$B13="",0,Txn!$R13)</f>
        <v>0</v>
      </c>
      <c r="K14" s="41">
        <f>IF($A14="","",IFERROR(VALUE(MID($A14,6,2)),""))</f>
        <v>0</v>
      </c>
      <c r="L14" s="39">
        <f>IF(Txn!$K13="","","طرف مقابل — "&amp;Txn!$K13)</f>
        <v>0</v>
      </c>
      <c r="N14" s="42">
        <f>IF($D14="",0,COUNTIF(BankAccts,$D14))</f>
        <v>0</v>
      </c>
    </row>
    <row r="15" spans="1:14">
      <c r="A15" s="38">
        <f>IF(Txn!$B14="","",Txn!$B14)</f>
        <v>0</v>
      </c>
      <c r="B15" s="38">
        <f>IF(Txn!$B14="","",Txn!$C14)</f>
        <v>0</v>
      </c>
      <c r="C15" s="39">
        <f>IF(Txn!$B14="","","تراکنش بانکی")</f>
        <v>0</v>
      </c>
      <c r="D15" s="38">
        <f>IF(Txn!$B14="","",IF(Txn!$X14="","",Txn!$X14))</f>
        <v>0</v>
      </c>
      <c r="E15" s="39">
        <f>IF($D15="","",IFERROR(VLOOKUP($D15,AcctTbl,2,0),""))</f>
        <v>0</v>
      </c>
      <c r="F15" s="39">
        <f>IF($D15="","",IFERROR(VLOOKUP($D15,AcctTbl,3,0),""))</f>
        <v>0</v>
      </c>
      <c r="G15" s="39">
        <f>IF(Txn!$B14="","",Txn!$D14)</f>
        <v>0</v>
      </c>
      <c r="H15" s="38">
        <f>IF(Txn!$B14="","",Txn!$E14)</f>
        <v>0</v>
      </c>
      <c r="I15" s="40">
        <f>IF(Txn!$B14="",0,Txn!$O14)</f>
        <v>0</v>
      </c>
      <c r="J15" s="40">
        <f>IF(Txn!$B14="",0,Txn!$P14)</f>
        <v>0</v>
      </c>
      <c r="K15" s="41">
        <f>IF($A15="","",IFERROR(VALUE(MID($A15,6,2)),""))</f>
        <v>0</v>
      </c>
      <c r="L15" s="39">
        <f>IF(Txn!$K14="","",Txn!$K14)</f>
        <v>0</v>
      </c>
      <c r="N15" s="42">
        <f>IF($D15="",0,COUNTIF(BankAccts,$D15))</f>
        <v>0</v>
      </c>
    </row>
    <row r="16" spans="1:14">
      <c r="A16" s="38">
        <f>IF(Txn!$B14="","",Txn!$B14)</f>
        <v>0</v>
      </c>
      <c r="B16" s="38">
        <f>IF(Txn!$B14="","",Txn!$C14)</f>
        <v>0</v>
      </c>
      <c r="C16" s="39">
        <f>IF(Txn!$B14="","","تراکنش بانکی")</f>
        <v>0</v>
      </c>
      <c r="D16" s="38">
        <f>IF(Txn!$B14="","",IF(IF(Txn!$U14="TRF",Txn!$Y14,Txn!$Z14)="","",IF(Txn!$U14="TRF",Txn!$Y14,Txn!$Z14)))</f>
        <v>0</v>
      </c>
      <c r="E16" s="39">
        <f>IF($D16="","",IFERROR(VLOOKUP($D16,AcctTbl,2,0),""))</f>
        <v>0</v>
      </c>
      <c r="F16" s="39">
        <f>IF($D16="","",IFERROR(VLOOKUP($D16,AcctTbl,3,0),""))</f>
        <v>0</v>
      </c>
      <c r="G16" s="39">
        <f>IF(Txn!$B14="","",Txn!$D14)</f>
        <v>0</v>
      </c>
      <c r="H16" s="38">
        <f>IF(Txn!$B14="","",Txn!$E14)</f>
        <v>0</v>
      </c>
      <c r="I16" s="40">
        <f>IF(Txn!$B14="",0,Txn!$Q14)</f>
        <v>0</v>
      </c>
      <c r="J16" s="40">
        <f>IF(Txn!$B14="",0,Txn!$R14)</f>
        <v>0</v>
      </c>
      <c r="K16" s="41">
        <f>IF($A16="","",IFERROR(VALUE(MID($A16,6,2)),""))</f>
        <v>0</v>
      </c>
      <c r="L16" s="39">
        <f>IF(Txn!$K14="","","طرف مقابل — "&amp;Txn!$K14)</f>
        <v>0</v>
      </c>
      <c r="N16" s="42">
        <f>IF($D16="",0,COUNTIF(BankAccts,$D16))</f>
        <v>0</v>
      </c>
    </row>
    <row r="17" spans="1:14">
      <c r="A17" s="38">
        <f>IF(Txn!$B15="","",Txn!$B15)</f>
        <v>0</v>
      </c>
      <c r="B17" s="38">
        <f>IF(Txn!$B15="","",Txn!$C15)</f>
        <v>0</v>
      </c>
      <c r="C17" s="39">
        <f>IF(Txn!$B15="","","تراکنش بانکی")</f>
        <v>0</v>
      </c>
      <c r="D17" s="38">
        <f>IF(Txn!$B15="","",IF(Txn!$X15="","",Txn!$X15))</f>
        <v>0</v>
      </c>
      <c r="E17" s="39">
        <f>IF($D17="","",IFERROR(VLOOKUP($D17,AcctTbl,2,0),""))</f>
        <v>0</v>
      </c>
      <c r="F17" s="39">
        <f>IF($D17="","",IFERROR(VLOOKUP($D17,AcctTbl,3,0),""))</f>
        <v>0</v>
      </c>
      <c r="G17" s="39">
        <f>IF(Txn!$B15="","",Txn!$D15)</f>
        <v>0</v>
      </c>
      <c r="H17" s="38">
        <f>IF(Txn!$B15="","",Txn!$E15)</f>
        <v>0</v>
      </c>
      <c r="I17" s="40">
        <f>IF(Txn!$B15="",0,Txn!$O15)</f>
        <v>0</v>
      </c>
      <c r="J17" s="40">
        <f>IF(Txn!$B15="",0,Txn!$P15)</f>
        <v>0</v>
      </c>
      <c r="K17" s="41">
        <f>IF($A17="","",IFERROR(VALUE(MID($A17,6,2)),""))</f>
        <v>0</v>
      </c>
      <c r="L17" s="39">
        <f>IF(Txn!$K15="","",Txn!$K15)</f>
        <v>0</v>
      </c>
      <c r="N17" s="42">
        <f>IF($D17="",0,COUNTIF(BankAccts,$D17))</f>
        <v>0</v>
      </c>
    </row>
    <row r="18" spans="1:14">
      <c r="A18" s="38">
        <f>IF(Txn!$B15="","",Txn!$B15)</f>
        <v>0</v>
      </c>
      <c r="B18" s="38">
        <f>IF(Txn!$B15="","",Txn!$C15)</f>
        <v>0</v>
      </c>
      <c r="C18" s="39">
        <f>IF(Txn!$B15="","","تراکنش بانکی")</f>
        <v>0</v>
      </c>
      <c r="D18" s="38">
        <f>IF(Txn!$B15="","",IF(IF(Txn!$U15="TRF",Txn!$Y15,Txn!$Z15)="","",IF(Txn!$U15="TRF",Txn!$Y15,Txn!$Z15)))</f>
        <v>0</v>
      </c>
      <c r="E18" s="39">
        <f>IF($D18="","",IFERROR(VLOOKUP($D18,AcctTbl,2,0),""))</f>
        <v>0</v>
      </c>
      <c r="F18" s="39">
        <f>IF($D18="","",IFERROR(VLOOKUP($D18,AcctTbl,3,0),""))</f>
        <v>0</v>
      </c>
      <c r="G18" s="39">
        <f>IF(Txn!$B15="","",Txn!$D15)</f>
        <v>0</v>
      </c>
      <c r="H18" s="38">
        <f>IF(Txn!$B15="","",Txn!$E15)</f>
        <v>0</v>
      </c>
      <c r="I18" s="40">
        <f>IF(Txn!$B15="",0,Txn!$Q15)</f>
        <v>0</v>
      </c>
      <c r="J18" s="40">
        <f>IF(Txn!$B15="",0,Txn!$R15)</f>
        <v>0</v>
      </c>
      <c r="K18" s="41">
        <f>IF($A18="","",IFERROR(VALUE(MID($A18,6,2)),""))</f>
        <v>0</v>
      </c>
      <c r="L18" s="39">
        <f>IF(Txn!$K15="","","طرف مقابل — "&amp;Txn!$K15)</f>
        <v>0</v>
      </c>
      <c r="N18" s="42">
        <f>IF($D18="",0,COUNTIF(BankAccts,$D18))</f>
        <v>0</v>
      </c>
    </row>
    <row r="19" spans="1:14">
      <c r="A19" s="38">
        <f>IF(Txn!$B16="","",Txn!$B16)</f>
        <v>0</v>
      </c>
      <c r="B19" s="38">
        <f>IF(Txn!$B16="","",Txn!$C16)</f>
        <v>0</v>
      </c>
      <c r="C19" s="39">
        <f>IF(Txn!$B16="","","تراکنش بانکی")</f>
        <v>0</v>
      </c>
      <c r="D19" s="38">
        <f>IF(Txn!$B16="","",IF(Txn!$X16="","",Txn!$X16))</f>
        <v>0</v>
      </c>
      <c r="E19" s="39">
        <f>IF($D19="","",IFERROR(VLOOKUP($D19,AcctTbl,2,0),""))</f>
        <v>0</v>
      </c>
      <c r="F19" s="39">
        <f>IF($D19="","",IFERROR(VLOOKUP($D19,AcctTbl,3,0),""))</f>
        <v>0</v>
      </c>
      <c r="G19" s="39">
        <f>IF(Txn!$B16="","",Txn!$D16)</f>
        <v>0</v>
      </c>
      <c r="H19" s="38">
        <f>IF(Txn!$B16="","",Txn!$E16)</f>
        <v>0</v>
      </c>
      <c r="I19" s="40">
        <f>IF(Txn!$B16="",0,Txn!$O16)</f>
        <v>0</v>
      </c>
      <c r="J19" s="40">
        <f>IF(Txn!$B16="",0,Txn!$P16)</f>
        <v>0</v>
      </c>
      <c r="K19" s="41">
        <f>IF($A19="","",IFERROR(VALUE(MID($A19,6,2)),""))</f>
        <v>0</v>
      </c>
      <c r="L19" s="39">
        <f>IF(Txn!$K16="","",Txn!$K16)</f>
        <v>0</v>
      </c>
      <c r="N19" s="42">
        <f>IF($D19="",0,COUNTIF(BankAccts,$D19))</f>
        <v>0</v>
      </c>
    </row>
    <row r="20" spans="1:14">
      <c r="A20" s="38">
        <f>IF(Txn!$B16="","",Txn!$B16)</f>
        <v>0</v>
      </c>
      <c r="B20" s="38">
        <f>IF(Txn!$B16="","",Txn!$C16)</f>
        <v>0</v>
      </c>
      <c r="C20" s="39">
        <f>IF(Txn!$B16="","","تراکنش بانکی")</f>
        <v>0</v>
      </c>
      <c r="D20" s="38">
        <f>IF(Txn!$B16="","",IF(IF(Txn!$U16="TRF",Txn!$Y16,Txn!$Z16)="","",IF(Txn!$U16="TRF",Txn!$Y16,Txn!$Z16)))</f>
        <v>0</v>
      </c>
      <c r="E20" s="39">
        <f>IF($D20="","",IFERROR(VLOOKUP($D20,AcctTbl,2,0),""))</f>
        <v>0</v>
      </c>
      <c r="F20" s="39">
        <f>IF($D20="","",IFERROR(VLOOKUP($D20,AcctTbl,3,0),""))</f>
        <v>0</v>
      </c>
      <c r="G20" s="39">
        <f>IF(Txn!$B16="","",Txn!$D16)</f>
        <v>0</v>
      </c>
      <c r="H20" s="38">
        <f>IF(Txn!$B16="","",Txn!$E16)</f>
        <v>0</v>
      </c>
      <c r="I20" s="40">
        <f>IF(Txn!$B16="",0,Txn!$Q16)</f>
        <v>0</v>
      </c>
      <c r="J20" s="40">
        <f>IF(Txn!$B16="",0,Txn!$R16)</f>
        <v>0</v>
      </c>
      <c r="K20" s="41">
        <f>IF($A20="","",IFERROR(VALUE(MID($A20,6,2)),""))</f>
        <v>0</v>
      </c>
      <c r="L20" s="39">
        <f>IF(Txn!$K16="","","طرف مقابل — "&amp;Txn!$K16)</f>
        <v>0</v>
      </c>
      <c r="N20" s="42">
        <f>IF($D20="",0,COUNTIF(BankAccts,$D20))</f>
        <v>0</v>
      </c>
    </row>
    <row r="21" spans="1:14">
      <c r="A21" s="38">
        <f>IF(Txn!$B17="","",Txn!$B17)</f>
        <v>0</v>
      </c>
      <c r="B21" s="38">
        <f>IF(Txn!$B17="","",Txn!$C17)</f>
        <v>0</v>
      </c>
      <c r="C21" s="39">
        <f>IF(Txn!$B17="","","تراکنش بانکی")</f>
        <v>0</v>
      </c>
      <c r="D21" s="38">
        <f>IF(Txn!$B17="","",IF(Txn!$X17="","",Txn!$X17))</f>
        <v>0</v>
      </c>
      <c r="E21" s="39">
        <f>IF($D21="","",IFERROR(VLOOKUP($D21,AcctTbl,2,0),""))</f>
        <v>0</v>
      </c>
      <c r="F21" s="39">
        <f>IF($D21="","",IFERROR(VLOOKUP($D21,AcctTbl,3,0),""))</f>
        <v>0</v>
      </c>
      <c r="G21" s="39">
        <f>IF(Txn!$B17="","",Txn!$D17)</f>
        <v>0</v>
      </c>
      <c r="H21" s="38">
        <f>IF(Txn!$B17="","",Txn!$E17)</f>
        <v>0</v>
      </c>
      <c r="I21" s="40">
        <f>IF(Txn!$B17="",0,Txn!$O17)</f>
        <v>0</v>
      </c>
      <c r="J21" s="40">
        <f>IF(Txn!$B17="",0,Txn!$P17)</f>
        <v>0</v>
      </c>
      <c r="K21" s="41">
        <f>IF($A21="","",IFERROR(VALUE(MID($A21,6,2)),""))</f>
        <v>0</v>
      </c>
      <c r="L21" s="39">
        <f>IF(Txn!$K17="","",Txn!$K17)</f>
        <v>0</v>
      </c>
      <c r="N21" s="42">
        <f>IF($D21="",0,COUNTIF(BankAccts,$D21))</f>
        <v>0</v>
      </c>
    </row>
    <row r="22" spans="1:14">
      <c r="A22" s="38">
        <f>IF(Txn!$B17="","",Txn!$B17)</f>
        <v>0</v>
      </c>
      <c r="B22" s="38">
        <f>IF(Txn!$B17="","",Txn!$C17)</f>
        <v>0</v>
      </c>
      <c r="C22" s="39">
        <f>IF(Txn!$B17="","","تراکنش بانکی")</f>
        <v>0</v>
      </c>
      <c r="D22" s="38">
        <f>IF(Txn!$B17="","",IF(IF(Txn!$U17="TRF",Txn!$Y17,Txn!$Z17)="","",IF(Txn!$U17="TRF",Txn!$Y17,Txn!$Z17)))</f>
        <v>0</v>
      </c>
      <c r="E22" s="39">
        <f>IF($D22="","",IFERROR(VLOOKUP($D22,AcctTbl,2,0),""))</f>
        <v>0</v>
      </c>
      <c r="F22" s="39">
        <f>IF($D22="","",IFERROR(VLOOKUP($D22,AcctTbl,3,0),""))</f>
        <v>0</v>
      </c>
      <c r="G22" s="39">
        <f>IF(Txn!$B17="","",Txn!$D17)</f>
        <v>0</v>
      </c>
      <c r="H22" s="38">
        <f>IF(Txn!$B17="","",Txn!$E17)</f>
        <v>0</v>
      </c>
      <c r="I22" s="40">
        <f>IF(Txn!$B17="",0,Txn!$Q17)</f>
        <v>0</v>
      </c>
      <c r="J22" s="40">
        <f>IF(Txn!$B17="",0,Txn!$R17)</f>
        <v>0</v>
      </c>
      <c r="K22" s="41">
        <f>IF($A22="","",IFERROR(VALUE(MID($A22,6,2)),""))</f>
        <v>0</v>
      </c>
      <c r="L22" s="39">
        <f>IF(Txn!$K17="","","طرف مقابل — "&amp;Txn!$K17)</f>
        <v>0</v>
      </c>
      <c r="N22" s="42">
        <f>IF($D22="",0,COUNTIF(BankAccts,$D22))</f>
        <v>0</v>
      </c>
    </row>
    <row r="23" spans="1:14">
      <c r="A23" s="38">
        <f>IF(Txn!$B18="","",Txn!$B18)</f>
        <v>0</v>
      </c>
      <c r="B23" s="38">
        <f>IF(Txn!$B18="","",Txn!$C18)</f>
        <v>0</v>
      </c>
      <c r="C23" s="39">
        <f>IF(Txn!$B18="","","تراکنش بانکی")</f>
        <v>0</v>
      </c>
      <c r="D23" s="38">
        <f>IF(Txn!$B18="","",IF(Txn!$X18="","",Txn!$X18))</f>
        <v>0</v>
      </c>
      <c r="E23" s="39">
        <f>IF($D23="","",IFERROR(VLOOKUP($D23,AcctTbl,2,0),""))</f>
        <v>0</v>
      </c>
      <c r="F23" s="39">
        <f>IF($D23="","",IFERROR(VLOOKUP($D23,AcctTbl,3,0),""))</f>
        <v>0</v>
      </c>
      <c r="G23" s="39">
        <f>IF(Txn!$B18="","",Txn!$D18)</f>
        <v>0</v>
      </c>
      <c r="H23" s="38">
        <f>IF(Txn!$B18="","",Txn!$E18)</f>
        <v>0</v>
      </c>
      <c r="I23" s="40">
        <f>IF(Txn!$B18="",0,Txn!$O18)</f>
        <v>0</v>
      </c>
      <c r="J23" s="40">
        <f>IF(Txn!$B18="",0,Txn!$P18)</f>
        <v>0</v>
      </c>
      <c r="K23" s="41">
        <f>IF($A23="","",IFERROR(VALUE(MID($A23,6,2)),""))</f>
        <v>0</v>
      </c>
      <c r="L23" s="39">
        <f>IF(Txn!$K18="","",Txn!$K18)</f>
        <v>0</v>
      </c>
      <c r="N23" s="42">
        <f>IF($D23="",0,COUNTIF(BankAccts,$D23))</f>
        <v>0</v>
      </c>
    </row>
    <row r="24" spans="1:14">
      <c r="A24" s="38">
        <f>IF(Txn!$B18="","",Txn!$B18)</f>
        <v>0</v>
      </c>
      <c r="B24" s="38">
        <f>IF(Txn!$B18="","",Txn!$C18)</f>
        <v>0</v>
      </c>
      <c r="C24" s="39">
        <f>IF(Txn!$B18="","","تراکنش بانکی")</f>
        <v>0</v>
      </c>
      <c r="D24" s="38">
        <f>IF(Txn!$B18="","",IF(IF(Txn!$U18="TRF",Txn!$Y18,Txn!$Z18)="","",IF(Txn!$U18="TRF",Txn!$Y18,Txn!$Z18)))</f>
        <v>0</v>
      </c>
      <c r="E24" s="39">
        <f>IF($D24="","",IFERROR(VLOOKUP($D24,AcctTbl,2,0),""))</f>
        <v>0</v>
      </c>
      <c r="F24" s="39">
        <f>IF($D24="","",IFERROR(VLOOKUP($D24,AcctTbl,3,0),""))</f>
        <v>0</v>
      </c>
      <c r="G24" s="39">
        <f>IF(Txn!$B18="","",Txn!$D18)</f>
        <v>0</v>
      </c>
      <c r="H24" s="38">
        <f>IF(Txn!$B18="","",Txn!$E18)</f>
        <v>0</v>
      </c>
      <c r="I24" s="40">
        <f>IF(Txn!$B18="",0,Txn!$Q18)</f>
        <v>0</v>
      </c>
      <c r="J24" s="40">
        <f>IF(Txn!$B18="",0,Txn!$R18)</f>
        <v>0</v>
      </c>
      <c r="K24" s="41">
        <f>IF($A24="","",IFERROR(VALUE(MID($A24,6,2)),""))</f>
        <v>0</v>
      </c>
      <c r="L24" s="39">
        <f>IF(Txn!$K18="","","طرف مقابل — "&amp;Txn!$K18)</f>
        <v>0</v>
      </c>
      <c r="N24" s="42">
        <f>IF($D24="",0,COUNTIF(BankAccts,$D24))</f>
        <v>0</v>
      </c>
    </row>
    <row r="25" spans="1:14">
      <c r="A25" s="38">
        <f>IF(Txn!$B19="","",Txn!$B19)</f>
        <v>0</v>
      </c>
      <c r="B25" s="38">
        <f>IF(Txn!$B19="","",Txn!$C19)</f>
        <v>0</v>
      </c>
      <c r="C25" s="39">
        <f>IF(Txn!$B19="","","تراکنش بانکی")</f>
        <v>0</v>
      </c>
      <c r="D25" s="38">
        <f>IF(Txn!$B19="","",IF(Txn!$X19="","",Txn!$X19))</f>
        <v>0</v>
      </c>
      <c r="E25" s="39">
        <f>IF($D25="","",IFERROR(VLOOKUP($D25,AcctTbl,2,0),""))</f>
        <v>0</v>
      </c>
      <c r="F25" s="39">
        <f>IF($D25="","",IFERROR(VLOOKUP($D25,AcctTbl,3,0),""))</f>
        <v>0</v>
      </c>
      <c r="G25" s="39">
        <f>IF(Txn!$B19="","",Txn!$D19)</f>
        <v>0</v>
      </c>
      <c r="H25" s="38">
        <f>IF(Txn!$B19="","",Txn!$E19)</f>
        <v>0</v>
      </c>
      <c r="I25" s="40">
        <f>IF(Txn!$B19="",0,Txn!$O19)</f>
        <v>0</v>
      </c>
      <c r="J25" s="40">
        <f>IF(Txn!$B19="",0,Txn!$P19)</f>
        <v>0</v>
      </c>
      <c r="K25" s="41">
        <f>IF($A25="","",IFERROR(VALUE(MID($A25,6,2)),""))</f>
        <v>0</v>
      </c>
      <c r="L25" s="39">
        <f>IF(Txn!$K19="","",Txn!$K19)</f>
        <v>0</v>
      </c>
      <c r="N25" s="42">
        <f>IF($D25="",0,COUNTIF(BankAccts,$D25))</f>
        <v>0</v>
      </c>
    </row>
    <row r="26" spans="1:14">
      <c r="A26" s="38">
        <f>IF(Txn!$B19="","",Txn!$B19)</f>
        <v>0</v>
      </c>
      <c r="B26" s="38">
        <f>IF(Txn!$B19="","",Txn!$C19)</f>
        <v>0</v>
      </c>
      <c r="C26" s="39">
        <f>IF(Txn!$B19="","","تراکنش بانکی")</f>
        <v>0</v>
      </c>
      <c r="D26" s="38">
        <f>IF(Txn!$B19="","",IF(IF(Txn!$U19="TRF",Txn!$Y19,Txn!$Z19)="","",IF(Txn!$U19="TRF",Txn!$Y19,Txn!$Z19)))</f>
        <v>0</v>
      </c>
      <c r="E26" s="39">
        <f>IF($D26="","",IFERROR(VLOOKUP($D26,AcctTbl,2,0),""))</f>
        <v>0</v>
      </c>
      <c r="F26" s="39">
        <f>IF($D26="","",IFERROR(VLOOKUP($D26,AcctTbl,3,0),""))</f>
        <v>0</v>
      </c>
      <c r="G26" s="39">
        <f>IF(Txn!$B19="","",Txn!$D19)</f>
        <v>0</v>
      </c>
      <c r="H26" s="38">
        <f>IF(Txn!$B19="","",Txn!$E19)</f>
        <v>0</v>
      </c>
      <c r="I26" s="40">
        <f>IF(Txn!$B19="",0,Txn!$Q19)</f>
        <v>0</v>
      </c>
      <c r="J26" s="40">
        <f>IF(Txn!$B19="",0,Txn!$R19)</f>
        <v>0</v>
      </c>
      <c r="K26" s="41">
        <f>IF($A26="","",IFERROR(VALUE(MID($A26,6,2)),""))</f>
        <v>0</v>
      </c>
      <c r="L26" s="39">
        <f>IF(Txn!$K19="","","طرف مقابل — "&amp;Txn!$K19)</f>
        <v>0</v>
      </c>
      <c r="N26" s="42">
        <f>IF($D26="",0,COUNTIF(BankAccts,$D26))</f>
        <v>0</v>
      </c>
    </row>
    <row r="27" spans="1:14">
      <c r="A27" s="38">
        <f>IF(Txn!$B20="","",Txn!$B20)</f>
        <v>0</v>
      </c>
      <c r="B27" s="38">
        <f>IF(Txn!$B20="","",Txn!$C20)</f>
        <v>0</v>
      </c>
      <c r="C27" s="39">
        <f>IF(Txn!$B20="","","تراکنش بانکی")</f>
        <v>0</v>
      </c>
      <c r="D27" s="38">
        <f>IF(Txn!$B20="","",IF(Txn!$X20="","",Txn!$X20))</f>
        <v>0</v>
      </c>
      <c r="E27" s="39">
        <f>IF($D27="","",IFERROR(VLOOKUP($D27,AcctTbl,2,0),""))</f>
        <v>0</v>
      </c>
      <c r="F27" s="39">
        <f>IF($D27="","",IFERROR(VLOOKUP($D27,AcctTbl,3,0),""))</f>
        <v>0</v>
      </c>
      <c r="G27" s="39">
        <f>IF(Txn!$B20="","",Txn!$D20)</f>
        <v>0</v>
      </c>
      <c r="H27" s="38">
        <f>IF(Txn!$B20="","",Txn!$E20)</f>
        <v>0</v>
      </c>
      <c r="I27" s="40">
        <f>IF(Txn!$B20="",0,Txn!$O20)</f>
        <v>0</v>
      </c>
      <c r="J27" s="40">
        <f>IF(Txn!$B20="",0,Txn!$P20)</f>
        <v>0</v>
      </c>
      <c r="K27" s="41">
        <f>IF($A27="","",IFERROR(VALUE(MID($A27,6,2)),""))</f>
        <v>0</v>
      </c>
      <c r="L27" s="39">
        <f>IF(Txn!$K20="","",Txn!$K20)</f>
        <v>0</v>
      </c>
      <c r="N27" s="42">
        <f>IF($D27="",0,COUNTIF(BankAccts,$D27))</f>
        <v>0</v>
      </c>
    </row>
    <row r="28" spans="1:14">
      <c r="A28" s="38">
        <f>IF(Txn!$B20="","",Txn!$B20)</f>
        <v>0</v>
      </c>
      <c r="B28" s="38">
        <f>IF(Txn!$B20="","",Txn!$C20)</f>
        <v>0</v>
      </c>
      <c r="C28" s="39">
        <f>IF(Txn!$B20="","","تراکنش بانکی")</f>
        <v>0</v>
      </c>
      <c r="D28" s="38">
        <f>IF(Txn!$B20="","",IF(IF(Txn!$U20="TRF",Txn!$Y20,Txn!$Z20)="","",IF(Txn!$U20="TRF",Txn!$Y20,Txn!$Z20)))</f>
        <v>0</v>
      </c>
      <c r="E28" s="39">
        <f>IF($D28="","",IFERROR(VLOOKUP($D28,AcctTbl,2,0),""))</f>
        <v>0</v>
      </c>
      <c r="F28" s="39">
        <f>IF($D28="","",IFERROR(VLOOKUP($D28,AcctTbl,3,0),""))</f>
        <v>0</v>
      </c>
      <c r="G28" s="39">
        <f>IF(Txn!$B20="","",Txn!$D20)</f>
        <v>0</v>
      </c>
      <c r="H28" s="38">
        <f>IF(Txn!$B20="","",Txn!$E20)</f>
        <v>0</v>
      </c>
      <c r="I28" s="40">
        <f>IF(Txn!$B20="",0,Txn!$Q20)</f>
        <v>0</v>
      </c>
      <c r="J28" s="40">
        <f>IF(Txn!$B20="",0,Txn!$R20)</f>
        <v>0</v>
      </c>
      <c r="K28" s="41">
        <f>IF($A28="","",IFERROR(VALUE(MID($A28,6,2)),""))</f>
        <v>0</v>
      </c>
      <c r="L28" s="39">
        <f>IF(Txn!$K20="","","طرف مقابل — "&amp;Txn!$K20)</f>
        <v>0</v>
      </c>
      <c r="N28" s="42">
        <f>IF($D28="",0,COUNTIF(BankAccts,$D28))</f>
        <v>0</v>
      </c>
    </row>
    <row r="29" spans="1:14">
      <c r="A29" s="38">
        <f>IF(Txn!$B21="","",Txn!$B21)</f>
        <v>0</v>
      </c>
      <c r="B29" s="38">
        <f>IF(Txn!$B21="","",Txn!$C21)</f>
        <v>0</v>
      </c>
      <c r="C29" s="39">
        <f>IF(Txn!$B21="","","تراکنش بانکی")</f>
        <v>0</v>
      </c>
      <c r="D29" s="38">
        <f>IF(Txn!$B21="","",IF(Txn!$X21="","",Txn!$X21))</f>
        <v>0</v>
      </c>
      <c r="E29" s="39">
        <f>IF($D29="","",IFERROR(VLOOKUP($D29,AcctTbl,2,0),""))</f>
        <v>0</v>
      </c>
      <c r="F29" s="39">
        <f>IF($D29="","",IFERROR(VLOOKUP($D29,AcctTbl,3,0),""))</f>
        <v>0</v>
      </c>
      <c r="G29" s="39">
        <f>IF(Txn!$B21="","",Txn!$D21)</f>
        <v>0</v>
      </c>
      <c r="H29" s="38">
        <f>IF(Txn!$B21="","",Txn!$E21)</f>
        <v>0</v>
      </c>
      <c r="I29" s="40">
        <f>IF(Txn!$B21="",0,Txn!$O21)</f>
        <v>0</v>
      </c>
      <c r="J29" s="40">
        <f>IF(Txn!$B21="",0,Txn!$P21)</f>
        <v>0</v>
      </c>
      <c r="K29" s="41">
        <f>IF($A29="","",IFERROR(VALUE(MID($A29,6,2)),""))</f>
        <v>0</v>
      </c>
      <c r="L29" s="39">
        <f>IF(Txn!$K21="","",Txn!$K21)</f>
        <v>0</v>
      </c>
      <c r="N29" s="42">
        <f>IF($D29="",0,COUNTIF(BankAccts,$D29))</f>
        <v>0</v>
      </c>
    </row>
    <row r="30" spans="1:14">
      <c r="A30" s="38">
        <f>IF(Txn!$B21="","",Txn!$B21)</f>
        <v>0</v>
      </c>
      <c r="B30" s="38">
        <f>IF(Txn!$B21="","",Txn!$C21)</f>
        <v>0</v>
      </c>
      <c r="C30" s="39">
        <f>IF(Txn!$B21="","","تراکنش بانکی")</f>
        <v>0</v>
      </c>
      <c r="D30" s="38">
        <f>IF(Txn!$B21="","",IF(IF(Txn!$U21="TRF",Txn!$Y21,Txn!$Z21)="","",IF(Txn!$U21="TRF",Txn!$Y21,Txn!$Z21)))</f>
        <v>0</v>
      </c>
      <c r="E30" s="39">
        <f>IF($D30="","",IFERROR(VLOOKUP($D30,AcctTbl,2,0),""))</f>
        <v>0</v>
      </c>
      <c r="F30" s="39">
        <f>IF($D30="","",IFERROR(VLOOKUP($D30,AcctTbl,3,0),""))</f>
        <v>0</v>
      </c>
      <c r="G30" s="39">
        <f>IF(Txn!$B21="","",Txn!$D21)</f>
        <v>0</v>
      </c>
      <c r="H30" s="38">
        <f>IF(Txn!$B21="","",Txn!$E21)</f>
        <v>0</v>
      </c>
      <c r="I30" s="40">
        <f>IF(Txn!$B21="",0,Txn!$Q21)</f>
        <v>0</v>
      </c>
      <c r="J30" s="40">
        <f>IF(Txn!$B21="",0,Txn!$R21)</f>
        <v>0</v>
      </c>
      <c r="K30" s="41">
        <f>IF($A30="","",IFERROR(VALUE(MID($A30,6,2)),""))</f>
        <v>0</v>
      </c>
      <c r="L30" s="39">
        <f>IF(Txn!$K21="","","طرف مقابل — "&amp;Txn!$K21)</f>
        <v>0</v>
      </c>
      <c r="N30" s="42">
        <f>IF($D30="",0,COUNTIF(BankAccts,$D30))</f>
        <v>0</v>
      </c>
    </row>
    <row r="31" spans="1:14">
      <c r="A31" s="38">
        <f>IF(Txn!$B22="","",Txn!$B22)</f>
        <v>0</v>
      </c>
      <c r="B31" s="38">
        <f>IF(Txn!$B22="","",Txn!$C22)</f>
        <v>0</v>
      </c>
      <c r="C31" s="39">
        <f>IF(Txn!$B22="","","تراکنش بانکی")</f>
        <v>0</v>
      </c>
      <c r="D31" s="38">
        <f>IF(Txn!$B22="","",IF(Txn!$X22="","",Txn!$X22))</f>
        <v>0</v>
      </c>
      <c r="E31" s="39">
        <f>IF($D31="","",IFERROR(VLOOKUP($D31,AcctTbl,2,0),""))</f>
        <v>0</v>
      </c>
      <c r="F31" s="39">
        <f>IF($D31="","",IFERROR(VLOOKUP($D31,AcctTbl,3,0),""))</f>
        <v>0</v>
      </c>
      <c r="G31" s="39">
        <f>IF(Txn!$B22="","",Txn!$D22)</f>
        <v>0</v>
      </c>
      <c r="H31" s="38">
        <f>IF(Txn!$B22="","",Txn!$E22)</f>
        <v>0</v>
      </c>
      <c r="I31" s="40">
        <f>IF(Txn!$B22="",0,Txn!$O22)</f>
        <v>0</v>
      </c>
      <c r="J31" s="40">
        <f>IF(Txn!$B22="",0,Txn!$P22)</f>
        <v>0</v>
      </c>
      <c r="K31" s="41">
        <f>IF($A31="","",IFERROR(VALUE(MID($A31,6,2)),""))</f>
        <v>0</v>
      </c>
      <c r="L31" s="39">
        <f>IF(Txn!$K22="","",Txn!$K22)</f>
        <v>0</v>
      </c>
      <c r="N31" s="42">
        <f>IF($D31="",0,COUNTIF(BankAccts,$D31))</f>
        <v>0</v>
      </c>
    </row>
    <row r="32" spans="1:14">
      <c r="A32" s="38">
        <f>IF(Txn!$B22="","",Txn!$B22)</f>
        <v>0</v>
      </c>
      <c r="B32" s="38">
        <f>IF(Txn!$B22="","",Txn!$C22)</f>
        <v>0</v>
      </c>
      <c r="C32" s="39">
        <f>IF(Txn!$B22="","","تراکنش بانکی")</f>
        <v>0</v>
      </c>
      <c r="D32" s="38">
        <f>IF(Txn!$B22="","",IF(IF(Txn!$U22="TRF",Txn!$Y22,Txn!$Z22)="","",IF(Txn!$U22="TRF",Txn!$Y22,Txn!$Z22)))</f>
        <v>0</v>
      </c>
      <c r="E32" s="39">
        <f>IF($D32="","",IFERROR(VLOOKUP($D32,AcctTbl,2,0),""))</f>
        <v>0</v>
      </c>
      <c r="F32" s="39">
        <f>IF($D32="","",IFERROR(VLOOKUP($D32,AcctTbl,3,0),""))</f>
        <v>0</v>
      </c>
      <c r="G32" s="39">
        <f>IF(Txn!$B22="","",Txn!$D22)</f>
        <v>0</v>
      </c>
      <c r="H32" s="38">
        <f>IF(Txn!$B22="","",Txn!$E22)</f>
        <v>0</v>
      </c>
      <c r="I32" s="40">
        <f>IF(Txn!$B22="",0,Txn!$Q22)</f>
        <v>0</v>
      </c>
      <c r="J32" s="40">
        <f>IF(Txn!$B22="",0,Txn!$R22)</f>
        <v>0</v>
      </c>
      <c r="K32" s="41">
        <f>IF($A32="","",IFERROR(VALUE(MID($A32,6,2)),""))</f>
        <v>0</v>
      </c>
      <c r="L32" s="39">
        <f>IF(Txn!$K22="","","طرف مقابل — "&amp;Txn!$K22)</f>
        <v>0</v>
      </c>
      <c r="N32" s="42">
        <f>IF($D32="",0,COUNTIF(BankAccts,$D32))</f>
        <v>0</v>
      </c>
    </row>
    <row r="33" spans="1:14">
      <c r="A33" s="38">
        <f>IF(Txn!$B23="","",Txn!$B23)</f>
        <v>0</v>
      </c>
      <c r="B33" s="38">
        <f>IF(Txn!$B23="","",Txn!$C23)</f>
        <v>0</v>
      </c>
      <c r="C33" s="39">
        <f>IF(Txn!$B23="","","تراکنش بانکی")</f>
        <v>0</v>
      </c>
      <c r="D33" s="38">
        <f>IF(Txn!$B23="","",IF(Txn!$X23="","",Txn!$X23))</f>
        <v>0</v>
      </c>
      <c r="E33" s="39">
        <f>IF($D33="","",IFERROR(VLOOKUP($D33,AcctTbl,2,0),""))</f>
        <v>0</v>
      </c>
      <c r="F33" s="39">
        <f>IF($D33="","",IFERROR(VLOOKUP($D33,AcctTbl,3,0),""))</f>
        <v>0</v>
      </c>
      <c r="G33" s="39">
        <f>IF(Txn!$B23="","",Txn!$D23)</f>
        <v>0</v>
      </c>
      <c r="H33" s="38">
        <f>IF(Txn!$B23="","",Txn!$E23)</f>
        <v>0</v>
      </c>
      <c r="I33" s="40">
        <f>IF(Txn!$B23="",0,Txn!$O23)</f>
        <v>0</v>
      </c>
      <c r="J33" s="40">
        <f>IF(Txn!$B23="",0,Txn!$P23)</f>
        <v>0</v>
      </c>
      <c r="K33" s="41">
        <f>IF($A33="","",IFERROR(VALUE(MID($A33,6,2)),""))</f>
        <v>0</v>
      </c>
      <c r="L33" s="39">
        <f>IF(Txn!$K23="","",Txn!$K23)</f>
        <v>0</v>
      </c>
      <c r="N33" s="42">
        <f>IF($D33="",0,COUNTIF(BankAccts,$D33))</f>
        <v>0</v>
      </c>
    </row>
    <row r="34" spans="1:14">
      <c r="A34" s="38">
        <f>IF(Txn!$B23="","",Txn!$B23)</f>
        <v>0</v>
      </c>
      <c r="B34" s="38">
        <f>IF(Txn!$B23="","",Txn!$C23)</f>
        <v>0</v>
      </c>
      <c r="C34" s="39">
        <f>IF(Txn!$B23="","","تراکنش بانکی")</f>
        <v>0</v>
      </c>
      <c r="D34" s="38">
        <f>IF(Txn!$B23="","",IF(IF(Txn!$U23="TRF",Txn!$Y23,Txn!$Z23)="","",IF(Txn!$U23="TRF",Txn!$Y23,Txn!$Z23)))</f>
        <v>0</v>
      </c>
      <c r="E34" s="39">
        <f>IF($D34="","",IFERROR(VLOOKUP($D34,AcctTbl,2,0),""))</f>
        <v>0</v>
      </c>
      <c r="F34" s="39">
        <f>IF($D34="","",IFERROR(VLOOKUP($D34,AcctTbl,3,0),""))</f>
        <v>0</v>
      </c>
      <c r="G34" s="39">
        <f>IF(Txn!$B23="","",Txn!$D23)</f>
        <v>0</v>
      </c>
      <c r="H34" s="38">
        <f>IF(Txn!$B23="","",Txn!$E23)</f>
        <v>0</v>
      </c>
      <c r="I34" s="40">
        <f>IF(Txn!$B23="",0,Txn!$Q23)</f>
        <v>0</v>
      </c>
      <c r="J34" s="40">
        <f>IF(Txn!$B23="",0,Txn!$R23)</f>
        <v>0</v>
      </c>
      <c r="K34" s="41">
        <f>IF($A34="","",IFERROR(VALUE(MID($A34,6,2)),""))</f>
        <v>0</v>
      </c>
      <c r="L34" s="39">
        <f>IF(Txn!$K23="","","طرف مقابل — "&amp;Txn!$K23)</f>
        <v>0</v>
      </c>
      <c r="N34" s="42">
        <f>IF($D34="",0,COUNTIF(BankAccts,$D34))</f>
        <v>0</v>
      </c>
    </row>
    <row r="35" spans="1:14">
      <c r="A35" s="38">
        <f>IF(Txn!$B24="","",Txn!$B24)</f>
        <v>0</v>
      </c>
      <c r="B35" s="38">
        <f>IF(Txn!$B24="","",Txn!$C24)</f>
        <v>0</v>
      </c>
      <c r="C35" s="39">
        <f>IF(Txn!$B24="","","تراکنش بانکی")</f>
        <v>0</v>
      </c>
      <c r="D35" s="38">
        <f>IF(Txn!$B24="","",IF(Txn!$X24="","",Txn!$X24))</f>
        <v>0</v>
      </c>
      <c r="E35" s="39">
        <f>IF($D35="","",IFERROR(VLOOKUP($D35,AcctTbl,2,0),""))</f>
        <v>0</v>
      </c>
      <c r="F35" s="39">
        <f>IF($D35="","",IFERROR(VLOOKUP($D35,AcctTbl,3,0),""))</f>
        <v>0</v>
      </c>
      <c r="G35" s="39">
        <f>IF(Txn!$B24="","",Txn!$D24)</f>
        <v>0</v>
      </c>
      <c r="H35" s="38">
        <f>IF(Txn!$B24="","",Txn!$E24)</f>
        <v>0</v>
      </c>
      <c r="I35" s="40">
        <f>IF(Txn!$B24="",0,Txn!$O24)</f>
        <v>0</v>
      </c>
      <c r="J35" s="40">
        <f>IF(Txn!$B24="",0,Txn!$P24)</f>
        <v>0</v>
      </c>
      <c r="K35" s="41">
        <f>IF($A35="","",IFERROR(VALUE(MID($A35,6,2)),""))</f>
        <v>0</v>
      </c>
      <c r="L35" s="39">
        <f>IF(Txn!$K24="","",Txn!$K24)</f>
        <v>0</v>
      </c>
      <c r="N35" s="42">
        <f>IF($D35="",0,COUNTIF(BankAccts,$D35))</f>
        <v>0</v>
      </c>
    </row>
    <row r="36" spans="1:14">
      <c r="A36" s="38">
        <f>IF(Txn!$B24="","",Txn!$B24)</f>
        <v>0</v>
      </c>
      <c r="B36" s="38">
        <f>IF(Txn!$B24="","",Txn!$C24)</f>
        <v>0</v>
      </c>
      <c r="C36" s="39">
        <f>IF(Txn!$B24="","","تراکنش بانکی")</f>
        <v>0</v>
      </c>
      <c r="D36" s="38">
        <f>IF(Txn!$B24="","",IF(IF(Txn!$U24="TRF",Txn!$Y24,Txn!$Z24)="","",IF(Txn!$U24="TRF",Txn!$Y24,Txn!$Z24)))</f>
        <v>0</v>
      </c>
      <c r="E36" s="39">
        <f>IF($D36="","",IFERROR(VLOOKUP($D36,AcctTbl,2,0),""))</f>
        <v>0</v>
      </c>
      <c r="F36" s="39">
        <f>IF($D36="","",IFERROR(VLOOKUP($D36,AcctTbl,3,0),""))</f>
        <v>0</v>
      </c>
      <c r="G36" s="39">
        <f>IF(Txn!$B24="","",Txn!$D24)</f>
        <v>0</v>
      </c>
      <c r="H36" s="38">
        <f>IF(Txn!$B24="","",Txn!$E24)</f>
        <v>0</v>
      </c>
      <c r="I36" s="40">
        <f>IF(Txn!$B24="",0,Txn!$Q24)</f>
        <v>0</v>
      </c>
      <c r="J36" s="40">
        <f>IF(Txn!$B24="",0,Txn!$R24)</f>
        <v>0</v>
      </c>
      <c r="K36" s="41">
        <f>IF($A36="","",IFERROR(VALUE(MID($A36,6,2)),""))</f>
        <v>0</v>
      </c>
      <c r="L36" s="39">
        <f>IF(Txn!$K24="","","طرف مقابل — "&amp;Txn!$K24)</f>
        <v>0</v>
      </c>
      <c r="N36" s="42">
        <f>IF($D36="",0,COUNTIF(BankAccts,$D36))</f>
        <v>0</v>
      </c>
    </row>
    <row r="37" spans="1:14">
      <c r="A37" s="38">
        <f>IF(Txn!$B25="","",Txn!$B25)</f>
        <v>0</v>
      </c>
      <c r="B37" s="38">
        <f>IF(Txn!$B25="","",Txn!$C25)</f>
        <v>0</v>
      </c>
      <c r="C37" s="39">
        <f>IF(Txn!$B25="","","تراکنش بانکی")</f>
        <v>0</v>
      </c>
      <c r="D37" s="38">
        <f>IF(Txn!$B25="","",IF(Txn!$X25="","",Txn!$X25))</f>
        <v>0</v>
      </c>
      <c r="E37" s="39">
        <f>IF($D37="","",IFERROR(VLOOKUP($D37,AcctTbl,2,0),""))</f>
        <v>0</v>
      </c>
      <c r="F37" s="39">
        <f>IF($D37="","",IFERROR(VLOOKUP($D37,AcctTbl,3,0),""))</f>
        <v>0</v>
      </c>
      <c r="G37" s="39">
        <f>IF(Txn!$B25="","",Txn!$D25)</f>
        <v>0</v>
      </c>
      <c r="H37" s="38">
        <f>IF(Txn!$B25="","",Txn!$E25)</f>
        <v>0</v>
      </c>
      <c r="I37" s="40">
        <f>IF(Txn!$B25="",0,Txn!$O25)</f>
        <v>0</v>
      </c>
      <c r="J37" s="40">
        <f>IF(Txn!$B25="",0,Txn!$P25)</f>
        <v>0</v>
      </c>
      <c r="K37" s="41">
        <f>IF($A37="","",IFERROR(VALUE(MID($A37,6,2)),""))</f>
        <v>0</v>
      </c>
      <c r="L37" s="39">
        <f>IF(Txn!$K25="","",Txn!$K25)</f>
        <v>0</v>
      </c>
      <c r="N37" s="42">
        <f>IF($D37="",0,COUNTIF(BankAccts,$D37))</f>
        <v>0</v>
      </c>
    </row>
    <row r="38" spans="1:14">
      <c r="A38" s="38">
        <f>IF(Txn!$B25="","",Txn!$B25)</f>
        <v>0</v>
      </c>
      <c r="B38" s="38">
        <f>IF(Txn!$B25="","",Txn!$C25)</f>
        <v>0</v>
      </c>
      <c r="C38" s="39">
        <f>IF(Txn!$B25="","","تراکنش بانکی")</f>
        <v>0</v>
      </c>
      <c r="D38" s="38">
        <f>IF(Txn!$B25="","",IF(IF(Txn!$U25="TRF",Txn!$Y25,Txn!$Z25)="","",IF(Txn!$U25="TRF",Txn!$Y25,Txn!$Z25)))</f>
        <v>0</v>
      </c>
      <c r="E38" s="39">
        <f>IF($D38="","",IFERROR(VLOOKUP($D38,AcctTbl,2,0),""))</f>
        <v>0</v>
      </c>
      <c r="F38" s="39">
        <f>IF($D38="","",IFERROR(VLOOKUP($D38,AcctTbl,3,0),""))</f>
        <v>0</v>
      </c>
      <c r="G38" s="39">
        <f>IF(Txn!$B25="","",Txn!$D25)</f>
        <v>0</v>
      </c>
      <c r="H38" s="38">
        <f>IF(Txn!$B25="","",Txn!$E25)</f>
        <v>0</v>
      </c>
      <c r="I38" s="40">
        <f>IF(Txn!$B25="",0,Txn!$Q25)</f>
        <v>0</v>
      </c>
      <c r="J38" s="40">
        <f>IF(Txn!$B25="",0,Txn!$R25)</f>
        <v>0</v>
      </c>
      <c r="K38" s="41">
        <f>IF($A38="","",IFERROR(VALUE(MID($A38,6,2)),""))</f>
        <v>0</v>
      </c>
      <c r="L38" s="39">
        <f>IF(Txn!$K25="","","طرف مقابل — "&amp;Txn!$K25)</f>
        <v>0</v>
      </c>
      <c r="N38" s="42">
        <f>IF($D38="",0,COUNTIF(BankAccts,$D38))</f>
        <v>0</v>
      </c>
    </row>
    <row r="39" spans="1:14">
      <c r="A39" s="38">
        <f>IF(Txn!$B26="","",Txn!$B26)</f>
        <v>0</v>
      </c>
      <c r="B39" s="38">
        <f>IF(Txn!$B26="","",Txn!$C26)</f>
        <v>0</v>
      </c>
      <c r="C39" s="39">
        <f>IF(Txn!$B26="","","تراکنش بانکی")</f>
        <v>0</v>
      </c>
      <c r="D39" s="38">
        <f>IF(Txn!$B26="","",IF(Txn!$X26="","",Txn!$X26))</f>
        <v>0</v>
      </c>
      <c r="E39" s="39">
        <f>IF($D39="","",IFERROR(VLOOKUP($D39,AcctTbl,2,0),""))</f>
        <v>0</v>
      </c>
      <c r="F39" s="39">
        <f>IF($D39="","",IFERROR(VLOOKUP($D39,AcctTbl,3,0),""))</f>
        <v>0</v>
      </c>
      <c r="G39" s="39">
        <f>IF(Txn!$B26="","",Txn!$D26)</f>
        <v>0</v>
      </c>
      <c r="H39" s="38">
        <f>IF(Txn!$B26="","",Txn!$E26)</f>
        <v>0</v>
      </c>
      <c r="I39" s="40">
        <f>IF(Txn!$B26="",0,Txn!$O26)</f>
        <v>0</v>
      </c>
      <c r="J39" s="40">
        <f>IF(Txn!$B26="",0,Txn!$P26)</f>
        <v>0</v>
      </c>
      <c r="K39" s="41">
        <f>IF($A39="","",IFERROR(VALUE(MID($A39,6,2)),""))</f>
        <v>0</v>
      </c>
      <c r="L39" s="39">
        <f>IF(Txn!$K26="","",Txn!$K26)</f>
        <v>0</v>
      </c>
      <c r="N39" s="42">
        <f>IF($D39="",0,COUNTIF(BankAccts,$D39))</f>
        <v>0</v>
      </c>
    </row>
    <row r="40" spans="1:14">
      <c r="A40" s="38">
        <f>IF(Txn!$B26="","",Txn!$B26)</f>
        <v>0</v>
      </c>
      <c r="B40" s="38">
        <f>IF(Txn!$B26="","",Txn!$C26)</f>
        <v>0</v>
      </c>
      <c r="C40" s="39">
        <f>IF(Txn!$B26="","","تراکنش بانکی")</f>
        <v>0</v>
      </c>
      <c r="D40" s="38">
        <f>IF(Txn!$B26="","",IF(IF(Txn!$U26="TRF",Txn!$Y26,Txn!$Z26)="","",IF(Txn!$U26="TRF",Txn!$Y26,Txn!$Z26)))</f>
        <v>0</v>
      </c>
      <c r="E40" s="39">
        <f>IF($D40="","",IFERROR(VLOOKUP($D40,AcctTbl,2,0),""))</f>
        <v>0</v>
      </c>
      <c r="F40" s="39">
        <f>IF($D40="","",IFERROR(VLOOKUP($D40,AcctTbl,3,0),""))</f>
        <v>0</v>
      </c>
      <c r="G40" s="39">
        <f>IF(Txn!$B26="","",Txn!$D26)</f>
        <v>0</v>
      </c>
      <c r="H40" s="38">
        <f>IF(Txn!$B26="","",Txn!$E26)</f>
        <v>0</v>
      </c>
      <c r="I40" s="40">
        <f>IF(Txn!$B26="",0,Txn!$Q26)</f>
        <v>0</v>
      </c>
      <c r="J40" s="40">
        <f>IF(Txn!$B26="",0,Txn!$R26)</f>
        <v>0</v>
      </c>
      <c r="K40" s="41">
        <f>IF($A40="","",IFERROR(VALUE(MID($A40,6,2)),""))</f>
        <v>0</v>
      </c>
      <c r="L40" s="39">
        <f>IF(Txn!$K26="","","طرف مقابل — "&amp;Txn!$K26)</f>
        <v>0</v>
      </c>
      <c r="N40" s="42">
        <f>IF($D40="",0,COUNTIF(BankAccts,$D40))</f>
        <v>0</v>
      </c>
    </row>
    <row r="41" spans="1:14">
      <c r="A41" s="38">
        <f>IF(Txn!$B27="","",Txn!$B27)</f>
        <v>0</v>
      </c>
      <c r="B41" s="38">
        <f>IF(Txn!$B27="","",Txn!$C27)</f>
        <v>0</v>
      </c>
      <c r="C41" s="39">
        <f>IF(Txn!$B27="","","تراکنش بانکی")</f>
        <v>0</v>
      </c>
      <c r="D41" s="38">
        <f>IF(Txn!$B27="","",IF(Txn!$X27="","",Txn!$X27))</f>
        <v>0</v>
      </c>
      <c r="E41" s="39">
        <f>IF($D41="","",IFERROR(VLOOKUP($D41,AcctTbl,2,0),""))</f>
        <v>0</v>
      </c>
      <c r="F41" s="39">
        <f>IF($D41="","",IFERROR(VLOOKUP($D41,AcctTbl,3,0),""))</f>
        <v>0</v>
      </c>
      <c r="G41" s="39">
        <f>IF(Txn!$B27="","",Txn!$D27)</f>
        <v>0</v>
      </c>
      <c r="H41" s="38">
        <f>IF(Txn!$B27="","",Txn!$E27)</f>
        <v>0</v>
      </c>
      <c r="I41" s="40">
        <f>IF(Txn!$B27="",0,Txn!$O27)</f>
        <v>0</v>
      </c>
      <c r="J41" s="40">
        <f>IF(Txn!$B27="",0,Txn!$P27)</f>
        <v>0</v>
      </c>
      <c r="K41" s="41">
        <f>IF($A41="","",IFERROR(VALUE(MID($A41,6,2)),""))</f>
        <v>0</v>
      </c>
      <c r="L41" s="39">
        <f>IF(Txn!$K27="","",Txn!$K27)</f>
        <v>0</v>
      </c>
      <c r="N41" s="42">
        <f>IF($D41="",0,COUNTIF(BankAccts,$D41))</f>
        <v>0</v>
      </c>
    </row>
    <row r="42" spans="1:14">
      <c r="A42" s="38">
        <f>IF(Txn!$B27="","",Txn!$B27)</f>
        <v>0</v>
      </c>
      <c r="B42" s="38">
        <f>IF(Txn!$B27="","",Txn!$C27)</f>
        <v>0</v>
      </c>
      <c r="C42" s="39">
        <f>IF(Txn!$B27="","","تراکنش بانکی")</f>
        <v>0</v>
      </c>
      <c r="D42" s="38">
        <f>IF(Txn!$B27="","",IF(IF(Txn!$U27="TRF",Txn!$Y27,Txn!$Z27)="","",IF(Txn!$U27="TRF",Txn!$Y27,Txn!$Z27)))</f>
        <v>0</v>
      </c>
      <c r="E42" s="39">
        <f>IF($D42="","",IFERROR(VLOOKUP($D42,AcctTbl,2,0),""))</f>
        <v>0</v>
      </c>
      <c r="F42" s="39">
        <f>IF($D42="","",IFERROR(VLOOKUP($D42,AcctTbl,3,0),""))</f>
        <v>0</v>
      </c>
      <c r="G42" s="39">
        <f>IF(Txn!$B27="","",Txn!$D27)</f>
        <v>0</v>
      </c>
      <c r="H42" s="38">
        <f>IF(Txn!$B27="","",Txn!$E27)</f>
        <v>0</v>
      </c>
      <c r="I42" s="40">
        <f>IF(Txn!$B27="",0,Txn!$Q27)</f>
        <v>0</v>
      </c>
      <c r="J42" s="40">
        <f>IF(Txn!$B27="",0,Txn!$R27)</f>
        <v>0</v>
      </c>
      <c r="K42" s="41">
        <f>IF($A42="","",IFERROR(VALUE(MID($A42,6,2)),""))</f>
        <v>0</v>
      </c>
      <c r="L42" s="39">
        <f>IF(Txn!$K27="","","طرف مقابل — "&amp;Txn!$K27)</f>
        <v>0</v>
      </c>
      <c r="N42" s="42">
        <f>IF($D42="",0,COUNTIF(BankAccts,$D42))</f>
        <v>0</v>
      </c>
    </row>
    <row r="43" spans="1:14">
      <c r="A43" s="38">
        <f>IF(Txn!$B28="","",Txn!$B28)</f>
        <v>0</v>
      </c>
      <c r="B43" s="38">
        <f>IF(Txn!$B28="","",Txn!$C28)</f>
        <v>0</v>
      </c>
      <c r="C43" s="39">
        <f>IF(Txn!$B28="","","تراکنش بانکی")</f>
        <v>0</v>
      </c>
      <c r="D43" s="38">
        <f>IF(Txn!$B28="","",IF(Txn!$X28="","",Txn!$X28))</f>
        <v>0</v>
      </c>
      <c r="E43" s="39">
        <f>IF($D43="","",IFERROR(VLOOKUP($D43,AcctTbl,2,0),""))</f>
        <v>0</v>
      </c>
      <c r="F43" s="39">
        <f>IF($D43="","",IFERROR(VLOOKUP($D43,AcctTbl,3,0),""))</f>
        <v>0</v>
      </c>
      <c r="G43" s="39">
        <f>IF(Txn!$B28="","",Txn!$D28)</f>
        <v>0</v>
      </c>
      <c r="H43" s="38">
        <f>IF(Txn!$B28="","",Txn!$E28)</f>
        <v>0</v>
      </c>
      <c r="I43" s="40">
        <f>IF(Txn!$B28="",0,Txn!$O28)</f>
        <v>0</v>
      </c>
      <c r="J43" s="40">
        <f>IF(Txn!$B28="",0,Txn!$P28)</f>
        <v>0</v>
      </c>
      <c r="K43" s="41">
        <f>IF($A43="","",IFERROR(VALUE(MID($A43,6,2)),""))</f>
        <v>0</v>
      </c>
      <c r="L43" s="39">
        <f>IF(Txn!$K28="","",Txn!$K28)</f>
        <v>0</v>
      </c>
      <c r="N43" s="42">
        <f>IF($D43="",0,COUNTIF(BankAccts,$D43))</f>
        <v>0</v>
      </c>
    </row>
    <row r="44" spans="1:14">
      <c r="A44" s="38">
        <f>IF(Txn!$B28="","",Txn!$B28)</f>
        <v>0</v>
      </c>
      <c r="B44" s="38">
        <f>IF(Txn!$B28="","",Txn!$C28)</f>
        <v>0</v>
      </c>
      <c r="C44" s="39">
        <f>IF(Txn!$B28="","","تراکنش بانکی")</f>
        <v>0</v>
      </c>
      <c r="D44" s="38">
        <f>IF(Txn!$B28="","",IF(IF(Txn!$U28="TRF",Txn!$Y28,Txn!$Z28)="","",IF(Txn!$U28="TRF",Txn!$Y28,Txn!$Z28)))</f>
        <v>0</v>
      </c>
      <c r="E44" s="39">
        <f>IF($D44="","",IFERROR(VLOOKUP($D44,AcctTbl,2,0),""))</f>
        <v>0</v>
      </c>
      <c r="F44" s="39">
        <f>IF($D44="","",IFERROR(VLOOKUP($D44,AcctTbl,3,0),""))</f>
        <v>0</v>
      </c>
      <c r="G44" s="39">
        <f>IF(Txn!$B28="","",Txn!$D28)</f>
        <v>0</v>
      </c>
      <c r="H44" s="38">
        <f>IF(Txn!$B28="","",Txn!$E28)</f>
        <v>0</v>
      </c>
      <c r="I44" s="40">
        <f>IF(Txn!$B28="",0,Txn!$Q28)</f>
        <v>0</v>
      </c>
      <c r="J44" s="40">
        <f>IF(Txn!$B28="",0,Txn!$R28)</f>
        <v>0</v>
      </c>
      <c r="K44" s="41">
        <f>IF($A44="","",IFERROR(VALUE(MID($A44,6,2)),""))</f>
        <v>0</v>
      </c>
      <c r="L44" s="39">
        <f>IF(Txn!$K28="","","طرف مقابل — "&amp;Txn!$K28)</f>
        <v>0</v>
      </c>
      <c r="N44" s="42">
        <f>IF($D44="",0,COUNTIF(BankAccts,$D44))</f>
        <v>0</v>
      </c>
    </row>
    <row r="45" spans="1:14">
      <c r="A45" s="38">
        <f>IF(Txn!$B29="","",Txn!$B29)</f>
        <v>0</v>
      </c>
      <c r="B45" s="38">
        <f>IF(Txn!$B29="","",Txn!$C29)</f>
        <v>0</v>
      </c>
      <c r="C45" s="39">
        <f>IF(Txn!$B29="","","تراکنش بانکی")</f>
        <v>0</v>
      </c>
      <c r="D45" s="38">
        <f>IF(Txn!$B29="","",IF(Txn!$X29="","",Txn!$X29))</f>
        <v>0</v>
      </c>
      <c r="E45" s="39">
        <f>IF($D45="","",IFERROR(VLOOKUP($D45,AcctTbl,2,0),""))</f>
        <v>0</v>
      </c>
      <c r="F45" s="39">
        <f>IF($D45="","",IFERROR(VLOOKUP($D45,AcctTbl,3,0),""))</f>
        <v>0</v>
      </c>
      <c r="G45" s="39">
        <f>IF(Txn!$B29="","",Txn!$D29)</f>
        <v>0</v>
      </c>
      <c r="H45" s="38">
        <f>IF(Txn!$B29="","",Txn!$E29)</f>
        <v>0</v>
      </c>
      <c r="I45" s="40">
        <f>IF(Txn!$B29="",0,Txn!$O29)</f>
        <v>0</v>
      </c>
      <c r="J45" s="40">
        <f>IF(Txn!$B29="",0,Txn!$P29)</f>
        <v>0</v>
      </c>
      <c r="K45" s="41">
        <f>IF($A45="","",IFERROR(VALUE(MID($A45,6,2)),""))</f>
        <v>0</v>
      </c>
      <c r="L45" s="39">
        <f>IF(Txn!$K29="","",Txn!$K29)</f>
        <v>0</v>
      </c>
      <c r="N45" s="42">
        <f>IF($D45="",0,COUNTIF(BankAccts,$D45))</f>
        <v>0</v>
      </c>
    </row>
    <row r="46" spans="1:14">
      <c r="A46" s="38">
        <f>IF(Txn!$B29="","",Txn!$B29)</f>
        <v>0</v>
      </c>
      <c r="B46" s="38">
        <f>IF(Txn!$B29="","",Txn!$C29)</f>
        <v>0</v>
      </c>
      <c r="C46" s="39">
        <f>IF(Txn!$B29="","","تراکنش بانکی")</f>
        <v>0</v>
      </c>
      <c r="D46" s="38">
        <f>IF(Txn!$B29="","",IF(IF(Txn!$U29="TRF",Txn!$Y29,Txn!$Z29)="","",IF(Txn!$U29="TRF",Txn!$Y29,Txn!$Z29)))</f>
        <v>0</v>
      </c>
      <c r="E46" s="39">
        <f>IF($D46="","",IFERROR(VLOOKUP($D46,AcctTbl,2,0),""))</f>
        <v>0</v>
      </c>
      <c r="F46" s="39">
        <f>IF($D46="","",IFERROR(VLOOKUP($D46,AcctTbl,3,0),""))</f>
        <v>0</v>
      </c>
      <c r="G46" s="39">
        <f>IF(Txn!$B29="","",Txn!$D29)</f>
        <v>0</v>
      </c>
      <c r="H46" s="38">
        <f>IF(Txn!$B29="","",Txn!$E29)</f>
        <v>0</v>
      </c>
      <c r="I46" s="40">
        <f>IF(Txn!$B29="",0,Txn!$Q29)</f>
        <v>0</v>
      </c>
      <c r="J46" s="40">
        <f>IF(Txn!$B29="",0,Txn!$R29)</f>
        <v>0</v>
      </c>
      <c r="K46" s="41">
        <f>IF($A46="","",IFERROR(VALUE(MID($A46,6,2)),""))</f>
        <v>0</v>
      </c>
      <c r="L46" s="39">
        <f>IF(Txn!$K29="","","طرف مقابل — "&amp;Txn!$K29)</f>
        <v>0</v>
      </c>
      <c r="N46" s="42">
        <f>IF($D46="",0,COUNTIF(BankAccts,$D46))</f>
        <v>0</v>
      </c>
    </row>
    <row r="47" spans="1:14">
      <c r="A47" s="38">
        <f>IF(Txn!$B30="","",Txn!$B30)</f>
        <v>0</v>
      </c>
      <c r="B47" s="38">
        <f>IF(Txn!$B30="","",Txn!$C30)</f>
        <v>0</v>
      </c>
      <c r="C47" s="39">
        <f>IF(Txn!$B30="","","تراکنش بانکی")</f>
        <v>0</v>
      </c>
      <c r="D47" s="38">
        <f>IF(Txn!$B30="","",IF(Txn!$X30="","",Txn!$X30))</f>
        <v>0</v>
      </c>
      <c r="E47" s="39">
        <f>IF($D47="","",IFERROR(VLOOKUP($D47,AcctTbl,2,0),""))</f>
        <v>0</v>
      </c>
      <c r="F47" s="39">
        <f>IF($D47="","",IFERROR(VLOOKUP($D47,AcctTbl,3,0),""))</f>
        <v>0</v>
      </c>
      <c r="G47" s="39">
        <f>IF(Txn!$B30="","",Txn!$D30)</f>
        <v>0</v>
      </c>
      <c r="H47" s="38">
        <f>IF(Txn!$B30="","",Txn!$E30)</f>
        <v>0</v>
      </c>
      <c r="I47" s="40">
        <f>IF(Txn!$B30="",0,Txn!$O30)</f>
        <v>0</v>
      </c>
      <c r="J47" s="40">
        <f>IF(Txn!$B30="",0,Txn!$P30)</f>
        <v>0</v>
      </c>
      <c r="K47" s="41">
        <f>IF($A47="","",IFERROR(VALUE(MID($A47,6,2)),""))</f>
        <v>0</v>
      </c>
      <c r="L47" s="39">
        <f>IF(Txn!$K30="","",Txn!$K30)</f>
        <v>0</v>
      </c>
      <c r="N47" s="42">
        <f>IF($D47="",0,COUNTIF(BankAccts,$D47))</f>
        <v>0</v>
      </c>
    </row>
    <row r="48" spans="1:14">
      <c r="A48" s="38">
        <f>IF(Txn!$B30="","",Txn!$B30)</f>
        <v>0</v>
      </c>
      <c r="B48" s="38">
        <f>IF(Txn!$B30="","",Txn!$C30)</f>
        <v>0</v>
      </c>
      <c r="C48" s="39">
        <f>IF(Txn!$B30="","","تراکنش بانکی")</f>
        <v>0</v>
      </c>
      <c r="D48" s="38">
        <f>IF(Txn!$B30="","",IF(IF(Txn!$U30="TRF",Txn!$Y30,Txn!$Z30)="","",IF(Txn!$U30="TRF",Txn!$Y30,Txn!$Z30)))</f>
        <v>0</v>
      </c>
      <c r="E48" s="39">
        <f>IF($D48="","",IFERROR(VLOOKUP($D48,AcctTbl,2,0),""))</f>
        <v>0</v>
      </c>
      <c r="F48" s="39">
        <f>IF($D48="","",IFERROR(VLOOKUP($D48,AcctTbl,3,0),""))</f>
        <v>0</v>
      </c>
      <c r="G48" s="39">
        <f>IF(Txn!$B30="","",Txn!$D30)</f>
        <v>0</v>
      </c>
      <c r="H48" s="38">
        <f>IF(Txn!$B30="","",Txn!$E30)</f>
        <v>0</v>
      </c>
      <c r="I48" s="40">
        <f>IF(Txn!$B30="",0,Txn!$Q30)</f>
        <v>0</v>
      </c>
      <c r="J48" s="40">
        <f>IF(Txn!$B30="",0,Txn!$R30)</f>
        <v>0</v>
      </c>
      <c r="K48" s="41">
        <f>IF($A48="","",IFERROR(VALUE(MID($A48,6,2)),""))</f>
        <v>0</v>
      </c>
      <c r="L48" s="39">
        <f>IF(Txn!$K30="","","طرف مقابل — "&amp;Txn!$K30)</f>
        <v>0</v>
      </c>
      <c r="N48" s="42">
        <f>IF($D48="",0,COUNTIF(BankAccts,$D48))</f>
        <v>0</v>
      </c>
    </row>
    <row r="49" spans="1:14">
      <c r="A49" s="38">
        <f>IF(Txn!$B31="","",Txn!$B31)</f>
        <v>0</v>
      </c>
      <c r="B49" s="38">
        <f>IF(Txn!$B31="","",Txn!$C31)</f>
        <v>0</v>
      </c>
      <c r="C49" s="39">
        <f>IF(Txn!$B31="","","تراکنش بانکی")</f>
        <v>0</v>
      </c>
      <c r="D49" s="38">
        <f>IF(Txn!$B31="","",IF(Txn!$X31="","",Txn!$X31))</f>
        <v>0</v>
      </c>
      <c r="E49" s="39">
        <f>IF($D49="","",IFERROR(VLOOKUP($D49,AcctTbl,2,0),""))</f>
        <v>0</v>
      </c>
      <c r="F49" s="39">
        <f>IF($D49="","",IFERROR(VLOOKUP($D49,AcctTbl,3,0),""))</f>
        <v>0</v>
      </c>
      <c r="G49" s="39">
        <f>IF(Txn!$B31="","",Txn!$D31)</f>
        <v>0</v>
      </c>
      <c r="H49" s="38">
        <f>IF(Txn!$B31="","",Txn!$E31)</f>
        <v>0</v>
      </c>
      <c r="I49" s="40">
        <f>IF(Txn!$B31="",0,Txn!$O31)</f>
        <v>0</v>
      </c>
      <c r="J49" s="40">
        <f>IF(Txn!$B31="",0,Txn!$P31)</f>
        <v>0</v>
      </c>
      <c r="K49" s="41">
        <f>IF($A49="","",IFERROR(VALUE(MID($A49,6,2)),""))</f>
        <v>0</v>
      </c>
      <c r="L49" s="39">
        <f>IF(Txn!$K31="","",Txn!$K31)</f>
        <v>0</v>
      </c>
      <c r="N49" s="42">
        <f>IF($D49="",0,COUNTIF(BankAccts,$D49))</f>
        <v>0</v>
      </c>
    </row>
    <row r="50" spans="1:14">
      <c r="A50" s="38">
        <f>IF(Txn!$B31="","",Txn!$B31)</f>
        <v>0</v>
      </c>
      <c r="B50" s="38">
        <f>IF(Txn!$B31="","",Txn!$C31)</f>
        <v>0</v>
      </c>
      <c r="C50" s="39">
        <f>IF(Txn!$B31="","","تراکنش بانکی")</f>
        <v>0</v>
      </c>
      <c r="D50" s="38">
        <f>IF(Txn!$B31="","",IF(IF(Txn!$U31="TRF",Txn!$Y31,Txn!$Z31)="","",IF(Txn!$U31="TRF",Txn!$Y31,Txn!$Z31)))</f>
        <v>0</v>
      </c>
      <c r="E50" s="39">
        <f>IF($D50="","",IFERROR(VLOOKUP($D50,AcctTbl,2,0),""))</f>
        <v>0</v>
      </c>
      <c r="F50" s="39">
        <f>IF($D50="","",IFERROR(VLOOKUP($D50,AcctTbl,3,0),""))</f>
        <v>0</v>
      </c>
      <c r="G50" s="39">
        <f>IF(Txn!$B31="","",Txn!$D31)</f>
        <v>0</v>
      </c>
      <c r="H50" s="38">
        <f>IF(Txn!$B31="","",Txn!$E31)</f>
        <v>0</v>
      </c>
      <c r="I50" s="40">
        <f>IF(Txn!$B31="",0,Txn!$Q31)</f>
        <v>0</v>
      </c>
      <c r="J50" s="40">
        <f>IF(Txn!$B31="",0,Txn!$R31)</f>
        <v>0</v>
      </c>
      <c r="K50" s="41">
        <f>IF($A50="","",IFERROR(VALUE(MID($A50,6,2)),""))</f>
        <v>0</v>
      </c>
      <c r="L50" s="39">
        <f>IF(Txn!$K31="","","طرف مقابل — "&amp;Txn!$K31)</f>
        <v>0</v>
      </c>
      <c r="N50" s="42">
        <f>IF($D50="",0,COUNTIF(BankAccts,$D50))</f>
        <v>0</v>
      </c>
    </row>
    <row r="51" spans="1:14">
      <c r="A51" s="38">
        <f>IF(Txn!$B32="","",Txn!$B32)</f>
        <v>0</v>
      </c>
      <c r="B51" s="38">
        <f>IF(Txn!$B32="","",Txn!$C32)</f>
        <v>0</v>
      </c>
      <c r="C51" s="39">
        <f>IF(Txn!$B32="","","تراکنش بانکی")</f>
        <v>0</v>
      </c>
      <c r="D51" s="38">
        <f>IF(Txn!$B32="","",IF(Txn!$X32="","",Txn!$X32))</f>
        <v>0</v>
      </c>
      <c r="E51" s="39">
        <f>IF($D51="","",IFERROR(VLOOKUP($D51,AcctTbl,2,0),""))</f>
        <v>0</v>
      </c>
      <c r="F51" s="39">
        <f>IF($D51="","",IFERROR(VLOOKUP($D51,AcctTbl,3,0),""))</f>
        <v>0</v>
      </c>
      <c r="G51" s="39">
        <f>IF(Txn!$B32="","",Txn!$D32)</f>
        <v>0</v>
      </c>
      <c r="H51" s="38">
        <f>IF(Txn!$B32="","",Txn!$E32)</f>
        <v>0</v>
      </c>
      <c r="I51" s="40">
        <f>IF(Txn!$B32="",0,Txn!$O32)</f>
        <v>0</v>
      </c>
      <c r="J51" s="40">
        <f>IF(Txn!$B32="",0,Txn!$P32)</f>
        <v>0</v>
      </c>
      <c r="K51" s="41">
        <f>IF($A51="","",IFERROR(VALUE(MID($A51,6,2)),""))</f>
        <v>0</v>
      </c>
      <c r="L51" s="39">
        <f>IF(Txn!$K32="","",Txn!$K32)</f>
        <v>0</v>
      </c>
      <c r="N51" s="42">
        <f>IF($D51="",0,COUNTIF(BankAccts,$D51))</f>
        <v>0</v>
      </c>
    </row>
    <row r="52" spans="1:14">
      <c r="A52" s="38">
        <f>IF(Txn!$B32="","",Txn!$B32)</f>
        <v>0</v>
      </c>
      <c r="B52" s="38">
        <f>IF(Txn!$B32="","",Txn!$C32)</f>
        <v>0</v>
      </c>
      <c r="C52" s="39">
        <f>IF(Txn!$B32="","","تراکنش بانکی")</f>
        <v>0</v>
      </c>
      <c r="D52" s="38">
        <f>IF(Txn!$B32="","",IF(IF(Txn!$U32="TRF",Txn!$Y32,Txn!$Z32)="","",IF(Txn!$U32="TRF",Txn!$Y32,Txn!$Z32)))</f>
        <v>0</v>
      </c>
      <c r="E52" s="39">
        <f>IF($D52="","",IFERROR(VLOOKUP($D52,AcctTbl,2,0),""))</f>
        <v>0</v>
      </c>
      <c r="F52" s="39">
        <f>IF($D52="","",IFERROR(VLOOKUP($D52,AcctTbl,3,0),""))</f>
        <v>0</v>
      </c>
      <c r="G52" s="39">
        <f>IF(Txn!$B32="","",Txn!$D32)</f>
        <v>0</v>
      </c>
      <c r="H52" s="38">
        <f>IF(Txn!$B32="","",Txn!$E32)</f>
        <v>0</v>
      </c>
      <c r="I52" s="40">
        <f>IF(Txn!$B32="",0,Txn!$Q32)</f>
        <v>0</v>
      </c>
      <c r="J52" s="40">
        <f>IF(Txn!$B32="",0,Txn!$R32)</f>
        <v>0</v>
      </c>
      <c r="K52" s="41">
        <f>IF($A52="","",IFERROR(VALUE(MID($A52,6,2)),""))</f>
        <v>0</v>
      </c>
      <c r="L52" s="39">
        <f>IF(Txn!$K32="","","طرف مقابل — "&amp;Txn!$K32)</f>
        <v>0</v>
      </c>
      <c r="N52" s="42">
        <f>IF($D52="",0,COUNTIF(BankAccts,$D52))</f>
        <v>0</v>
      </c>
    </row>
    <row r="53" spans="1:14">
      <c r="A53" s="38">
        <f>IF(Txn!$B33="","",Txn!$B33)</f>
        <v>0</v>
      </c>
      <c r="B53" s="38">
        <f>IF(Txn!$B33="","",Txn!$C33)</f>
        <v>0</v>
      </c>
      <c r="C53" s="39">
        <f>IF(Txn!$B33="","","تراکنش بانکی")</f>
        <v>0</v>
      </c>
      <c r="D53" s="38">
        <f>IF(Txn!$B33="","",IF(Txn!$X33="","",Txn!$X33))</f>
        <v>0</v>
      </c>
      <c r="E53" s="39">
        <f>IF($D53="","",IFERROR(VLOOKUP($D53,AcctTbl,2,0),""))</f>
        <v>0</v>
      </c>
      <c r="F53" s="39">
        <f>IF($D53="","",IFERROR(VLOOKUP($D53,AcctTbl,3,0),""))</f>
        <v>0</v>
      </c>
      <c r="G53" s="39">
        <f>IF(Txn!$B33="","",Txn!$D33)</f>
        <v>0</v>
      </c>
      <c r="H53" s="38">
        <f>IF(Txn!$B33="","",Txn!$E33)</f>
        <v>0</v>
      </c>
      <c r="I53" s="40">
        <f>IF(Txn!$B33="",0,Txn!$O33)</f>
        <v>0</v>
      </c>
      <c r="J53" s="40">
        <f>IF(Txn!$B33="",0,Txn!$P33)</f>
        <v>0</v>
      </c>
      <c r="K53" s="41">
        <f>IF($A53="","",IFERROR(VALUE(MID($A53,6,2)),""))</f>
        <v>0</v>
      </c>
      <c r="L53" s="39">
        <f>IF(Txn!$K33="","",Txn!$K33)</f>
        <v>0</v>
      </c>
      <c r="N53" s="42">
        <f>IF($D53="",0,COUNTIF(BankAccts,$D53))</f>
        <v>0</v>
      </c>
    </row>
    <row r="54" spans="1:14">
      <c r="A54" s="38">
        <f>IF(Txn!$B33="","",Txn!$B33)</f>
        <v>0</v>
      </c>
      <c r="B54" s="38">
        <f>IF(Txn!$B33="","",Txn!$C33)</f>
        <v>0</v>
      </c>
      <c r="C54" s="39">
        <f>IF(Txn!$B33="","","تراکنش بانکی")</f>
        <v>0</v>
      </c>
      <c r="D54" s="38">
        <f>IF(Txn!$B33="","",IF(IF(Txn!$U33="TRF",Txn!$Y33,Txn!$Z33)="","",IF(Txn!$U33="TRF",Txn!$Y33,Txn!$Z33)))</f>
        <v>0</v>
      </c>
      <c r="E54" s="39">
        <f>IF($D54="","",IFERROR(VLOOKUP($D54,AcctTbl,2,0),""))</f>
        <v>0</v>
      </c>
      <c r="F54" s="39">
        <f>IF($D54="","",IFERROR(VLOOKUP($D54,AcctTbl,3,0),""))</f>
        <v>0</v>
      </c>
      <c r="G54" s="39">
        <f>IF(Txn!$B33="","",Txn!$D33)</f>
        <v>0</v>
      </c>
      <c r="H54" s="38">
        <f>IF(Txn!$B33="","",Txn!$E33)</f>
        <v>0</v>
      </c>
      <c r="I54" s="40">
        <f>IF(Txn!$B33="",0,Txn!$Q33)</f>
        <v>0</v>
      </c>
      <c r="J54" s="40">
        <f>IF(Txn!$B33="",0,Txn!$R33)</f>
        <v>0</v>
      </c>
      <c r="K54" s="41">
        <f>IF($A54="","",IFERROR(VALUE(MID($A54,6,2)),""))</f>
        <v>0</v>
      </c>
      <c r="L54" s="39">
        <f>IF(Txn!$K33="","","طرف مقابل — "&amp;Txn!$K33)</f>
        <v>0</v>
      </c>
      <c r="N54" s="42">
        <f>IF($D54="",0,COUNTIF(BankAccts,$D54))</f>
        <v>0</v>
      </c>
    </row>
    <row r="55" spans="1:14">
      <c r="A55" s="38">
        <f>IF(Txn!$B34="","",Txn!$B34)</f>
        <v>0</v>
      </c>
      <c r="B55" s="38">
        <f>IF(Txn!$B34="","",Txn!$C34)</f>
        <v>0</v>
      </c>
      <c r="C55" s="39">
        <f>IF(Txn!$B34="","","تراکنش بانکی")</f>
        <v>0</v>
      </c>
      <c r="D55" s="38">
        <f>IF(Txn!$B34="","",IF(Txn!$X34="","",Txn!$X34))</f>
        <v>0</v>
      </c>
      <c r="E55" s="39">
        <f>IF($D55="","",IFERROR(VLOOKUP($D55,AcctTbl,2,0),""))</f>
        <v>0</v>
      </c>
      <c r="F55" s="39">
        <f>IF($D55="","",IFERROR(VLOOKUP($D55,AcctTbl,3,0),""))</f>
        <v>0</v>
      </c>
      <c r="G55" s="39">
        <f>IF(Txn!$B34="","",Txn!$D34)</f>
        <v>0</v>
      </c>
      <c r="H55" s="38">
        <f>IF(Txn!$B34="","",Txn!$E34)</f>
        <v>0</v>
      </c>
      <c r="I55" s="40">
        <f>IF(Txn!$B34="",0,Txn!$O34)</f>
        <v>0</v>
      </c>
      <c r="J55" s="40">
        <f>IF(Txn!$B34="",0,Txn!$P34)</f>
        <v>0</v>
      </c>
      <c r="K55" s="41">
        <f>IF($A55="","",IFERROR(VALUE(MID($A55,6,2)),""))</f>
        <v>0</v>
      </c>
      <c r="L55" s="39">
        <f>IF(Txn!$K34="","",Txn!$K34)</f>
        <v>0</v>
      </c>
      <c r="N55" s="42">
        <f>IF($D55="",0,COUNTIF(BankAccts,$D55))</f>
        <v>0</v>
      </c>
    </row>
    <row r="56" spans="1:14">
      <c r="A56" s="38">
        <f>IF(Txn!$B34="","",Txn!$B34)</f>
        <v>0</v>
      </c>
      <c r="B56" s="38">
        <f>IF(Txn!$B34="","",Txn!$C34)</f>
        <v>0</v>
      </c>
      <c r="C56" s="39">
        <f>IF(Txn!$B34="","","تراکنش بانکی")</f>
        <v>0</v>
      </c>
      <c r="D56" s="38">
        <f>IF(Txn!$B34="","",IF(IF(Txn!$U34="TRF",Txn!$Y34,Txn!$Z34)="","",IF(Txn!$U34="TRF",Txn!$Y34,Txn!$Z34)))</f>
        <v>0</v>
      </c>
      <c r="E56" s="39">
        <f>IF($D56="","",IFERROR(VLOOKUP($D56,AcctTbl,2,0),""))</f>
        <v>0</v>
      </c>
      <c r="F56" s="39">
        <f>IF($D56="","",IFERROR(VLOOKUP($D56,AcctTbl,3,0),""))</f>
        <v>0</v>
      </c>
      <c r="G56" s="39">
        <f>IF(Txn!$B34="","",Txn!$D34)</f>
        <v>0</v>
      </c>
      <c r="H56" s="38">
        <f>IF(Txn!$B34="","",Txn!$E34)</f>
        <v>0</v>
      </c>
      <c r="I56" s="40">
        <f>IF(Txn!$B34="",0,Txn!$Q34)</f>
        <v>0</v>
      </c>
      <c r="J56" s="40">
        <f>IF(Txn!$B34="",0,Txn!$R34)</f>
        <v>0</v>
      </c>
      <c r="K56" s="41">
        <f>IF($A56="","",IFERROR(VALUE(MID($A56,6,2)),""))</f>
        <v>0</v>
      </c>
      <c r="L56" s="39">
        <f>IF(Txn!$K34="","","طرف مقابل — "&amp;Txn!$K34)</f>
        <v>0</v>
      </c>
      <c r="N56" s="42">
        <f>IF($D56="",0,COUNTIF(BankAccts,$D56))</f>
        <v>0</v>
      </c>
    </row>
    <row r="57" spans="1:14">
      <c r="A57" s="38">
        <f>IF(Txn!$B35="","",Txn!$B35)</f>
        <v>0</v>
      </c>
      <c r="B57" s="38">
        <f>IF(Txn!$B35="","",Txn!$C35)</f>
        <v>0</v>
      </c>
      <c r="C57" s="39">
        <f>IF(Txn!$B35="","","تراکنش بانکی")</f>
        <v>0</v>
      </c>
      <c r="D57" s="38">
        <f>IF(Txn!$B35="","",IF(Txn!$X35="","",Txn!$X35))</f>
        <v>0</v>
      </c>
      <c r="E57" s="39">
        <f>IF($D57="","",IFERROR(VLOOKUP($D57,AcctTbl,2,0),""))</f>
        <v>0</v>
      </c>
      <c r="F57" s="39">
        <f>IF($D57="","",IFERROR(VLOOKUP($D57,AcctTbl,3,0),""))</f>
        <v>0</v>
      </c>
      <c r="G57" s="39">
        <f>IF(Txn!$B35="","",Txn!$D35)</f>
        <v>0</v>
      </c>
      <c r="H57" s="38">
        <f>IF(Txn!$B35="","",Txn!$E35)</f>
        <v>0</v>
      </c>
      <c r="I57" s="40">
        <f>IF(Txn!$B35="",0,Txn!$O35)</f>
        <v>0</v>
      </c>
      <c r="J57" s="40">
        <f>IF(Txn!$B35="",0,Txn!$P35)</f>
        <v>0</v>
      </c>
      <c r="K57" s="41">
        <f>IF($A57="","",IFERROR(VALUE(MID($A57,6,2)),""))</f>
        <v>0</v>
      </c>
      <c r="L57" s="39">
        <f>IF(Txn!$K35="","",Txn!$K35)</f>
        <v>0</v>
      </c>
      <c r="N57" s="42">
        <f>IF($D57="",0,COUNTIF(BankAccts,$D57))</f>
        <v>0</v>
      </c>
    </row>
    <row r="58" spans="1:14">
      <c r="A58" s="38">
        <f>IF(Txn!$B35="","",Txn!$B35)</f>
        <v>0</v>
      </c>
      <c r="B58" s="38">
        <f>IF(Txn!$B35="","",Txn!$C35)</f>
        <v>0</v>
      </c>
      <c r="C58" s="39">
        <f>IF(Txn!$B35="","","تراکنش بانکی")</f>
        <v>0</v>
      </c>
      <c r="D58" s="38">
        <f>IF(Txn!$B35="","",IF(IF(Txn!$U35="TRF",Txn!$Y35,Txn!$Z35)="","",IF(Txn!$U35="TRF",Txn!$Y35,Txn!$Z35)))</f>
        <v>0</v>
      </c>
      <c r="E58" s="39">
        <f>IF($D58="","",IFERROR(VLOOKUP($D58,AcctTbl,2,0),""))</f>
        <v>0</v>
      </c>
      <c r="F58" s="39">
        <f>IF($D58="","",IFERROR(VLOOKUP($D58,AcctTbl,3,0),""))</f>
        <v>0</v>
      </c>
      <c r="G58" s="39">
        <f>IF(Txn!$B35="","",Txn!$D35)</f>
        <v>0</v>
      </c>
      <c r="H58" s="38">
        <f>IF(Txn!$B35="","",Txn!$E35)</f>
        <v>0</v>
      </c>
      <c r="I58" s="40">
        <f>IF(Txn!$B35="",0,Txn!$Q35)</f>
        <v>0</v>
      </c>
      <c r="J58" s="40">
        <f>IF(Txn!$B35="",0,Txn!$R35)</f>
        <v>0</v>
      </c>
      <c r="K58" s="41">
        <f>IF($A58="","",IFERROR(VALUE(MID($A58,6,2)),""))</f>
        <v>0</v>
      </c>
      <c r="L58" s="39">
        <f>IF(Txn!$K35="","","طرف مقابل — "&amp;Txn!$K35)</f>
        <v>0</v>
      </c>
      <c r="N58" s="42">
        <f>IF($D58="",0,COUNTIF(BankAccts,$D58))</f>
        <v>0</v>
      </c>
    </row>
    <row r="59" spans="1:14">
      <c r="A59" s="38">
        <f>IF(Txn!$B36="","",Txn!$B36)</f>
        <v>0</v>
      </c>
      <c r="B59" s="38">
        <f>IF(Txn!$B36="","",Txn!$C36)</f>
        <v>0</v>
      </c>
      <c r="C59" s="39">
        <f>IF(Txn!$B36="","","تراکنش بانکی")</f>
        <v>0</v>
      </c>
      <c r="D59" s="38">
        <f>IF(Txn!$B36="","",IF(Txn!$X36="","",Txn!$X36))</f>
        <v>0</v>
      </c>
      <c r="E59" s="39">
        <f>IF($D59="","",IFERROR(VLOOKUP($D59,AcctTbl,2,0),""))</f>
        <v>0</v>
      </c>
      <c r="F59" s="39">
        <f>IF($D59="","",IFERROR(VLOOKUP($D59,AcctTbl,3,0),""))</f>
        <v>0</v>
      </c>
      <c r="G59" s="39">
        <f>IF(Txn!$B36="","",Txn!$D36)</f>
        <v>0</v>
      </c>
      <c r="H59" s="38">
        <f>IF(Txn!$B36="","",Txn!$E36)</f>
        <v>0</v>
      </c>
      <c r="I59" s="40">
        <f>IF(Txn!$B36="",0,Txn!$O36)</f>
        <v>0</v>
      </c>
      <c r="J59" s="40">
        <f>IF(Txn!$B36="",0,Txn!$P36)</f>
        <v>0</v>
      </c>
      <c r="K59" s="41">
        <f>IF($A59="","",IFERROR(VALUE(MID($A59,6,2)),""))</f>
        <v>0</v>
      </c>
      <c r="L59" s="39">
        <f>IF(Txn!$K36="","",Txn!$K36)</f>
        <v>0</v>
      </c>
      <c r="N59" s="42">
        <f>IF($D59="",0,COUNTIF(BankAccts,$D59))</f>
        <v>0</v>
      </c>
    </row>
    <row r="60" spans="1:14">
      <c r="A60" s="38">
        <f>IF(Txn!$B36="","",Txn!$B36)</f>
        <v>0</v>
      </c>
      <c r="B60" s="38">
        <f>IF(Txn!$B36="","",Txn!$C36)</f>
        <v>0</v>
      </c>
      <c r="C60" s="39">
        <f>IF(Txn!$B36="","","تراکنش بانکی")</f>
        <v>0</v>
      </c>
      <c r="D60" s="38">
        <f>IF(Txn!$B36="","",IF(IF(Txn!$U36="TRF",Txn!$Y36,Txn!$Z36)="","",IF(Txn!$U36="TRF",Txn!$Y36,Txn!$Z36)))</f>
        <v>0</v>
      </c>
      <c r="E60" s="39">
        <f>IF($D60="","",IFERROR(VLOOKUP($D60,AcctTbl,2,0),""))</f>
        <v>0</v>
      </c>
      <c r="F60" s="39">
        <f>IF($D60="","",IFERROR(VLOOKUP($D60,AcctTbl,3,0),""))</f>
        <v>0</v>
      </c>
      <c r="G60" s="39">
        <f>IF(Txn!$B36="","",Txn!$D36)</f>
        <v>0</v>
      </c>
      <c r="H60" s="38">
        <f>IF(Txn!$B36="","",Txn!$E36)</f>
        <v>0</v>
      </c>
      <c r="I60" s="40">
        <f>IF(Txn!$B36="",0,Txn!$Q36)</f>
        <v>0</v>
      </c>
      <c r="J60" s="40">
        <f>IF(Txn!$B36="",0,Txn!$R36)</f>
        <v>0</v>
      </c>
      <c r="K60" s="41">
        <f>IF($A60="","",IFERROR(VALUE(MID($A60,6,2)),""))</f>
        <v>0</v>
      </c>
      <c r="L60" s="39">
        <f>IF(Txn!$K36="","","طرف مقابل — "&amp;Txn!$K36)</f>
        <v>0</v>
      </c>
      <c r="N60" s="42">
        <f>IF($D60="",0,COUNTIF(BankAccts,$D60))</f>
        <v>0</v>
      </c>
    </row>
    <row r="61" spans="1:14">
      <c r="A61" s="38">
        <f>IF(Txn!$B37="","",Txn!$B37)</f>
        <v>0</v>
      </c>
      <c r="B61" s="38">
        <f>IF(Txn!$B37="","",Txn!$C37)</f>
        <v>0</v>
      </c>
      <c r="C61" s="39">
        <f>IF(Txn!$B37="","","تراکنش بانکی")</f>
        <v>0</v>
      </c>
      <c r="D61" s="38">
        <f>IF(Txn!$B37="","",IF(Txn!$X37="","",Txn!$X37))</f>
        <v>0</v>
      </c>
      <c r="E61" s="39">
        <f>IF($D61="","",IFERROR(VLOOKUP($D61,AcctTbl,2,0),""))</f>
        <v>0</v>
      </c>
      <c r="F61" s="39">
        <f>IF($D61="","",IFERROR(VLOOKUP($D61,AcctTbl,3,0),""))</f>
        <v>0</v>
      </c>
      <c r="G61" s="39">
        <f>IF(Txn!$B37="","",Txn!$D37)</f>
        <v>0</v>
      </c>
      <c r="H61" s="38">
        <f>IF(Txn!$B37="","",Txn!$E37)</f>
        <v>0</v>
      </c>
      <c r="I61" s="40">
        <f>IF(Txn!$B37="",0,Txn!$O37)</f>
        <v>0</v>
      </c>
      <c r="J61" s="40">
        <f>IF(Txn!$B37="",0,Txn!$P37)</f>
        <v>0</v>
      </c>
      <c r="K61" s="41">
        <f>IF($A61="","",IFERROR(VALUE(MID($A61,6,2)),""))</f>
        <v>0</v>
      </c>
      <c r="L61" s="39">
        <f>IF(Txn!$K37="","",Txn!$K37)</f>
        <v>0</v>
      </c>
      <c r="N61" s="42">
        <f>IF($D61="",0,COUNTIF(BankAccts,$D61))</f>
        <v>0</v>
      </c>
    </row>
    <row r="62" spans="1:14">
      <c r="A62" s="38">
        <f>IF(Txn!$B37="","",Txn!$B37)</f>
        <v>0</v>
      </c>
      <c r="B62" s="38">
        <f>IF(Txn!$B37="","",Txn!$C37)</f>
        <v>0</v>
      </c>
      <c r="C62" s="39">
        <f>IF(Txn!$B37="","","تراکنش بانکی")</f>
        <v>0</v>
      </c>
      <c r="D62" s="38">
        <f>IF(Txn!$B37="","",IF(IF(Txn!$U37="TRF",Txn!$Y37,Txn!$Z37)="","",IF(Txn!$U37="TRF",Txn!$Y37,Txn!$Z37)))</f>
        <v>0</v>
      </c>
      <c r="E62" s="39">
        <f>IF($D62="","",IFERROR(VLOOKUP($D62,AcctTbl,2,0),""))</f>
        <v>0</v>
      </c>
      <c r="F62" s="39">
        <f>IF($D62="","",IFERROR(VLOOKUP($D62,AcctTbl,3,0),""))</f>
        <v>0</v>
      </c>
      <c r="G62" s="39">
        <f>IF(Txn!$B37="","",Txn!$D37)</f>
        <v>0</v>
      </c>
      <c r="H62" s="38">
        <f>IF(Txn!$B37="","",Txn!$E37)</f>
        <v>0</v>
      </c>
      <c r="I62" s="40">
        <f>IF(Txn!$B37="",0,Txn!$Q37)</f>
        <v>0</v>
      </c>
      <c r="J62" s="40">
        <f>IF(Txn!$B37="",0,Txn!$R37)</f>
        <v>0</v>
      </c>
      <c r="K62" s="41">
        <f>IF($A62="","",IFERROR(VALUE(MID($A62,6,2)),""))</f>
        <v>0</v>
      </c>
      <c r="L62" s="39">
        <f>IF(Txn!$K37="","","طرف مقابل — "&amp;Txn!$K37)</f>
        <v>0</v>
      </c>
      <c r="N62" s="42">
        <f>IF($D62="",0,COUNTIF(BankAccts,$D62))</f>
        <v>0</v>
      </c>
    </row>
    <row r="63" spans="1:14">
      <c r="A63" s="38">
        <f>IF(Txn!$B38="","",Txn!$B38)</f>
        <v>0</v>
      </c>
      <c r="B63" s="38">
        <f>IF(Txn!$B38="","",Txn!$C38)</f>
        <v>0</v>
      </c>
      <c r="C63" s="39">
        <f>IF(Txn!$B38="","","تراکنش بانکی")</f>
        <v>0</v>
      </c>
      <c r="D63" s="38">
        <f>IF(Txn!$B38="","",IF(Txn!$X38="","",Txn!$X38))</f>
        <v>0</v>
      </c>
      <c r="E63" s="39">
        <f>IF($D63="","",IFERROR(VLOOKUP($D63,AcctTbl,2,0),""))</f>
        <v>0</v>
      </c>
      <c r="F63" s="39">
        <f>IF($D63="","",IFERROR(VLOOKUP($D63,AcctTbl,3,0),""))</f>
        <v>0</v>
      </c>
      <c r="G63" s="39">
        <f>IF(Txn!$B38="","",Txn!$D38)</f>
        <v>0</v>
      </c>
      <c r="H63" s="38">
        <f>IF(Txn!$B38="","",Txn!$E38)</f>
        <v>0</v>
      </c>
      <c r="I63" s="40">
        <f>IF(Txn!$B38="",0,Txn!$O38)</f>
        <v>0</v>
      </c>
      <c r="J63" s="40">
        <f>IF(Txn!$B38="",0,Txn!$P38)</f>
        <v>0</v>
      </c>
      <c r="K63" s="41">
        <f>IF($A63="","",IFERROR(VALUE(MID($A63,6,2)),""))</f>
        <v>0</v>
      </c>
      <c r="L63" s="39">
        <f>IF(Txn!$K38="","",Txn!$K38)</f>
        <v>0</v>
      </c>
      <c r="N63" s="42">
        <f>IF($D63="",0,COUNTIF(BankAccts,$D63))</f>
        <v>0</v>
      </c>
    </row>
    <row r="64" spans="1:14">
      <c r="A64" s="38">
        <f>IF(Txn!$B38="","",Txn!$B38)</f>
        <v>0</v>
      </c>
      <c r="B64" s="38">
        <f>IF(Txn!$B38="","",Txn!$C38)</f>
        <v>0</v>
      </c>
      <c r="C64" s="39">
        <f>IF(Txn!$B38="","","تراکنش بانکی")</f>
        <v>0</v>
      </c>
      <c r="D64" s="38">
        <f>IF(Txn!$B38="","",IF(IF(Txn!$U38="TRF",Txn!$Y38,Txn!$Z38)="","",IF(Txn!$U38="TRF",Txn!$Y38,Txn!$Z38)))</f>
        <v>0</v>
      </c>
      <c r="E64" s="39">
        <f>IF($D64="","",IFERROR(VLOOKUP($D64,AcctTbl,2,0),""))</f>
        <v>0</v>
      </c>
      <c r="F64" s="39">
        <f>IF($D64="","",IFERROR(VLOOKUP($D64,AcctTbl,3,0),""))</f>
        <v>0</v>
      </c>
      <c r="G64" s="39">
        <f>IF(Txn!$B38="","",Txn!$D38)</f>
        <v>0</v>
      </c>
      <c r="H64" s="38">
        <f>IF(Txn!$B38="","",Txn!$E38)</f>
        <v>0</v>
      </c>
      <c r="I64" s="40">
        <f>IF(Txn!$B38="",0,Txn!$Q38)</f>
        <v>0</v>
      </c>
      <c r="J64" s="40">
        <f>IF(Txn!$B38="",0,Txn!$R38)</f>
        <v>0</v>
      </c>
      <c r="K64" s="41">
        <f>IF($A64="","",IFERROR(VALUE(MID($A64,6,2)),""))</f>
        <v>0</v>
      </c>
      <c r="L64" s="39">
        <f>IF(Txn!$K38="","","طرف مقابل — "&amp;Txn!$K38)</f>
        <v>0</v>
      </c>
      <c r="N64" s="42">
        <f>IF($D64="",0,COUNTIF(BankAccts,$D64))</f>
        <v>0</v>
      </c>
    </row>
    <row r="65" spans="1:14">
      <c r="A65" s="38">
        <f>IF(Txn!$B39="","",Txn!$B39)</f>
        <v>0</v>
      </c>
      <c r="B65" s="38">
        <f>IF(Txn!$B39="","",Txn!$C39)</f>
        <v>0</v>
      </c>
      <c r="C65" s="39">
        <f>IF(Txn!$B39="","","تراکنش بانکی")</f>
        <v>0</v>
      </c>
      <c r="D65" s="38">
        <f>IF(Txn!$B39="","",IF(Txn!$X39="","",Txn!$X39))</f>
        <v>0</v>
      </c>
      <c r="E65" s="39">
        <f>IF($D65="","",IFERROR(VLOOKUP($D65,AcctTbl,2,0),""))</f>
        <v>0</v>
      </c>
      <c r="F65" s="39">
        <f>IF($D65="","",IFERROR(VLOOKUP($D65,AcctTbl,3,0),""))</f>
        <v>0</v>
      </c>
      <c r="G65" s="39">
        <f>IF(Txn!$B39="","",Txn!$D39)</f>
        <v>0</v>
      </c>
      <c r="H65" s="38">
        <f>IF(Txn!$B39="","",Txn!$E39)</f>
        <v>0</v>
      </c>
      <c r="I65" s="40">
        <f>IF(Txn!$B39="",0,Txn!$O39)</f>
        <v>0</v>
      </c>
      <c r="J65" s="40">
        <f>IF(Txn!$B39="",0,Txn!$P39)</f>
        <v>0</v>
      </c>
      <c r="K65" s="41">
        <f>IF($A65="","",IFERROR(VALUE(MID($A65,6,2)),""))</f>
        <v>0</v>
      </c>
      <c r="L65" s="39">
        <f>IF(Txn!$K39="","",Txn!$K39)</f>
        <v>0</v>
      </c>
      <c r="N65" s="42">
        <f>IF($D65="",0,COUNTIF(BankAccts,$D65))</f>
        <v>0</v>
      </c>
    </row>
    <row r="66" spans="1:14">
      <c r="A66" s="38">
        <f>IF(Txn!$B39="","",Txn!$B39)</f>
        <v>0</v>
      </c>
      <c r="B66" s="38">
        <f>IF(Txn!$B39="","",Txn!$C39)</f>
        <v>0</v>
      </c>
      <c r="C66" s="39">
        <f>IF(Txn!$B39="","","تراکنش بانکی")</f>
        <v>0</v>
      </c>
      <c r="D66" s="38">
        <f>IF(Txn!$B39="","",IF(IF(Txn!$U39="TRF",Txn!$Y39,Txn!$Z39)="","",IF(Txn!$U39="TRF",Txn!$Y39,Txn!$Z39)))</f>
        <v>0</v>
      </c>
      <c r="E66" s="39">
        <f>IF($D66="","",IFERROR(VLOOKUP($D66,AcctTbl,2,0),""))</f>
        <v>0</v>
      </c>
      <c r="F66" s="39">
        <f>IF($D66="","",IFERROR(VLOOKUP($D66,AcctTbl,3,0),""))</f>
        <v>0</v>
      </c>
      <c r="G66" s="39">
        <f>IF(Txn!$B39="","",Txn!$D39)</f>
        <v>0</v>
      </c>
      <c r="H66" s="38">
        <f>IF(Txn!$B39="","",Txn!$E39)</f>
        <v>0</v>
      </c>
      <c r="I66" s="40">
        <f>IF(Txn!$B39="",0,Txn!$Q39)</f>
        <v>0</v>
      </c>
      <c r="J66" s="40">
        <f>IF(Txn!$B39="",0,Txn!$R39)</f>
        <v>0</v>
      </c>
      <c r="K66" s="41">
        <f>IF($A66="","",IFERROR(VALUE(MID($A66,6,2)),""))</f>
        <v>0</v>
      </c>
      <c r="L66" s="39">
        <f>IF(Txn!$K39="","","طرف مقابل — "&amp;Txn!$K39)</f>
        <v>0</v>
      </c>
      <c r="N66" s="42">
        <f>IF($D66="",0,COUNTIF(BankAccts,$D66))</f>
        <v>0</v>
      </c>
    </row>
    <row r="67" spans="1:14">
      <c r="A67" s="38">
        <f>IF(Txn!$B40="","",Txn!$B40)</f>
        <v>0</v>
      </c>
      <c r="B67" s="38">
        <f>IF(Txn!$B40="","",Txn!$C40)</f>
        <v>0</v>
      </c>
      <c r="C67" s="39">
        <f>IF(Txn!$B40="","","تراکنش بانکی")</f>
        <v>0</v>
      </c>
      <c r="D67" s="38">
        <f>IF(Txn!$B40="","",IF(Txn!$X40="","",Txn!$X40))</f>
        <v>0</v>
      </c>
      <c r="E67" s="39">
        <f>IF($D67="","",IFERROR(VLOOKUP($D67,AcctTbl,2,0),""))</f>
        <v>0</v>
      </c>
      <c r="F67" s="39">
        <f>IF($D67="","",IFERROR(VLOOKUP($D67,AcctTbl,3,0),""))</f>
        <v>0</v>
      </c>
      <c r="G67" s="39">
        <f>IF(Txn!$B40="","",Txn!$D40)</f>
        <v>0</v>
      </c>
      <c r="H67" s="38">
        <f>IF(Txn!$B40="","",Txn!$E40)</f>
        <v>0</v>
      </c>
      <c r="I67" s="40">
        <f>IF(Txn!$B40="",0,Txn!$O40)</f>
        <v>0</v>
      </c>
      <c r="J67" s="40">
        <f>IF(Txn!$B40="",0,Txn!$P40)</f>
        <v>0</v>
      </c>
      <c r="K67" s="41">
        <f>IF($A67="","",IFERROR(VALUE(MID($A67,6,2)),""))</f>
        <v>0</v>
      </c>
      <c r="L67" s="39">
        <f>IF(Txn!$K40="","",Txn!$K40)</f>
        <v>0</v>
      </c>
      <c r="N67" s="42">
        <f>IF($D67="",0,COUNTIF(BankAccts,$D67))</f>
        <v>0</v>
      </c>
    </row>
    <row r="68" spans="1:14">
      <c r="A68" s="38">
        <f>IF(Txn!$B40="","",Txn!$B40)</f>
        <v>0</v>
      </c>
      <c r="B68" s="38">
        <f>IF(Txn!$B40="","",Txn!$C40)</f>
        <v>0</v>
      </c>
      <c r="C68" s="39">
        <f>IF(Txn!$B40="","","تراکنش بانکی")</f>
        <v>0</v>
      </c>
      <c r="D68" s="38">
        <f>IF(Txn!$B40="","",IF(IF(Txn!$U40="TRF",Txn!$Y40,Txn!$Z40)="","",IF(Txn!$U40="TRF",Txn!$Y40,Txn!$Z40)))</f>
        <v>0</v>
      </c>
      <c r="E68" s="39">
        <f>IF($D68="","",IFERROR(VLOOKUP($D68,AcctTbl,2,0),""))</f>
        <v>0</v>
      </c>
      <c r="F68" s="39">
        <f>IF($D68="","",IFERROR(VLOOKUP($D68,AcctTbl,3,0),""))</f>
        <v>0</v>
      </c>
      <c r="G68" s="39">
        <f>IF(Txn!$B40="","",Txn!$D40)</f>
        <v>0</v>
      </c>
      <c r="H68" s="38">
        <f>IF(Txn!$B40="","",Txn!$E40)</f>
        <v>0</v>
      </c>
      <c r="I68" s="40">
        <f>IF(Txn!$B40="",0,Txn!$Q40)</f>
        <v>0</v>
      </c>
      <c r="J68" s="40">
        <f>IF(Txn!$B40="",0,Txn!$R40)</f>
        <v>0</v>
      </c>
      <c r="K68" s="41">
        <f>IF($A68="","",IFERROR(VALUE(MID($A68,6,2)),""))</f>
        <v>0</v>
      </c>
      <c r="L68" s="39">
        <f>IF(Txn!$K40="","","طرف مقابل — "&amp;Txn!$K40)</f>
        <v>0</v>
      </c>
      <c r="N68" s="42">
        <f>IF($D68="",0,COUNTIF(BankAccts,$D68))</f>
        <v>0</v>
      </c>
    </row>
    <row r="69" spans="1:14">
      <c r="A69" s="38">
        <f>IF(Txn!$B41="","",Txn!$B41)</f>
        <v>0</v>
      </c>
      <c r="B69" s="38">
        <f>IF(Txn!$B41="","",Txn!$C41)</f>
        <v>0</v>
      </c>
      <c r="C69" s="39">
        <f>IF(Txn!$B41="","","تراکنش بانکی")</f>
        <v>0</v>
      </c>
      <c r="D69" s="38">
        <f>IF(Txn!$B41="","",IF(Txn!$X41="","",Txn!$X41))</f>
        <v>0</v>
      </c>
      <c r="E69" s="39">
        <f>IF($D69="","",IFERROR(VLOOKUP($D69,AcctTbl,2,0),""))</f>
        <v>0</v>
      </c>
      <c r="F69" s="39">
        <f>IF($D69="","",IFERROR(VLOOKUP($D69,AcctTbl,3,0),""))</f>
        <v>0</v>
      </c>
      <c r="G69" s="39">
        <f>IF(Txn!$B41="","",Txn!$D41)</f>
        <v>0</v>
      </c>
      <c r="H69" s="38">
        <f>IF(Txn!$B41="","",Txn!$E41)</f>
        <v>0</v>
      </c>
      <c r="I69" s="40">
        <f>IF(Txn!$B41="",0,Txn!$O41)</f>
        <v>0</v>
      </c>
      <c r="J69" s="40">
        <f>IF(Txn!$B41="",0,Txn!$P41)</f>
        <v>0</v>
      </c>
      <c r="K69" s="41">
        <f>IF($A69="","",IFERROR(VALUE(MID($A69,6,2)),""))</f>
        <v>0</v>
      </c>
      <c r="L69" s="39">
        <f>IF(Txn!$K41="","",Txn!$K41)</f>
        <v>0</v>
      </c>
      <c r="N69" s="42">
        <f>IF($D69="",0,COUNTIF(BankAccts,$D69))</f>
        <v>0</v>
      </c>
    </row>
    <row r="70" spans="1:14">
      <c r="A70" s="38">
        <f>IF(Txn!$B41="","",Txn!$B41)</f>
        <v>0</v>
      </c>
      <c r="B70" s="38">
        <f>IF(Txn!$B41="","",Txn!$C41)</f>
        <v>0</v>
      </c>
      <c r="C70" s="39">
        <f>IF(Txn!$B41="","","تراکنش بانکی")</f>
        <v>0</v>
      </c>
      <c r="D70" s="38">
        <f>IF(Txn!$B41="","",IF(IF(Txn!$U41="TRF",Txn!$Y41,Txn!$Z41)="","",IF(Txn!$U41="TRF",Txn!$Y41,Txn!$Z41)))</f>
        <v>0</v>
      </c>
      <c r="E70" s="39">
        <f>IF($D70="","",IFERROR(VLOOKUP($D70,AcctTbl,2,0),""))</f>
        <v>0</v>
      </c>
      <c r="F70" s="39">
        <f>IF($D70="","",IFERROR(VLOOKUP($D70,AcctTbl,3,0),""))</f>
        <v>0</v>
      </c>
      <c r="G70" s="39">
        <f>IF(Txn!$B41="","",Txn!$D41)</f>
        <v>0</v>
      </c>
      <c r="H70" s="38">
        <f>IF(Txn!$B41="","",Txn!$E41)</f>
        <v>0</v>
      </c>
      <c r="I70" s="40">
        <f>IF(Txn!$B41="",0,Txn!$Q41)</f>
        <v>0</v>
      </c>
      <c r="J70" s="40">
        <f>IF(Txn!$B41="",0,Txn!$R41)</f>
        <v>0</v>
      </c>
      <c r="K70" s="41">
        <f>IF($A70="","",IFERROR(VALUE(MID($A70,6,2)),""))</f>
        <v>0</v>
      </c>
      <c r="L70" s="39">
        <f>IF(Txn!$K41="","","طرف مقابل — "&amp;Txn!$K41)</f>
        <v>0</v>
      </c>
      <c r="N70" s="42">
        <f>IF($D70="",0,COUNTIF(BankAccts,$D70))</f>
        <v>0</v>
      </c>
    </row>
    <row r="71" spans="1:14">
      <c r="A71" s="38">
        <f>IF(Txn!$B42="","",Txn!$B42)</f>
        <v>0</v>
      </c>
      <c r="B71" s="38">
        <f>IF(Txn!$B42="","",Txn!$C42)</f>
        <v>0</v>
      </c>
      <c r="C71" s="39">
        <f>IF(Txn!$B42="","","تراکنش بانکی")</f>
        <v>0</v>
      </c>
      <c r="D71" s="38">
        <f>IF(Txn!$B42="","",IF(Txn!$X42="","",Txn!$X42))</f>
        <v>0</v>
      </c>
      <c r="E71" s="39">
        <f>IF($D71="","",IFERROR(VLOOKUP($D71,AcctTbl,2,0),""))</f>
        <v>0</v>
      </c>
      <c r="F71" s="39">
        <f>IF($D71="","",IFERROR(VLOOKUP($D71,AcctTbl,3,0),""))</f>
        <v>0</v>
      </c>
      <c r="G71" s="39">
        <f>IF(Txn!$B42="","",Txn!$D42)</f>
        <v>0</v>
      </c>
      <c r="H71" s="38">
        <f>IF(Txn!$B42="","",Txn!$E42)</f>
        <v>0</v>
      </c>
      <c r="I71" s="40">
        <f>IF(Txn!$B42="",0,Txn!$O42)</f>
        <v>0</v>
      </c>
      <c r="J71" s="40">
        <f>IF(Txn!$B42="",0,Txn!$P42)</f>
        <v>0</v>
      </c>
      <c r="K71" s="41">
        <f>IF($A71="","",IFERROR(VALUE(MID($A71,6,2)),""))</f>
        <v>0</v>
      </c>
      <c r="L71" s="39">
        <f>IF(Txn!$K42="","",Txn!$K42)</f>
        <v>0</v>
      </c>
      <c r="N71" s="42">
        <f>IF($D71="",0,COUNTIF(BankAccts,$D71))</f>
        <v>0</v>
      </c>
    </row>
    <row r="72" spans="1:14">
      <c r="A72" s="38">
        <f>IF(Txn!$B42="","",Txn!$B42)</f>
        <v>0</v>
      </c>
      <c r="B72" s="38">
        <f>IF(Txn!$B42="","",Txn!$C42)</f>
        <v>0</v>
      </c>
      <c r="C72" s="39">
        <f>IF(Txn!$B42="","","تراکنش بانکی")</f>
        <v>0</v>
      </c>
      <c r="D72" s="38">
        <f>IF(Txn!$B42="","",IF(IF(Txn!$U42="TRF",Txn!$Y42,Txn!$Z42)="","",IF(Txn!$U42="TRF",Txn!$Y42,Txn!$Z42)))</f>
        <v>0</v>
      </c>
      <c r="E72" s="39">
        <f>IF($D72="","",IFERROR(VLOOKUP($D72,AcctTbl,2,0),""))</f>
        <v>0</v>
      </c>
      <c r="F72" s="39">
        <f>IF($D72="","",IFERROR(VLOOKUP($D72,AcctTbl,3,0),""))</f>
        <v>0</v>
      </c>
      <c r="G72" s="39">
        <f>IF(Txn!$B42="","",Txn!$D42)</f>
        <v>0</v>
      </c>
      <c r="H72" s="38">
        <f>IF(Txn!$B42="","",Txn!$E42)</f>
        <v>0</v>
      </c>
      <c r="I72" s="40">
        <f>IF(Txn!$B42="",0,Txn!$Q42)</f>
        <v>0</v>
      </c>
      <c r="J72" s="40">
        <f>IF(Txn!$B42="",0,Txn!$R42)</f>
        <v>0</v>
      </c>
      <c r="K72" s="41">
        <f>IF($A72="","",IFERROR(VALUE(MID($A72,6,2)),""))</f>
        <v>0</v>
      </c>
      <c r="L72" s="39">
        <f>IF(Txn!$K42="","","طرف مقابل — "&amp;Txn!$K42)</f>
        <v>0</v>
      </c>
      <c r="N72" s="42">
        <f>IF($D72="",0,COUNTIF(BankAccts,$D72))</f>
        <v>0</v>
      </c>
    </row>
    <row r="73" spans="1:14">
      <c r="A73" s="38">
        <f>IF(Txn!$B43="","",Txn!$B43)</f>
        <v>0</v>
      </c>
      <c r="B73" s="38">
        <f>IF(Txn!$B43="","",Txn!$C43)</f>
        <v>0</v>
      </c>
      <c r="C73" s="39">
        <f>IF(Txn!$B43="","","تراکنش بانکی")</f>
        <v>0</v>
      </c>
      <c r="D73" s="38">
        <f>IF(Txn!$B43="","",IF(Txn!$X43="","",Txn!$X43))</f>
        <v>0</v>
      </c>
      <c r="E73" s="39">
        <f>IF($D73="","",IFERROR(VLOOKUP($D73,AcctTbl,2,0),""))</f>
        <v>0</v>
      </c>
      <c r="F73" s="39">
        <f>IF($D73="","",IFERROR(VLOOKUP($D73,AcctTbl,3,0),""))</f>
        <v>0</v>
      </c>
      <c r="G73" s="39">
        <f>IF(Txn!$B43="","",Txn!$D43)</f>
        <v>0</v>
      </c>
      <c r="H73" s="38">
        <f>IF(Txn!$B43="","",Txn!$E43)</f>
        <v>0</v>
      </c>
      <c r="I73" s="40">
        <f>IF(Txn!$B43="",0,Txn!$O43)</f>
        <v>0</v>
      </c>
      <c r="J73" s="40">
        <f>IF(Txn!$B43="",0,Txn!$P43)</f>
        <v>0</v>
      </c>
      <c r="K73" s="41">
        <f>IF($A73="","",IFERROR(VALUE(MID($A73,6,2)),""))</f>
        <v>0</v>
      </c>
      <c r="L73" s="39">
        <f>IF(Txn!$K43="","",Txn!$K43)</f>
        <v>0</v>
      </c>
      <c r="N73" s="42">
        <f>IF($D73="",0,COUNTIF(BankAccts,$D73))</f>
        <v>0</v>
      </c>
    </row>
    <row r="74" spans="1:14">
      <c r="A74" s="38">
        <f>IF(Txn!$B43="","",Txn!$B43)</f>
        <v>0</v>
      </c>
      <c r="B74" s="38">
        <f>IF(Txn!$B43="","",Txn!$C43)</f>
        <v>0</v>
      </c>
      <c r="C74" s="39">
        <f>IF(Txn!$B43="","","تراکنش بانکی")</f>
        <v>0</v>
      </c>
      <c r="D74" s="38">
        <f>IF(Txn!$B43="","",IF(IF(Txn!$U43="TRF",Txn!$Y43,Txn!$Z43)="","",IF(Txn!$U43="TRF",Txn!$Y43,Txn!$Z43)))</f>
        <v>0</v>
      </c>
      <c r="E74" s="39">
        <f>IF($D74="","",IFERROR(VLOOKUP($D74,AcctTbl,2,0),""))</f>
        <v>0</v>
      </c>
      <c r="F74" s="39">
        <f>IF($D74="","",IFERROR(VLOOKUP($D74,AcctTbl,3,0),""))</f>
        <v>0</v>
      </c>
      <c r="G74" s="39">
        <f>IF(Txn!$B43="","",Txn!$D43)</f>
        <v>0</v>
      </c>
      <c r="H74" s="38">
        <f>IF(Txn!$B43="","",Txn!$E43)</f>
        <v>0</v>
      </c>
      <c r="I74" s="40">
        <f>IF(Txn!$B43="",0,Txn!$Q43)</f>
        <v>0</v>
      </c>
      <c r="J74" s="40">
        <f>IF(Txn!$B43="",0,Txn!$R43)</f>
        <v>0</v>
      </c>
      <c r="K74" s="41">
        <f>IF($A74="","",IFERROR(VALUE(MID($A74,6,2)),""))</f>
        <v>0</v>
      </c>
      <c r="L74" s="39">
        <f>IF(Txn!$K43="","","طرف مقابل — "&amp;Txn!$K43)</f>
        <v>0</v>
      </c>
      <c r="N74" s="42">
        <f>IF($D74="",0,COUNTIF(BankAccts,$D74))</f>
        <v>0</v>
      </c>
    </row>
    <row r="75" spans="1:14">
      <c r="A75" s="38">
        <f>IF(Txn!$B44="","",Txn!$B44)</f>
        <v>0</v>
      </c>
      <c r="B75" s="38">
        <f>IF(Txn!$B44="","",Txn!$C44)</f>
        <v>0</v>
      </c>
      <c r="C75" s="39">
        <f>IF(Txn!$B44="","","تراکنش بانکی")</f>
        <v>0</v>
      </c>
      <c r="D75" s="38">
        <f>IF(Txn!$B44="","",IF(Txn!$X44="","",Txn!$X44))</f>
        <v>0</v>
      </c>
      <c r="E75" s="39">
        <f>IF($D75="","",IFERROR(VLOOKUP($D75,AcctTbl,2,0),""))</f>
        <v>0</v>
      </c>
      <c r="F75" s="39">
        <f>IF($D75="","",IFERROR(VLOOKUP($D75,AcctTbl,3,0),""))</f>
        <v>0</v>
      </c>
      <c r="G75" s="39">
        <f>IF(Txn!$B44="","",Txn!$D44)</f>
        <v>0</v>
      </c>
      <c r="H75" s="38">
        <f>IF(Txn!$B44="","",Txn!$E44)</f>
        <v>0</v>
      </c>
      <c r="I75" s="40">
        <f>IF(Txn!$B44="",0,Txn!$O44)</f>
        <v>0</v>
      </c>
      <c r="J75" s="40">
        <f>IF(Txn!$B44="",0,Txn!$P44)</f>
        <v>0</v>
      </c>
      <c r="K75" s="41">
        <f>IF($A75="","",IFERROR(VALUE(MID($A75,6,2)),""))</f>
        <v>0</v>
      </c>
      <c r="L75" s="39">
        <f>IF(Txn!$K44="","",Txn!$K44)</f>
        <v>0</v>
      </c>
      <c r="N75" s="42">
        <f>IF($D75="",0,COUNTIF(BankAccts,$D75))</f>
        <v>0</v>
      </c>
    </row>
    <row r="76" spans="1:14">
      <c r="A76" s="38">
        <f>IF(Txn!$B44="","",Txn!$B44)</f>
        <v>0</v>
      </c>
      <c r="B76" s="38">
        <f>IF(Txn!$B44="","",Txn!$C44)</f>
        <v>0</v>
      </c>
      <c r="C76" s="39">
        <f>IF(Txn!$B44="","","تراکنش بانکی")</f>
        <v>0</v>
      </c>
      <c r="D76" s="38">
        <f>IF(Txn!$B44="","",IF(IF(Txn!$U44="TRF",Txn!$Y44,Txn!$Z44)="","",IF(Txn!$U44="TRF",Txn!$Y44,Txn!$Z44)))</f>
        <v>0</v>
      </c>
      <c r="E76" s="39">
        <f>IF($D76="","",IFERROR(VLOOKUP($D76,AcctTbl,2,0),""))</f>
        <v>0</v>
      </c>
      <c r="F76" s="39">
        <f>IF($D76="","",IFERROR(VLOOKUP($D76,AcctTbl,3,0),""))</f>
        <v>0</v>
      </c>
      <c r="G76" s="39">
        <f>IF(Txn!$B44="","",Txn!$D44)</f>
        <v>0</v>
      </c>
      <c r="H76" s="38">
        <f>IF(Txn!$B44="","",Txn!$E44)</f>
        <v>0</v>
      </c>
      <c r="I76" s="40">
        <f>IF(Txn!$B44="",0,Txn!$Q44)</f>
        <v>0</v>
      </c>
      <c r="J76" s="40">
        <f>IF(Txn!$B44="",0,Txn!$R44)</f>
        <v>0</v>
      </c>
      <c r="K76" s="41">
        <f>IF($A76="","",IFERROR(VALUE(MID($A76,6,2)),""))</f>
        <v>0</v>
      </c>
      <c r="L76" s="39">
        <f>IF(Txn!$K44="","","طرف مقابل — "&amp;Txn!$K44)</f>
        <v>0</v>
      </c>
      <c r="N76" s="42">
        <f>IF($D76="",0,COUNTIF(BankAccts,$D76))</f>
        <v>0</v>
      </c>
    </row>
    <row r="77" spans="1:14">
      <c r="A77" s="38">
        <f>IF(Txn!$B45="","",Txn!$B45)</f>
        <v>0</v>
      </c>
      <c r="B77" s="38">
        <f>IF(Txn!$B45="","",Txn!$C45)</f>
        <v>0</v>
      </c>
      <c r="C77" s="39">
        <f>IF(Txn!$B45="","","تراکنش بانکی")</f>
        <v>0</v>
      </c>
      <c r="D77" s="38">
        <f>IF(Txn!$B45="","",IF(Txn!$X45="","",Txn!$X45))</f>
        <v>0</v>
      </c>
      <c r="E77" s="39">
        <f>IF($D77="","",IFERROR(VLOOKUP($D77,AcctTbl,2,0),""))</f>
        <v>0</v>
      </c>
      <c r="F77" s="39">
        <f>IF($D77="","",IFERROR(VLOOKUP($D77,AcctTbl,3,0),""))</f>
        <v>0</v>
      </c>
      <c r="G77" s="39">
        <f>IF(Txn!$B45="","",Txn!$D45)</f>
        <v>0</v>
      </c>
      <c r="H77" s="38">
        <f>IF(Txn!$B45="","",Txn!$E45)</f>
        <v>0</v>
      </c>
      <c r="I77" s="40">
        <f>IF(Txn!$B45="",0,Txn!$O45)</f>
        <v>0</v>
      </c>
      <c r="J77" s="40">
        <f>IF(Txn!$B45="",0,Txn!$P45)</f>
        <v>0</v>
      </c>
      <c r="K77" s="41">
        <f>IF($A77="","",IFERROR(VALUE(MID($A77,6,2)),""))</f>
        <v>0</v>
      </c>
      <c r="L77" s="39">
        <f>IF(Txn!$K45="","",Txn!$K45)</f>
        <v>0</v>
      </c>
      <c r="N77" s="42">
        <f>IF($D77="",0,COUNTIF(BankAccts,$D77))</f>
        <v>0</v>
      </c>
    </row>
    <row r="78" spans="1:14">
      <c r="A78" s="38">
        <f>IF(Txn!$B45="","",Txn!$B45)</f>
        <v>0</v>
      </c>
      <c r="B78" s="38">
        <f>IF(Txn!$B45="","",Txn!$C45)</f>
        <v>0</v>
      </c>
      <c r="C78" s="39">
        <f>IF(Txn!$B45="","","تراکنش بانکی")</f>
        <v>0</v>
      </c>
      <c r="D78" s="38">
        <f>IF(Txn!$B45="","",IF(IF(Txn!$U45="TRF",Txn!$Y45,Txn!$Z45)="","",IF(Txn!$U45="TRF",Txn!$Y45,Txn!$Z45)))</f>
        <v>0</v>
      </c>
      <c r="E78" s="39">
        <f>IF($D78="","",IFERROR(VLOOKUP($D78,AcctTbl,2,0),""))</f>
        <v>0</v>
      </c>
      <c r="F78" s="39">
        <f>IF($D78="","",IFERROR(VLOOKUP($D78,AcctTbl,3,0),""))</f>
        <v>0</v>
      </c>
      <c r="G78" s="39">
        <f>IF(Txn!$B45="","",Txn!$D45)</f>
        <v>0</v>
      </c>
      <c r="H78" s="38">
        <f>IF(Txn!$B45="","",Txn!$E45)</f>
        <v>0</v>
      </c>
      <c r="I78" s="40">
        <f>IF(Txn!$B45="",0,Txn!$Q45)</f>
        <v>0</v>
      </c>
      <c r="J78" s="40">
        <f>IF(Txn!$B45="",0,Txn!$R45)</f>
        <v>0</v>
      </c>
      <c r="K78" s="41">
        <f>IF($A78="","",IFERROR(VALUE(MID($A78,6,2)),""))</f>
        <v>0</v>
      </c>
      <c r="L78" s="39">
        <f>IF(Txn!$K45="","","طرف مقابل — "&amp;Txn!$K45)</f>
        <v>0</v>
      </c>
      <c r="N78" s="42">
        <f>IF($D78="",0,COUNTIF(BankAccts,$D78))</f>
        <v>0</v>
      </c>
    </row>
    <row r="79" spans="1:14">
      <c r="A79" s="38">
        <f>IF(Txn!$B46="","",Txn!$B46)</f>
        <v>0</v>
      </c>
      <c r="B79" s="38">
        <f>IF(Txn!$B46="","",Txn!$C46)</f>
        <v>0</v>
      </c>
      <c r="C79" s="39">
        <f>IF(Txn!$B46="","","تراکنش بانکی")</f>
        <v>0</v>
      </c>
      <c r="D79" s="38">
        <f>IF(Txn!$B46="","",IF(Txn!$X46="","",Txn!$X46))</f>
        <v>0</v>
      </c>
      <c r="E79" s="39">
        <f>IF($D79="","",IFERROR(VLOOKUP($D79,AcctTbl,2,0),""))</f>
        <v>0</v>
      </c>
      <c r="F79" s="39">
        <f>IF($D79="","",IFERROR(VLOOKUP($D79,AcctTbl,3,0),""))</f>
        <v>0</v>
      </c>
      <c r="G79" s="39">
        <f>IF(Txn!$B46="","",Txn!$D46)</f>
        <v>0</v>
      </c>
      <c r="H79" s="38">
        <f>IF(Txn!$B46="","",Txn!$E46)</f>
        <v>0</v>
      </c>
      <c r="I79" s="40">
        <f>IF(Txn!$B46="",0,Txn!$O46)</f>
        <v>0</v>
      </c>
      <c r="J79" s="40">
        <f>IF(Txn!$B46="",0,Txn!$P46)</f>
        <v>0</v>
      </c>
      <c r="K79" s="41">
        <f>IF($A79="","",IFERROR(VALUE(MID($A79,6,2)),""))</f>
        <v>0</v>
      </c>
      <c r="L79" s="39">
        <f>IF(Txn!$K46="","",Txn!$K46)</f>
        <v>0</v>
      </c>
      <c r="N79" s="42">
        <f>IF($D79="",0,COUNTIF(BankAccts,$D79))</f>
        <v>0</v>
      </c>
    </row>
    <row r="80" spans="1:14">
      <c r="A80" s="38">
        <f>IF(Txn!$B46="","",Txn!$B46)</f>
        <v>0</v>
      </c>
      <c r="B80" s="38">
        <f>IF(Txn!$B46="","",Txn!$C46)</f>
        <v>0</v>
      </c>
      <c r="C80" s="39">
        <f>IF(Txn!$B46="","","تراکنش بانکی")</f>
        <v>0</v>
      </c>
      <c r="D80" s="38">
        <f>IF(Txn!$B46="","",IF(IF(Txn!$U46="TRF",Txn!$Y46,Txn!$Z46)="","",IF(Txn!$U46="TRF",Txn!$Y46,Txn!$Z46)))</f>
        <v>0</v>
      </c>
      <c r="E80" s="39">
        <f>IF($D80="","",IFERROR(VLOOKUP($D80,AcctTbl,2,0),""))</f>
        <v>0</v>
      </c>
      <c r="F80" s="39">
        <f>IF($D80="","",IFERROR(VLOOKUP($D80,AcctTbl,3,0),""))</f>
        <v>0</v>
      </c>
      <c r="G80" s="39">
        <f>IF(Txn!$B46="","",Txn!$D46)</f>
        <v>0</v>
      </c>
      <c r="H80" s="38">
        <f>IF(Txn!$B46="","",Txn!$E46)</f>
        <v>0</v>
      </c>
      <c r="I80" s="40">
        <f>IF(Txn!$B46="",0,Txn!$Q46)</f>
        <v>0</v>
      </c>
      <c r="J80" s="40">
        <f>IF(Txn!$B46="",0,Txn!$R46)</f>
        <v>0</v>
      </c>
      <c r="K80" s="41">
        <f>IF($A80="","",IFERROR(VALUE(MID($A80,6,2)),""))</f>
        <v>0</v>
      </c>
      <c r="L80" s="39">
        <f>IF(Txn!$K46="","","طرف مقابل — "&amp;Txn!$K46)</f>
        <v>0</v>
      </c>
      <c r="N80" s="42">
        <f>IF($D80="",0,COUNTIF(BankAccts,$D80))</f>
        <v>0</v>
      </c>
    </row>
    <row r="81" spans="1:14">
      <c r="A81" s="38">
        <f>IF(Txn!$B47="","",Txn!$B47)</f>
        <v>0</v>
      </c>
      <c r="B81" s="38">
        <f>IF(Txn!$B47="","",Txn!$C47)</f>
        <v>0</v>
      </c>
      <c r="C81" s="39">
        <f>IF(Txn!$B47="","","تراکنش بانکی")</f>
        <v>0</v>
      </c>
      <c r="D81" s="38">
        <f>IF(Txn!$B47="","",IF(Txn!$X47="","",Txn!$X47))</f>
        <v>0</v>
      </c>
      <c r="E81" s="39">
        <f>IF($D81="","",IFERROR(VLOOKUP($D81,AcctTbl,2,0),""))</f>
        <v>0</v>
      </c>
      <c r="F81" s="39">
        <f>IF($D81="","",IFERROR(VLOOKUP($D81,AcctTbl,3,0),""))</f>
        <v>0</v>
      </c>
      <c r="G81" s="39">
        <f>IF(Txn!$B47="","",Txn!$D47)</f>
        <v>0</v>
      </c>
      <c r="H81" s="38">
        <f>IF(Txn!$B47="","",Txn!$E47)</f>
        <v>0</v>
      </c>
      <c r="I81" s="40">
        <f>IF(Txn!$B47="",0,Txn!$O47)</f>
        <v>0</v>
      </c>
      <c r="J81" s="40">
        <f>IF(Txn!$B47="",0,Txn!$P47)</f>
        <v>0</v>
      </c>
      <c r="K81" s="41">
        <f>IF($A81="","",IFERROR(VALUE(MID($A81,6,2)),""))</f>
        <v>0</v>
      </c>
      <c r="L81" s="39">
        <f>IF(Txn!$K47="","",Txn!$K47)</f>
        <v>0</v>
      </c>
      <c r="N81" s="42">
        <f>IF($D81="",0,COUNTIF(BankAccts,$D81))</f>
        <v>0</v>
      </c>
    </row>
    <row r="82" spans="1:14">
      <c r="A82" s="38">
        <f>IF(Txn!$B47="","",Txn!$B47)</f>
        <v>0</v>
      </c>
      <c r="B82" s="38">
        <f>IF(Txn!$B47="","",Txn!$C47)</f>
        <v>0</v>
      </c>
      <c r="C82" s="39">
        <f>IF(Txn!$B47="","","تراکنش بانکی")</f>
        <v>0</v>
      </c>
      <c r="D82" s="38">
        <f>IF(Txn!$B47="","",IF(IF(Txn!$U47="TRF",Txn!$Y47,Txn!$Z47)="","",IF(Txn!$U47="TRF",Txn!$Y47,Txn!$Z47)))</f>
        <v>0</v>
      </c>
      <c r="E82" s="39">
        <f>IF($D82="","",IFERROR(VLOOKUP($D82,AcctTbl,2,0),""))</f>
        <v>0</v>
      </c>
      <c r="F82" s="39">
        <f>IF($D82="","",IFERROR(VLOOKUP($D82,AcctTbl,3,0),""))</f>
        <v>0</v>
      </c>
      <c r="G82" s="39">
        <f>IF(Txn!$B47="","",Txn!$D47)</f>
        <v>0</v>
      </c>
      <c r="H82" s="38">
        <f>IF(Txn!$B47="","",Txn!$E47)</f>
        <v>0</v>
      </c>
      <c r="I82" s="40">
        <f>IF(Txn!$B47="",0,Txn!$Q47)</f>
        <v>0</v>
      </c>
      <c r="J82" s="40">
        <f>IF(Txn!$B47="",0,Txn!$R47)</f>
        <v>0</v>
      </c>
      <c r="K82" s="41">
        <f>IF($A82="","",IFERROR(VALUE(MID($A82,6,2)),""))</f>
        <v>0</v>
      </c>
      <c r="L82" s="39">
        <f>IF(Txn!$K47="","","طرف مقابل — "&amp;Txn!$K47)</f>
        <v>0</v>
      </c>
      <c r="N82" s="42">
        <f>IF($D82="",0,COUNTIF(BankAccts,$D82))</f>
        <v>0</v>
      </c>
    </row>
    <row r="83" spans="1:14">
      <c r="A83" s="38">
        <f>IF(Txn!$B48="","",Txn!$B48)</f>
        <v>0</v>
      </c>
      <c r="B83" s="38">
        <f>IF(Txn!$B48="","",Txn!$C48)</f>
        <v>0</v>
      </c>
      <c r="C83" s="39">
        <f>IF(Txn!$B48="","","تراکنش بانکی")</f>
        <v>0</v>
      </c>
      <c r="D83" s="38">
        <f>IF(Txn!$B48="","",IF(Txn!$X48="","",Txn!$X48))</f>
        <v>0</v>
      </c>
      <c r="E83" s="39">
        <f>IF($D83="","",IFERROR(VLOOKUP($D83,AcctTbl,2,0),""))</f>
        <v>0</v>
      </c>
      <c r="F83" s="39">
        <f>IF($D83="","",IFERROR(VLOOKUP($D83,AcctTbl,3,0),""))</f>
        <v>0</v>
      </c>
      <c r="G83" s="39">
        <f>IF(Txn!$B48="","",Txn!$D48)</f>
        <v>0</v>
      </c>
      <c r="H83" s="38">
        <f>IF(Txn!$B48="","",Txn!$E48)</f>
        <v>0</v>
      </c>
      <c r="I83" s="40">
        <f>IF(Txn!$B48="",0,Txn!$O48)</f>
        <v>0</v>
      </c>
      <c r="J83" s="40">
        <f>IF(Txn!$B48="",0,Txn!$P48)</f>
        <v>0</v>
      </c>
      <c r="K83" s="41">
        <f>IF($A83="","",IFERROR(VALUE(MID($A83,6,2)),""))</f>
        <v>0</v>
      </c>
      <c r="L83" s="39">
        <f>IF(Txn!$K48="","",Txn!$K48)</f>
        <v>0</v>
      </c>
      <c r="N83" s="42">
        <f>IF($D83="",0,COUNTIF(BankAccts,$D83))</f>
        <v>0</v>
      </c>
    </row>
    <row r="84" spans="1:14">
      <c r="A84" s="38">
        <f>IF(Txn!$B48="","",Txn!$B48)</f>
        <v>0</v>
      </c>
      <c r="B84" s="38">
        <f>IF(Txn!$B48="","",Txn!$C48)</f>
        <v>0</v>
      </c>
      <c r="C84" s="39">
        <f>IF(Txn!$B48="","","تراکنش بانکی")</f>
        <v>0</v>
      </c>
      <c r="D84" s="38">
        <f>IF(Txn!$B48="","",IF(IF(Txn!$U48="TRF",Txn!$Y48,Txn!$Z48)="","",IF(Txn!$U48="TRF",Txn!$Y48,Txn!$Z48)))</f>
        <v>0</v>
      </c>
      <c r="E84" s="39">
        <f>IF($D84="","",IFERROR(VLOOKUP($D84,AcctTbl,2,0),""))</f>
        <v>0</v>
      </c>
      <c r="F84" s="39">
        <f>IF($D84="","",IFERROR(VLOOKUP($D84,AcctTbl,3,0),""))</f>
        <v>0</v>
      </c>
      <c r="G84" s="39">
        <f>IF(Txn!$B48="","",Txn!$D48)</f>
        <v>0</v>
      </c>
      <c r="H84" s="38">
        <f>IF(Txn!$B48="","",Txn!$E48)</f>
        <v>0</v>
      </c>
      <c r="I84" s="40">
        <f>IF(Txn!$B48="",0,Txn!$Q48)</f>
        <v>0</v>
      </c>
      <c r="J84" s="40">
        <f>IF(Txn!$B48="",0,Txn!$R48)</f>
        <v>0</v>
      </c>
      <c r="K84" s="41">
        <f>IF($A84="","",IFERROR(VALUE(MID($A84,6,2)),""))</f>
        <v>0</v>
      </c>
      <c r="L84" s="39">
        <f>IF(Txn!$K48="","","طرف مقابل — "&amp;Txn!$K48)</f>
        <v>0</v>
      </c>
      <c r="N84" s="42">
        <f>IF($D84="",0,COUNTIF(BankAccts,$D84))</f>
        <v>0</v>
      </c>
    </row>
    <row r="85" spans="1:14">
      <c r="A85" s="38">
        <f>IF(Txn!$B49="","",Txn!$B49)</f>
        <v>0</v>
      </c>
      <c r="B85" s="38">
        <f>IF(Txn!$B49="","",Txn!$C49)</f>
        <v>0</v>
      </c>
      <c r="C85" s="39">
        <f>IF(Txn!$B49="","","تراکنش بانکی")</f>
        <v>0</v>
      </c>
      <c r="D85" s="38">
        <f>IF(Txn!$B49="","",IF(Txn!$X49="","",Txn!$X49))</f>
        <v>0</v>
      </c>
      <c r="E85" s="39">
        <f>IF($D85="","",IFERROR(VLOOKUP($D85,AcctTbl,2,0),""))</f>
        <v>0</v>
      </c>
      <c r="F85" s="39">
        <f>IF($D85="","",IFERROR(VLOOKUP($D85,AcctTbl,3,0),""))</f>
        <v>0</v>
      </c>
      <c r="G85" s="39">
        <f>IF(Txn!$B49="","",Txn!$D49)</f>
        <v>0</v>
      </c>
      <c r="H85" s="38">
        <f>IF(Txn!$B49="","",Txn!$E49)</f>
        <v>0</v>
      </c>
      <c r="I85" s="40">
        <f>IF(Txn!$B49="",0,Txn!$O49)</f>
        <v>0</v>
      </c>
      <c r="J85" s="40">
        <f>IF(Txn!$B49="",0,Txn!$P49)</f>
        <v>0</v>
      </c>
      <c r="K85" s="41">
        <f>IF($A85="","",IFERROR(VALUE(MID($A85,6,2)),""))</f>
        <v>0</v>
      </c>
      <c r="L85" s="39">
        <f>IF(Txn!$K49="","",Txn!$K49)</f>
        <v>0</v>
      </c>
      <c r="N85" s="42">
        <f>IF($D85="",0,COUNTIF(BankAccts,$D85))</f>
        <v>0</v>
      </c>
    </row>
    <row r="86" spans="1:14">
      <c r="A86" s="38">
        <f>IF(Txn!$B49="","",Txn!$B49)</f>
        <v>0</v>
      </c>
      <c r="B86" s="38">
        <f>IF(Txn!$B49="","",Txn!$C49)</f>
        <v>0</v>
      </c>
      <c r="C86" s="39">
        <f>IF(Txn!$B49="","","تراکنش بانکی")</f>
        <v>0</v>
      </c>
      <c r="D86" s="38">
        <f>IF(Txn!$B49="","",IF(IF(Txn!$U49="TRF",Txn!$Y49,Txn!$Z49)="","",IF(Txn!$U49="TRF",Txn!$Y49,Txn!$Z49)))</f>
        <v>0</v>
      </c>
      <c r="E86" s="39">
        <f>IF($D86="","",IFERROR(VLOOKUP($D86,AcctTbl,2,0),""))</f>
        <v>0</v>
      </c>
      <c r="F86" s="39">
        <f>IF($D86="","",IFERROR(VLOOKUP($D86,AcctTbl,3,0),""))</f>
        <v>0</v>
      </c>
      <c r="G86" s="39">
        <f>IF(Txn!$B49="","",Txn!$D49)</f>
        <v>0</v>
      </c>
      <c r="H86" s="38">
        <f>IF(Txn!$B49="","",Txn!$E49)</f>
        <v>0</v>
      </c>
      <c r="I86" s="40">
        <f>IF(Txn!$B49="",0,Txn!$Q49)</f>
        <v>0</v>
      </c>
      <c r="J86" s="40">
        <f>IF(Txn!$B49="",0,Txn!$R49)</f>
        <v>0</v>
      </c>
      <c r="K86" s="41">
        <f>IF($A86="","",IFERROR(VALUE(MID($A86,6,2)),""))</f>
        <v>0</v>
      </c>
      <c r="L86" s="39">
        <f>IF(Txn!$K49="","","طرف مقابل — "&amp;Txn!$K49)</f>
        <v>0</v>
      </c>
      <c r="N86" s="42">
        <f>IF($D86="",0,COUNTIF(BankAccts,$D86))</f>
        <v>0</v>
      </c>
    </row>
    <row r="87" spans="1:14">
      <c r="A87" s="38">
        <f>IF(Txn!$B50="","",Txn!$B50)</f>
        <v>0</v>
      </c>
      <c r="B87" s="38">
        <f>IF(Txn!$B50="","",Txn!$C50)</f>
        <v>0</v>
      </c>
      <c r="C87" s="39">
        <f>IF(Txn!$B50="","","تراکنش بانکی")</f>
        <v>0</v>
      </c>
      <c r="D87" s="38">
        <f>IF(Txn!$B50="","",IF(Txn!$X50="","",Txn!$X50))</f>
        <v>0</v>
      </c>
      <c r="E87" s="39">
        <f>IF($D87="","",IFERROR(VLOOKUP($D87,AcctTbl,2,0),""))</f>
        <v>0</v>
      </c>
      <c r="F87" s="39">
        <f>IF($D87="","",IFERROR(VLOOKUP($D87,AcctTbl,3,0),""))</f>
        <v>0</v>
      </c>
      <c r="G87" s="39">
        <f>IF(Txn!$B50="","",Txn!$D50)</f>
        <v>0</v>
      </c>
      <c r="H87" s="38">
        <f>IF(Txn!$B50="","",Txn!$E50)</f>
        <v>0</v>
      </c>
      <c r="I87" s="40">
        <f>IF(Txn!$B50="",0,Txn!$O50)</f>
        <v>0</v>
      </c>
      <c r="J87" s="40">
        <f>IF(Txn!$B50="",0,Txn!$P50)</f>
        <v>0</v>
      </c>
      <c r="K87" s="41">
        <f>IF($A87="","",IFERROR(VALUE(MID($A87,6,2)),""))</f>
        <v>0</v>
      </c>
      <c r="L87" s="39">
        <f>IF(Txn!$K50="","",Txn!$K50)</f>
        <v>0</v>
      </c>
      <c r="N87" s="42">
        <f>IF($D87="",0,COUNTIF(BankAccts,$D87))</f>
        <v>0</v>
      </c>
    </row>
    <row r="88" spans="1:14">
      <c r="A88" s="38">
        <f>IF(Txn!$B50="","",Txn!$B50)</f>
        <v>0</v>
      </c>
      <c r="B88" s="38">
        <f>IF(Txn!$B50="","",Txn!$C50)</f>
        <v>0</v>
      </c>
      <c r="C88" s="39">
        <f>IF(Txn!$B50="","","تراکنش بانکی")</f>
        <v>0</v>
      </c>
      <c r="D88" s="38">
        <f>IF(Txn!$B50="","",IF(IF(Txn!$U50="TRF",Txn!$Y50,Txn!$Z50)="","",IF(Txn!$U50="TRF",Txn!$Y50,Txn!$Z50)))</f>
        <v>0</v>
      </c>
      <c r="E88" s="39">
        <f>IF($D88="","",IFERROR(VLOOKUP($D88,AcctTbl,2,0),""))</f>
        <v>0</v>
      </c>
      <c r="F88" s="39">
        <f>IF($D88="","",IFERROR(VLOOKUP($D88,AcctTbl,3,0),""))</f>
        <v>0</v>
      </c>
      <c r="G88" s="39">
        <f>IF(Txn!$B50="","",Txn!$D50)</f>
        <v>0</v>
      </c>
      <c r="H88" s="38">
        <f>IF(Txn!$B50="","",Txn!$E50)</f>
        <v>0</v>
      </c>
      <c r="I88" s="40">
        <f>IF(Txn!$B50="",0,Txn!$Q50)</f>
        <v>0</v>
      </c>
      <c r="J88" s="40">
        <f>IF(Txn!$B50="",0,Txn!$R50)</f>
        <v>0</v>
      </c>
      <c r="K88" s="41">
        <f>IF($A88="","",IFERROR(VALUE(MID($A88,6,2)),""))</f>
        <v>0</v>
      </c>
      <c r="L88" s="39">
        <f>IF(Txn!$K50="","","طرف مقابل — "&amp;Txn!$K50)</f>
        <v>0</v>
      </c>
      <c r="N88" s="42">
        <f>IF($D88="",0,COUNTIF(BankAccts,$D88))</f>
        <v>0</v>
      </c>
    </row>
    <row r="89" spans="1:14">
      <c r="A89" s="38">
        <f>IF(Txn!$B51="","",Txn!$B51)</f>
        <v>0</v>
      </c>
      <c r="B89" s="38">
        <f>IF(Txn!$B51="","",Txn!$C51)</f>
        <v>0</v>
      </c>
      <c r="C89" s="39">
        <f>IF(Txn!$B51="","","تراکنش بانکی")</f>
        <v>0</v>
      </c>
      <c r="D89" s="38">
        <f>IF(Txn!$B51="","",IF(Txn!$X51="","",Txn!$X51))</f>
        <v>0</v>
      </c>
      <c r="E89" s="39">
        <f>IF($D89="","",IFERROR(VLOOKUP($D89,AcctTbl,2,0),""))</f>
        <v>0</v>
      </c>
      <c r="F89" s="39">
        <f>IF($D89="","",IFERROR(VLOOKUP($D89,AcctTbl,3,0),""))</f>
        <v>0</v>
      </c>
      <c r="G89" s="39">
        <f>IF(Txn!$B51="","",Txn!$D51)</f>
        <v>0</v>
      </c>
      <c r="H89" s="38">
        <f>IF(Txn!$B51="","",Txn!$E51)</f>
        <v>0</v>
      </c>
      <c r="I89" s="40">
        <f>IF(Txn!$B51="",0,Txn!$O51)</f>
        <v>0</v>
      </c>
      <c r="J89" s="40">
        <f>IF(Txn!$B51="",0,Txn!$P51)</f>
        <v>0</v>
      </c>
      <c r="K89" s="41">
        <f>IF($A89="","",IFERROR(VALUE(MID($A89,6,2)),""))</f>
        <v>0</v>
      </c>
      <c r="L89" s="39">
        <f>IF(Txn!$K51="","",Txn!$K51)</f>
        <v>0</v>
      </c>
      <c r="N89" s="42">
        <f>IF($D89="",0,COUNTIF(BankAccts,$D89))</f>
        <v>0</v>
      </c>
    </row>
    <row r="90" spans="1:14">
      <c r="A90" s="38">
        <f>IF(Txn!$B51="","",Txn!$B51)</f>
        <v>0</v>
      </c>
      <c r="B90" s="38">
        <f>IF(Txn!$B51="","",Txn!$C51)</f>
        <v>0</v>
      </c>
      <c r="C90" s="39">
        <f>IF(Txn!$B51="","","تراکنش بانکی")</f>
        <v>0</v>
      </c>
      <c r="D90" s="38">
        <f>IF(Txn!$B51="","",IF(IF(Txn!$U51="TRF",Txn!$Y51,Txn!$Z51)="","",IF(Txn!$U51="TRF",Txn!$Y51,Txn!$Z51)))</f>
        <v>0</v>
      </c>
      <c r="E90" s="39">
        <f>IF($D90="","",IFERROR(VLOOKUP($D90,AcctTbl,2,0),""))</f>
        <v>0</v>
      </c>
      <c r="F90" s="39">
        <f>IF($D90="","",IFERROR(VLOOKUP($D90,AcctTbl,3,0),""))</f>
        <v>0</v>
      </c>
      <c r="G90" s="39">
        <f>IF(Txn!$B51="","",Txn!$D51)</f>
        <v>0</v>
      </c>
      <c r="H90" s="38">
        <f>IF(Txn!$B51="","",Txn!$E51)</f>
        <v>0</v>
      </c>
      <c r="I90" s="40">
        <f>IF(Txn!$B51="",0,Txn!$Q51)</f>
        <v>0</v>
      </c>
      <c r="J90" s="40">
        <f>IF(Txn!$B51="",0,Txn!$R51)</f>
        <v>0</v>
      </c>
      <c r="K90" s="41">
        <f>IF($A90="","",IFERROR(VALUE(MID($A90,6,2)),""))</f>
        <v>0</v>
      </c>
      <c r="L90" s="39">
        <f>IF(Txn!$K51="","","طرف مقابل — "&amp;Txn!$K51)</f>
        <v>0</v>
      </c>
      <c r="N90" s="42">
        <f>IF($D90="",0,COUNTIF(BankAccts,$D90))</f>
        <v>0</v>
      </c>
    </row>
    <row r="91" spans="1:14">
      <c r="A91" s="38">
        <f>IF(Txn!$B52="","",Txn!$B52)</f>
        <v>0</v>
      </c>
      <c r="B91" s="38">
        <f>IF(Txn!$B52="","",Txn!$C52)</f>
        <v>0</v>
      </c>
      <c r="C91" s="39">
        <f>IF(Txn!$B52="","","تراکنش بانکی")</f>
        <v>0</v>
      </c>
      <c r="D91" s="38">
        <f>IF(Txn!$B52="","",IF(Txn!$X52="","",Txn!$X52))</f>
        <v>0</v>
      </c>
      <c r="E91" s="39">
        <f>IF($D91="","",IFERROR(VLOOKUP($D91,AcctTbl,2,0),""))</f>
        <v>0</v>
      </c>
      <c r="F91" s="39">
        <f>IF($D91="","",IFERROR(VLOOKUP($D91,AcctTbl,3,0),""))</f>
        <v>0</v>
      </c>
      <c r="G91" s="39">
        <f>IF(Txn!$B52="","",Txn!$D52)</f>
        <v>0</v>
      </c>
      <c r="H91" s="38">
        <f>IF(Txn!$B52="","",Txn!$E52)</f>
        <v>0</v>
      </c>
      <c r="I91" s="40">
        <f>IF(Txn!$B52="",0,Txn!$O52)</f>
        <v>0</v>
      </c>
      <c r="J91" s="40">
        <f>IF(Txn!$B52="",0,Txn!$P52)</f>
        <v>0</v>
      </c>
      <c r="K91" s="41">
        <f>IF($A91="","",IFERROR(VALUE(MID($A91,6,2)),""))</f>
        <v>0</v>
      </c>
      <c r="L91" s="39">
        <f>IF(Txn!$K52="","",Txn!$K52)</f>
        <v>0</v>
      </c>
      <c r="N91" s="42">
        <f>IF($D91="",0,COUNTIF(BankAccts,$D91))</f>
        <v>0</v>
      </c>
    </row>
    <row r="92" spans="1:14">
      <c r="A92" s="38">
        <f>IF(Txn!$B52="","",Txn!$B52)</f>
        <v>0</v>
      </c>
      <c r="B92" s="38">
        <f>IF(Txn!$B52="","",Txn!$C52)</f>
        <v>0</v>
      </c>
      <c r="C92" s="39">
        <f>IF(Txn!$B52="","","تراکنش بانکی")</f>
        <v>0</v>
      </c>
      <c r="D92" s="38">
        <f>IF(Txn!$B52="","",IF(IF(Txn!$U52="TRF",Txn!$Y52,Txn!$Z52)="","",IF(Txn!$U52="TRF",Txn!$Y52,Txn!$Z52)))</f>
        <v>0</v>
      </c>
      <c r="E92" s="39">
        <f>IF($D92="","",IFERROR(VLOOKUP($D92,AcctTbl,2,0),""))</f>
        <v>0</v>
      </c>
      <c r="F92" s="39">
        <f>IF($D92="","",IFERROR(VLOOKUP($D92,AcctTbl,3,0),""))</f>
        <v>0</v>
      </c>
      <c r="G92" s="39">
        <f>IF(Txn!$B52="","",Txn!$D52)</f>
        <v>0</v>
      </c>
      <c r="H92" s="38">
        <f>IF(Txn!$B52="","",Txn!$E52)</f>
        <v>0</v>
      </c>
      <c r="I92" s="40">
        <f>IF(Txn!$B52="",0,Txn!$Q52)</f>
        <v>0</v>
      </c>
      <c r="J92" s="40">
        <f>IF(Txn!$B52="",0,Txn!$R52)</f>
        <v>0</v>
      </c>
      <c r="K92" s="41">
        <f>IF($A92="","",IFERROR(VALUE(MID($A92,6,2)),""))</f>
        <v>0</v>
      </c>
      <c r="L92" s="39">
        <f>IF(Txn!$K52="","","طرف مقابل — "&amp;Txn!$K52)</f>
        <v>0</v>
      </c>
      <c r="N92" s="42">
        <f>IF($D92="",0,COUNTIF(BankAccts,$D92))</f>
        <v>0</v>
      </c>
    </row>
    <row r="93" spans="1:14">
      <c r="A93" s="38">
        <f>IF(Txn!$B53="","",Txn!$B53)</f>
        <v>0</v>
      </c>
      <c r="B93" s="38">
        <f>IF(Txn!$B53="","",Txn!$C53)</f>
        <v>0</v>
      </c>
      <c r="C93" s="39">
        <f>IF(Txn!$B53="","","تراکنش بانکی")</f>
        <v>0</v>
      </c>
      <c r="D93" s="38">
        <f>IF(Txn!$B53="","",IF(Txn!$X53="","",Txn!$X53))</f>
        <v>0</v>
      </c>
      <c r="E93" s="39">
        <f>IF($D93="","",IFERROR(VLOOKUP($D93,AcctTbl,2,0),""))</f>
        <v>0</v>
      </c>
      <c r="F93" s="39">
        <f>IF($D93="","",IFERROR(VLOOKUP($D93,AcctTbl,3,0),""))</f>
        <v>0</v>
      </c>
      <c r="G93" s="39">
        <f>IF(Txn!$B53="","",Txn!$D53)</f>
        <v>0</v>
      </c>
      <c r="H93" s="38">
        <f>IF(Txn!$B53="","",Txn!$E53)</f>
        <v>0</v>
      </c>
      <c r="I93" s="40">
        <f>IF(Txn!$B53="",0,Txn!$O53)</f>
        <v>0</v>
      </c>
      <c r="J93" s="40">
        <f>IF(Txn!$B53="",0,Txn!$P53)</f>
        <v>0</v>
      </c>
      <c r="K93" s="41">
        <f>IF($A93="","",IFERROR(VALUE(MID($A93,6,2)),""))</f>
        <v>0</v>
      </c>
      <c r="L93" s="39">
        <f>IF(Txn!$K53="","",Txn!$K53)</f>
        <v>0</v>
      </c>
      <c r="N93" s="42">
        <f>IF($D93="",0,COUNTIF(BankAccts,$D93))</f>
        <v>0</v>
      </c>
    </row>
    <row r="94" spans="1:14">
      <c r="A94" s="38">
        <f>IF(Txn!$B53="","",Txn!$B53)</f>
        <v>0</v>
      </c>
      <c r="B94" s="38">
        <f>IF(Txn!$B53="","",Txn!$C53)</f>
        <v>0</v>
      </c>
      <c r="C94" s="39">
        <f>IF(Txn!$B53="","","تراکنش بانکی")</f>
        <v>0</v>
      </c>
      <c r="D94" s="38">
        <f>IF(Txn!$B53="","",IF(IF(Txn!$U53="TRF",Txn!$Y53,Txn!$Z53)="","",IF(Txn!$U53="TRF",Txn!$Y53,Txn!$Z53)))</f>
        <v>0</v>
      </c>
      <c r="E94" s="39">
        <f>IF($D94="","",IFERROR(VLOOKUP($D94,AcctTbl,2,0),""))</f>
        <v>0</v>
      </c>
      <c r="F94" s="39">
        <f>IF($D94="","",IFERROR(VLOOKUP($D94,AcctTbl,3,0),""))</f>
        <v>0</v>
      </c>
      <c r="G94" s="39">
        <f>IF(Txn!$B53="","",Txn!$D53)</f>
        <v>0</v>
      </c>
      <c r="H94" s="38">
        <f>IF(Txn!$B53="","",Txn!$E53)</f>
        <v>0</v>
      </c>
      <c r="I94" s="40">
        <f>IF(Txn!$B53="",0,Txn!$Q53)</f>
        <v>0</v>
      </c>
      <c r="J94" s="40">
        <f>IF(Txn!$B53="",0,Txn!$R53)</f>
        <v>0</v>
      </c>
      <c r="K94" s="41">
        <f>IF($A94="","",IFERROR(VALUE(MID($A94,6,2)),""))</f>
        <v>0</v>
      </c>
      <c r="L94" s="39">
        <f>IF(Txn!$K53="","","طرف مقابل — "&amp;Txn!$K53)</f>
        <v>0</v>
      </c>
      <c r="N94" s="42">
        <f>IF($D94="",0,COUNTIF(BankAccts,$D94))</f>
        <v>0</v>
      </c>
    </row>
    <row r="95" spans="1:14">
      <c r="A95" s="38">
        <f>IF(Txn!$B54="","",Txn!$B54)</f>
        <v>0</v>
      </c>
      <c r="B95" s="38">
        <f>IF(Txn!$B54="","",Txn!$C54)</f>
        <v>0</v>
      </c>
      <c r="C95" s="39">
        <f>IF(Txn!$B54="","","تراکنش بانکی")</f>
        <v>0</v>
      </c>
      <c r="D95" s="38">
        <f>IF(Txn!$B54="","",IF(Txn!$X54="","",Txn!$X54))</f>
        <v>0</v>
      </c>
      <c r="E95" s="39">
        <f>IF($D95="","",IFERROR(VLOOKUP($D95,AcctTbl,2,0),""))</f>
        <v>0</v>
      </c>
      <c r="F95" s="39">
        <f>IF($D95="","",IFERROR(VLOOKUP($D95,AcctTbl,3,0),""))</f>
        <v>0</v>
      </c>
      <c r="G95" s="39">
        <f>IF(Txn!$B54="","",Txn!$D54)</f>
        <v>0</v>
      </c>
      <c r="H95" s="38">
        <f>IF(Txn!$B54="","",Txn!$E54)</f>
        <v>0</v>
      </c>
      <c r="I95" s="40">
        <f>IF(Txn!$B54="",0,Txn!$O54)</f>
        <v>0</v>
      </c>
      <c r="J95" s="40">
        <f>IF(Txn!$B54="",0,Txn!$P54)</f>
        <v>0</v>
      </c>
      <c r="K95" s="41">
        <f>IF($A95="","",IFERROR(VALUE(MID($A95,6,2)),""))</f>
        <v>0</v>
      </c>
      <c r="L95" s="39">
        <f>IF(Txn!$K54="","",Txn!$K54)</f>
        <v>0</v>
      </c>
      <c r="N95" s="42">
        <f>IF($D95="",0,COUNTIF(BankAccts,$D95))</f>
        <v>0</v>
      </c>
    </row>
    <row r="96" spans="1:14">
      <c r="A96" s="38">
        <f>IF(Txn!$B54="","",Txn!$B54)</f>
        <v>0</v>
      </c>
      <c r="B96" s="38">
        <f>IF(Txn!$B54="","",Txn!$C54)</f>
        <v>0</v>
      </c>
      <c r="C96" s="39">
        <f>IF(Txn!$B54="","","تراکنش بانکی")</f>
        <v>0</v>
      </c>
      <c r="D96" s="38">
        <f>IF(Txn!$B54="","",IF(IF(Txn!$U54="TRF",Txn!$Y54,Txn!$Z54)="","",IF(Txn!$U54="TRF",Txn!$Y54,Txn!$Z54)))</f>
        <v>0</v>
      </c>
      <c r="E96" s="39">
        <f>IF($D96="","",IFERROR(VLOOKUP($D96,AcctTbl,2,0),""))</f>
        <v>0</v>
      </c>
      <c r="F96" s="39">
        <f>IF($D96="","",IFERROR(VLOOKUP($D96,AcctTbl,3,0),""))</f>
        <v>0</v>
      </c>
      <c r="G96" s="39">
        <f>IF(Txn!$B54="","",Txn!$D54)</f>
        <v>0</v>
      </c>
      <c r="H96" s="38">
        <f>IF(Txn!$B54="","",Txn!$E54)</f>
        <v>0</v>
      </c>
      <c r="I96" s="40">
        <f>IF(Txn!$B54="",0,Txn!$Q54)</f>
        <v>0</v>
      </c>
      <c r="J96" s="40">
        <f>IF(Txn!$B54="",0,Txn!$R54)</f>
        <v>0</v>
      </c>
      <c r="K96" s="41">
        <f>IF($A96="","",IFERROR(VALUE(MID($A96,6,2)),""))</f>
        <v>0</v>
      </c>
      <c r="L96" s="39">
        <f>IF(Txn!$K54="","","طرف مقابل — "&amp;Txn!$K54)</f>
        <v>0</v>
      </c>
      <c r="N96" s="42">
        <f>IF($D96="",0,COUNTIF(BankAccts,$D96))</f>
        <v>0</v>
      </c>
    </row>
    <row r="97" spans="1:14">
      <c r="A97" s="38">
        <f>IF(Txn!$B55="","",Txn!$B55)</f>
        <v>0</v>
      </c>
      <c r="B97" s="38">
        <f>IF(Txn!$B55="","",Txn!$C55)</f>
        <v>0</v>
      </c>
      <c r="C97" s="39">
        <f>IF(Txn!$B55="","","تراکنش بانکی")</f>
        <v>0</v>
      </c>
      <c r="D97" s="38">
        <f>IF(Txn!$B55="","",IF(Txn!$X55="","",Txn!$X55))</f>
        <v>0</v>
      </c>
      <c r="E97" s="39">
        <f>IF($D97="","",IFERROR(VLOOKUP($D97,AcctTbl,2,0),""))</f>
        <v>0</v>
      </c>
      <c r="F97" s="39">
        <f>IF($D97="","",IFERROR(VLOOKUP($D97,AcctTbl,3,0),""))</f>
        <v>0</v>
      </c>
      <c r="G97" s="39">
        <f>IF(Txn!$B55="","",Txn!$D55)</f>
        <v>0</v>
      </c>
      <c r="H97" s="38">
        <f>IF(Txn!$B55="","",Txn!$E55)</f>
        <v>0</v>
      </c>
      <c r="I97" s="40">
        <f>IF(Txn!$B55="",0,Txn!$O55)</f>
        <v>0</v>
      </c>
      <c r="J97" s="40">
        <f>IF(Txn!$B55="",0,Txn!$P55)</f>
        <v>0</v>
      </c>
      <c r="K97" s="41">
        <f>IF($A97="","",IFERROR(VALUE(MID($A97,6,2)),""))</f>
        <v>0</v>
      </c>
      <c r="L97" s="39">
        <f>IF(Txn!$K55="","",Txn!$K55)</f>
        <v>0</v>
      </c>
      <c r="N97" s="42">
        <f>IF($D97="",0,COUNTIF(BankAccts,$D97))</f>
        <v>0</v>
      </c>
    </row>
    <row r="98" spans="1:14">
      <c r="A98" s="38">
        <f>IF(Txn!$B55="","",Txn!$B55)</f>
        <v>0</v>
      </c>
      <c r="B98" s="38">
        <f>IF(Txn!$B55="","",Txn!$C55)</f>
        <v>0</v>
      </c>
      <c r="C98" s="39">
        <f>IF(Txn!$B55="","","تراکنش بانکی")</f>
        <v>0</v>
      </c>
      <c r="D98" s="38">
        <f>IF(Txn!$B55="","",IF(IF(Txn!$U55="TRF",Txn!$Y55,Txn!$Z55)="","",IF(Txn!$U55="TRF",Txn!$Y55,Txn!$Z55)))</f>
        <v>0</v>
      </c>
      <c r="E98" s="39">
        <f>IF($D98="","",IFERROR(VLOOKUP($D98,AcctTbl,2,0),""))</f>
        <v>0</v>
      </c>
      <c r="F98" s="39">
        <f>IF($D98="","",IFERROR(VLOOKUP($D98,AcctTbl,3,0),""))</f>
        <v>0</v>
      </c>
      <c r="G98" s="39">
        <f>IF(Txn!$B55="","",Txn!$D55)</f>
        <v>0</v>
      </c>
      <c r="H98" s="38">
        <f>IF(Txn!$B55="","",Txn!$E55)</f>
        <v>0</v>
      </c>
      <c r="I98" s="40">
        <f>IF(Txn!$B55="",0,Txn!$Q55)</f>
        <v>0</v>
      </c>
      <c r="J98" s="40">
        <f>IF(Txn!$B55="",0,Txn!$R55)</f>
        <v>0</v>
      </c>
      <c r="K98" s="41">
        <f>IF($A98="","",IFERROR(VALUE(MID($A98,6,2)),""))</f>
        <v>0</v>
      </c>
      <c r="L98" s="39">
        <f>IF(Txn!$K55="","","طرف مقابل — "&amp;Txn!$K55)</f>
        <v>0</v>
      </c>
      <c r="N98" s="42">
        <f>IF($D98="",0,COUNTIF(BankAccts,$D98))</f>
        <v>0</v>
      </c>
    </row>
    <row r="99" spans="1:14">
      <c r="A99" s="38">
        <f>IF(Txn!$B56="","",Txn!$B56)</f>
        <v>0</v>
      </c>
      <c r="B99" s="38">
        <f>IF(Txn!$B56="","",Txn!$C56)</f>
        <v>0</v>
      </c>
      <c r="C99" s="39">
        <f>IF(Txn!$B56="","","تراکنش بانکی")</f>
        <v>0</v>
      </c>
      <c r="D99" s="38">
        <f>IF(Txn!$B56="","",IF(Txn!$X56="","",Txn!$X56))</f>
        <v>0</v>
      </c>
      <c r="E99" s="39">
        <f>IF($D99="","",IFERROR(VLOOKUP($D99,AcctTbl,2,0),""))</f>
        <v>0</v>
      </c>
      <c r="F99" s="39">
        <f>IF($D99="","",IFERROR(VLOOKUP($D99,AcctTbl,3,0),""))</f>
        <v>0</v>
      </c>
      <c r="G99" s="39">
        <f>IF(Txn!$B56="","",Txn!$D56)</f>
        <v>0</v>
      </c>
      <c r="H99" s="38">
        <f>IF(Txn!$B56="","",Txn!$E56)</f>
        <v>0</v>
      </c>
      <c r="I99" s="40">
        <f>IF(Txn!$B56="",0,Txn!$O56)</f>
        <v>0</v>
      </c>
      <c r="J99" s="40">
        <f>IF(Txn!$B56="",0,Txn!$P56)</f>
        <v>0</v>
      </c>
      <c r="K99" s="41">
        <f>IF($A99="","",IFERROR(VALUE(MID($A99,6,2)),""))</f>
        <v>0</v>
      </c>
      <c r="L99" s="39">
        <f>IF(Txn!$K56="","",Txn!$K56)</f>
        <v>0</v>
      </c>
      <c r="N99" s="42">
        <f>IF($D99="",0,COUNTIF(BankAccts,$D99))</f>
        <v>0</v>
      </c>
    </row>
    <row r="100" spans="1:14">
      <c r="A100" s="38">
        <f>IF(Txn!$B56="","",Txn!$B56)</f>
        <v>0</v>
      </c>
      <c r="B100" s="38">
        <f>IF(Txn!$B56="","",Txn!$C56)</f>
        <v>0</v>
      </c>
      <c r="C100" s="39">
        <f>IF(Txn!$B56="","","تراکنش بانکی")</f>
        <v>0</v>
      </c>
      <c r="D100" s="38">
        <f>IF(Txn!$B56="","",IF(IF(Txn!$U56="TRF",Txn!$Y56,Txn!$Z56)="","",IF(Txn!$U56="TRF",Txn!$Y56,Txn!$Z56)))</f>
        <v>0</v>
      </c>
      <c r="E100" s="39">
        <f>IF($D100="","",IFERROR(VLOOKUP($D100,AcctTbl,2,0),""))</f>
        <v>0</v>
      </c>
      <c r="F100" s="39">
        <f>IF($D100="","",IFERROR(VLOOKUP($D100,AcctTbl,3,0),""))</f>
        <v>0</v>
      </c>
      <c r="G100" s="39">
        <f>IF(Txn!$B56="","",Txn!$D56)</f>
        <v>0</v>
      </c>
      <c r="H100" s="38">
        <f>IF(Txn!$B56="","",Txn!$E56)</f>
        <v>0</v>
      </c>
      <c r="I100" s="40">
        <f>IF(Txn!$B56="",0,Txn!$Q56)</f>
        <v>0</v>
      </c>
      <c r="J100" s="40">
        <f>IF(Txn!$B56="",0,Txn!$R56)</f>
        <v>0</v>
      </c>
      <c r="K100" s="41">
        <f>IF($A100="","",IFERROR(VALUE(MID($A100,6,2)),""))</f>
        <v>0</v>
      </c>
      <c r="L100" s="39">
        <f>IF(Txn!$K56="","","طرف مقابل — "&amp;Txn!$K56)</f>
        <v>0</v>
      </c>
      <c r="N100" s="42">
        <f>IF($D100="",0,COUNTIF(BankAccts,$D100))</f>
        <v>0</v>
      </c>
    </row>
    <row r="101" spans="1:14">
      <c r="A101" s="38">
        <f>IF(Txn!$B57="","",Txn!$B57)</f>
        <v>0</v>
      </c>
      <c r="B101" s="38">
        <f>IF(Txn!$B57="","",Txn!$C57)</f>
        <v>0</v>
      </c>
      <c r="C101" s="39">
        <f>IF(Txn!$B57="","","تراکنش بانکی")</f>
        <v>0</v>
      </c>
      <c r="D101" s="38">
        <f>IF(Txn!$B57="","",IF(Txn!$X57="","",Txn!$X57))</f>
        <v>0</v>
      </c>
      <c r="E101" s="39">
        <f>IF($D101="","",IFERROR(VLOOKUP($D101,AcctTbl,2,0),""))</f>
        <v>0</v>
      </c>
      <c r="F101" s="39">
        <f>IF($D101="","",IFERROR(VLOOKUP($D101,AcctTbl,3,0),""))</f>
        <v>0</v>
      </c>
      <c r="G101" s="39">
        <f>IF(Txn!$B57="","",Txn!$D57)</f>
        <v>0</v>
      </c>
      <c r="H101" s="38">
        <f>IF(Txn!$B57="","",Txn!$E57)</f>
        <v>0</v>
      </c>
      <c r="I101" s="40">
        <f>IF(Txn!$B57="",0,Txn!$O57)</f>
        <v>0</v>
      </c>
      <c r="J101" s="40">
        <f>IF(Txn!$B57="",0,Txn!$P57)</f>
        <v>0</v>
      </c>
      <c r="K101" s="41">
        <f>IF($A101="","",IFERROR(VALUE(MID($A101,6,2)),""))</f>
        <v>0</v>
      </c>
      <c r="L101" s="39">
        <f>IF(Txn!$K57="","",Txn!$K57)</f>
        <v>0</v>
      </c>
      <c r="N101" s="42">
        <f>IF($D101="",0,COUNTIF(BankAccts,$D101))</f>
        <v>0</v>
      </c>
    </row>
    <row r="102" spans="1:14">
      <c r="A102" s="38">
        <f>IF(Txn!$B57="","",Txn!$B57)</f>
        <v>0</v>
      </c>
      <c r="B102" s="38">
        <f>IF(Txn!$B57="","",Txn!$C57)</f>
        <v>0</v>
      </c>
      <c r="C102" s="39">
        <f>IF(Txn!$B57="","","تراکنش بانکی")</f>
        <v>0</v>
      </c>
      <c r="D102" s="38">
        <f>IF(Txn!$B57="","",IF(IF(Txn!$U57="TRF",Txn!$Y57,Txn!$Z57)="","",IF(Txn!$U57="TRF",Txn!$Y57,Txn!$Z57)))</f>
        <v>0</v>
      </c>
      <c r="E102" s="39">
        <f>IF($D102="","",IFERROR(VLOOKUP($D102,AcctTbl,2,0),""))</f>
        <v>0</v>
      </c>
      <c r="F102" s="39">
        <f>IF($D102="","",IFERROR(VLOOKUP($D102,AcctTbl,3,0),""))</f>
        <v>0</v>
      </c>
      <c r="G102" s="39">
        <f>IF(Txn!$B57="","",Txn!$D57)</f>
        <v>0</v>
      </c>
      <c r="H102" s="38">
        <f>IF(Txn!$B57="","",Txn!$E57)</f>
        <v>0</v>
      </c>
      <c r="I102" s="40">
        <f>IF(Txn!$B57="",0,Txn!$Q57)</f>
        <v>0</v>
      </c>
      <c r="J102" s="40">
        <f>IF(Txn!$B57="",0,Txn!$R57)</f>
        <v>0</v>
      </c>
      <c r="K102" s="41">
        <f>IF($A102="","",IFERROR(VALUE(MID($A102,6,2)),""))</f>
        <v>0</v>
      </c>
      <c r="L102" s="39">
        <f>IF(Txn!$K57="","","طرف مقابل — "&amp;Txn!$K57)</f>
        <v>0</v>
      </c>
      <c r="N102" s="42">
        <f>IF($D102="",0,COUNTIF(BankAccts,$D102))</f>
        <v>0</v>
      </c>
    </row>
    <row r="103" spans="1:14">
      <c r="A103" s="38">
        <f>IF(Txn!$B58="","",Txn!$B58)</f>
        <v>0</v>
      </c>
      <c r="B103" s="38">
        <f>IF(Txn!$B58="","",Txn!$C58)</f>
        <v>0</v>
      </c>
      <c r="C103" s="39">
        <f>IF(Txn!$B58="","","تراکنش بانکی")</f>
        <v>0</v>
      </c>
      <c r="D103" s="38">
        <f>IF(Txn!$B58="","",IF(Txn!$X58="","",Txn!$X58))</f>
        <v>0</v>
      </c>
      <c r="E103" s="39">
        <f>IF($D103="","",IFERROR(VLOOKUP($D103,AcctTbl,2,0),""))</f>
        <v>0</v>
      </c>
      <c r="F103" s="39">
        <f>IF($D103="","",IFERROR(VLOOKUP($D103,AcctTbl,3,0),""))</f>
        <v>0</v>
      </c>
      <c r="G103" s="39">
        <f>IF(Txn!$B58="","",Txn!$D58)</f>
        <v>0</v>
      </c>
      <c r="H103" s="38">
        <f>IF(Txn!$B58="","",Txn!$E58)</f>
        <v>0</v>
      </c>
      <c r="I103" s="40">
        <f>IF(Txn!$B58="",0,Txn!$O58)</f>
        <v>0</v>
      </c>
      <c r="J103" s="40">
        <f>IF(Txn!$B58="",0,Txn!$P58)</f>
        <v>0</v>
      </c>
      <c r="K103" s="41">
        <f>IF($A103="","",IFERROR(VALUE(MID($A103,6,2)),""))</f>
        <v>0</v>
      </c>
      <c r="L103" s="39">
        <f>IF(Txn!$K58="","",Txn!$K58)</f>
        <v>0</v>
      </c>
      <c r="N103" s="42">
        <f>IF($D103="",0,COUNTIF(BankAccts,$D103))</f>
        <v>0</v>
      </c>
    </row>
    <row r="104" spans="1:14">
      <c r="A104" s="38">
        <f>IF(Txn!$B58="","",Txn!$B58)</f>
        <v>0</v>
      </c>
      <c r="B104" s="38">
        <f>IF(Txn!$B58="","",Txn!$C58)</f>
        <v>0</v>
      </c>
      <c r="C104" s="39">
        <f>IF(Txn!$B58="","","تراکنش بانکی")</f>
        <v>0</v>
      </c>
      <c r="D104" s="38">
        <f>IF(Txn!$B58="","",IF(IF(Txn!$U58="TRF",Txn!$Y58,Txn!$Z58)="","",IF(Txn!$U58="TRF",Txn!$Y58,Txn!$Z58)))</f>
        <v>0</v>
      </c>
      <c r="E104" s="39">
        <f>IF($D104="","",IFERROR(VLOOKUP($D104,AcctTbl,2,0),""))</f>
        <v>0</v>
      </c>
      <c r="F104" s="39">
        <f>IF($D104="","",IFERROR(VLOOKUP($D104,AcctTbl,3,0),""))</f>
        <v>0</v>
      </c>
      <c r="G104" s="39">
        <f>IF(Txn!$B58="","",Txn!$D58)</f>
        <v>0</v>
      </c>
      <c r="H104" s="38">
        <f>IF(Txn!$B58="","",Txn!$E58)</f>
        <v>0</v>
      </c>
      <c r="I104" s="40">
        <f>IF(Txn!$B58="",0,Txn!$Q58)</f>
        <v>0</v>
      </c>
      <c r="J104" s="40">
        <f>IF(Txn!$B58="",0,Txn!$R58)</f>
        <v>0</v>
      </c>
      <c r="K104" s="41">
        <f>IF($A104="","",IFERROR(VALUE(MID($A104,6,2)),""))</f>
        <v>0</v>
      </c>
      <c r="L104" s="39">
        <f>IF(Txn!$K58="","","طرف مقابل — "&amp;Txn!$K58)</f>
        <v>0</v>
      </c>
      <c r="N104" s="42">
        <f>IF($D104="",0,COUNTIF(BankAccts,$D104))</f>
        <v>0</v>
      </c>
    </row>
    <row r="105" spans="1:14">
      <c r="A105" s="38">
        <f>IF(Txn!$B59="","",Txn!$B59)</f>
        <v>0</v>
      </c>
      <c r="B105" s="38">
        <f>IF(Txn!$B59="","",Txn!$C59)</f>
        <v>0</v>
      </c>
      <c r="C105" s="39">
        <f>IF(Txn!$B59="","","تراکنش بانکی")</f>
        <v>0</v>
      </c>
      <c r="D105" s="38">
        <f>IF(Txn!$B59="","",IF(Txn!$X59="","",Txn!$X59))</f>
        <v>0</v>
      </c>
      <c r="E105" s="39">
        <f>IF($D105="","",IFERROR(VLOOKUP($D105,AcctTbl,2,0),""))</f>
        <v>0</v>
      </c>
      <c r="F105" s="39">
        <f>IF($D105="","",IFERROR(VLOOKUP($D105,AcctTbl,3,0),""))</f>
        <v>0</v>
      </c>
      <c r="G105" s="39">
        <f>IF(Txn!$B59="","",Txn!$D59)</f>
        <v>0</v>
      </c>
      <c r="H105" s="38">
        <f>IF(Txn!$B59="","",Txn!$E59)</f>
        <v>0</v>
      </c>
      <c r="I105" s="40">
        <f>IF(Txn!$B59="",0,Txn!$O59)</f>
        <v>0</v>
      </c>
      <c r="J105" s="40">
        <f>IF(Txn!$B59="",0,Txn!$P59)</f>
        <v>0</v>
      </c>
      <c r="K105" s="41">
        <f>IF($A105="","",IFERROR(VALUE(MID($A105,6,2)),""))</f>
        <v>0</v>
      </c>
      <c r="L105" s="39">
        <f>IF(Txn!$K59="","",Txn!$K59)</f>
        <v>0</v>
      </c>
      <c r="N105" s="42">
        <f>IF($D105="",0,COUNTIF(BankAccts,$D105))</f>
        <v>0</v>
      </c>
    </row>
    <row r="106" spans="1:14">
      <c r="A106" s="38">
        <f>IF(Txn!$B59="","",Txn!$B59)</f>
        <v>0</v>
      </c>
      <c r="B106" s="38">
        <f>IF(Txn!$B59="","",Txn!$C59)</f>
        <v>0</v>
      </c>
      <c r="C106" s="39">
        <f>IF(Txn!$B59="","","تراکنش بانکی")</f>
        <v>0</v>
      </c>
      <c r="D106" s="38">
        <f>IF(Txn!$B59="","",IF(IF(Txn!$U59="TRF",Txn!$Y59,Txn!$Z59)="","",IF(Txn!$U59="TRF",Txn!$Y59,Txn!$Z59)))</f>
        <v>0</v>
      </c>
      <c r="E106" s="39">
        <f>IF($D106="","",IFERROR(VLOOKUP($D106,AcctTbl,2,0),""))</f>
        <v>0</v>
      </c>
      <c r="F106" s="39">
        <f>IF($D106="","",IFERROR(VLOOKUP($D106,AcctTbl,3,0),""))</f>
        <v>0</v>
      </c>
      <c r="G106" s="39">
        <f>IF(Txn!$B59="","",Txn!$D59)</f>
        <v>0</v>
      </c>
      <c r="H106" s="38">
        <f>IF(Txn!$B59="","",Txn!$E59)</f>
        <v>0</v>
      </c>
      <c r="I106" s="40">
        <f>IF(Txn!$B59="",0,Txn!$Q59)</f>
        <v>0</v>
      </c>
      <c r="J106" s="40">
        <f>IF(Txn!$B59="",0,Txn!$R59)</f>
        <v>0</v>
      </c>
      <c r="K106" s="41">
        <f>IF($A106="","",IFERROR(VALUE(MID($A106,6,2)),""))</f>
        <v>0</v>
      </c>
      <c r="L106" s="39">
        <f>IF(Txn!$K59="","","طرف مقابل — "&amp;Txn!$K59)</f>
        <v>0</v>
      </c>
      <c r="N106" s="42">
        <f>IF($D106="",0,COUNTIF(BankAccts,$D106))</f>
        <v>0</v>
      </c>
    </row>
    <row r="107" spans="1:14">
      <c r="A107" s="38">
        <f>IF(Txn!$B60="","",Txn!$B60)</f>
        <v>0</v>
      </c>
      <c r="B107" s="38">
        <f>IF(Txn!$B60="","",Txn!$C60)</f>
        <v>0</v>
      </c>
      <c r="C107" s="39">
        <f>IF(Txn!$B60="","","تراکنش بانکی")</f>
        <v>0</v>
      </c>
      <c r="D107" s="38">
        <f>IF(Txn!$B60="","",IF(Txn!$X60="","",Txn!$X60))</f>
        <v>0</v>
      </c>
      <c r="E107" s="39">
        <f>IF($D107="","",IFERROR(VLOOKUP($D107,AcctTbl,2,0),""))</f>
        <v>0</v>
      </c>
      <c r="F107" s="39">
        <f>IF($D107="","",IFERROR(VLOOKUP($D107,AcctTbl,3,0),""))</f>
        <v>0</v>
      </c>
      <c r="G107" s="39">
        <f>IF(Txn!$B60="","",Txn!$D60)</f>
        <v>0</v>
      </c>
      <c r="H107" s="38">
        <f>IF(Txn!$B60="","",Txn!$E60)</f>
        <v>0</v>
      </c>
      <c r="I107" s="40">
        <f>IF(Txn!$B60="",0,Txn!$O60)</f>
        <v>0</v>
      </c>
      <c r="J107" s="40">
        <f>IF(Txn!$B60="",0,Txn!$P60)</f>
        <v>0</v>
      </c>
      <c r="K107" s="41">
        <f>IF($A107="","",IFERROR(VALUE(MID($A107,6,2)),""))</f>
        <v>0</v>
      </c>
      <c r="L107" s="39">
        <f>IF(Txn!$K60="","",Txn!$K60)</f>
        <v>0</v>
      </c>
      <c r="N107" s="42">
        <f>IF($D107="",0,COUNTIF(BankAccts,$D107))</f>
        <v>0</v>
      </c>
    </row>
    <row r="108" spans="1:14">
      <c r="A108" s="38">
        <f>IF(Txn!$B60="","",Txn!$B60)</f>
        <v>0</v>
      </c>
      <c r="B108" s="38">
        <f>IF(Txn!$B60="","",Txn!$C60)</f>
        <v>0</v>
      </c>
      <c r="C108" s="39">
        <f>IF(Txn!$B60="","","تراکنش بانکی")</f>
        <v>0</v>
      </c>
      <c r="D108" s="38">
        <f>IF(Txn!$B60="","",IF(IF(Txn!$U60="TRF",Txn!$Y60,Txn!$Z60)="","",IF(Txn!$U60="TRF",Txn!$Y60,Txn!$Z60)))</f>
        <v>0</v>
      </c>
      <c r="E108" s="39">
        <f>IF($D108="","",IFERROR(VLOOKUP($D108,AcctTbl,2,0),""))</f>
        <v>0</v>
      </c>
      <c r="F108" s="39">
        <f>IF($D108="","",IFERROR(VLOOKUP($D108,AcctTbl,3,0),""))</f>
        <v>0</v>
      </c>
      <c r="G108" s="39">
        <f>IF(Txn!$B60="","",Txn!$D60)</f>
        <v>0</v>
      </c>
      <c r="H108" s="38">
        <f>IF(Txn!$B60="","",Txn!$E60)</f>
        <v>0</v>
      </c>
      <c r="I108" s="40">
        <f>IF(Txn!$B60="",0,Txn!$Q60)</f>
        <v>0</v>
      </c>
      <c r="J108" s="40">
        <f>IF(Txn!$B60="",0,Txn!$R60)</f>
        <v>0</v>
      </c>
      <c r="K108" s="41">
        <f>IF($A108="","",IFERROR(VALUE(MID($A108,6,2)),""))</f>
        <v>0</v>
      </c>
      <c r="L108" s="39">
        <f>IF(Txn!$K60="","","طرف مقابل — "&amp;Txn!$K60)</f>
        <v>0</v>
      </c>
      <c r="N108" s="42">
        <f>IF($D108="",0,COUNTIF(BankAccts,$D108))</f>
        <v>0</v>
      </c>
    </row>
    <row r="109" spans="1:14">
      <c r="A109" s="38">
        <f>IF(Txn!$B61="","",Txn!$B61)</f>
        <v>0</v>
      </c>
      <c r="B109" s="38">
        <f>IF(Txn!$B61="","",Txn!$C61)</f>
        <v>0</v>
      </c>
      <c r="C109" s="39">
        <f>IF(Txn!$B61="","","تراکنش بانکی")</f>
        <v>0</v>
      </c>
      <c r="D109" s="38">
        <f>IF(Txn!$B61="","",IF(Txn!$X61="","",Txn!$X61))</f>
        <v>0</v>
      </c>
      <c r="E109" s="39">
        <f>IF($D109="","",IFERROR(VLOOKUP($D109,AcctTbl,2,0),""))</f>
        <v>0</v>
      </c>
      <c r="F109" s="39">
        <f>IF($D109="","",IFERROR(VLOOKUP($D109,AcctTbl,3,0),""))</f>
        <v>0</v>
      </c>
      <c r="G109" s="39">
        <f>IF(Txn!$B61="","",Txn!$D61)</f>
        <v>0</v>
      </c>
      <c r="H109" s="38">
        <f>IF(Txn!$B61="","",Txn!$E61)</f>
        <v>0</v>
      </c>
      <c r="I109" s="40">
        <f>IF(Txn!$B61="",0,Txn!$O61)</f>
        <v>0</v>
      </c>
      <c r="J109" s="40">
        <f>IF(Txn!$B61="",0,Txn!$P61)</f>
        <v>0</v>
      </c>
      <c r="K109" s="41">
        <f>IF($A109="","",IFERROR(VALUE(MID($A109,6,2)),""))</f>
        <v>0</v>
      </c>
      <c r="L109" s="39">
        <f>IF(Txn!$K61="","",Txn!$K61)</f>
        <v>0</v>
      </c>
      <c r="N109" s="42">
        <f>IF($D109="",0,COUNTIF(BankAccts,$D109))</f>
        <v>0</v>
      </c>
    </row>
    <row r="110" spans="1:14">
      <c r="A110" s="38">
        <f>IF(Txn!$B61="","",Txn!$B61)</f>
        <v>0</v>
      </c>
      <c r="B110" s="38">
        <f>IF(Txn!$B61="","",Txn!$C61)</f>
        <v>0</v>
      </c>
      <c r="C110" s="39">
        <f>IF(Txn!$B61="","","تراکنش بانکی")</f>
        <v>0</v>
      </c>
      <c r="D110" s="38">
        <f>IF(Txn!$B61="","",IF(IF(Txn!$U61="TRF",Txn!$Y61,Txn!$Z61)="","",IF(Txn!$U61="TRF",Txn!$Y61,Txn!$Z61)))</f>
        <v>0</v>
      </c>
      <c r="E110" s="39">
        <f>IF($D110="","",IFERROR(VLOOKUP($D110,AcctTbl,2,0),""))</f>
        <v>0</v>
      </c>
      <c r="F110" s="39">
        <f>IF($D110="","",IFERROR(VLOOKUP($D110,AcctTbl,3,0),""))</f>
        <v>0</v>
      </c>
      <c r="G110" s="39">
        <f>IF(Txn!$B61="","",Txn!$D61)</f>
        <v>0</v>
      </c>
      <c r="H110" s="38">
        <f>IF(Txn!$B61="","",Txn!$E61)</f>
        <v>0</v>
      </c>
      <c r="I110" s="40">
        <f>IF(Txn!$B61="",0,Txn!$Q61)</f>
        <v>0</v>
      </c>
      <c r="J110" s="40">
        <f>IF(Txn!$B61="",0,Txn!$R61)</f>
        <v>0</v>
      </c>
      <c r="K110" s="41">
        <f>IF($A110="","",IFERROR(VALUE(MID($A110,6,2)),""))</f>
        <v>0</v>
      </c>
      <c r="L110" s="39">
        <f>IF(Txn!$K61="","","طرف مقابل — "&amp;Txn!$K61)</f>
        <v>0</v>
      </c>
      <c r="N110" s="42">
        <f>IF($D110="",0,COUNTIF(BankAccts,$D110))</f>
        <v>0</v>
      </c>
    </row>
    <row r="111" spans="1:14">
      <c r="A111" s="38">
        <f>IF(Txn!$B62="","",Txn!$B62)</f>
        <v>0</v>
      </c>
      <c r="B111" s="38">
        <f>IF(Txn!$B62="","",Txn!$C62)</f>
        <v>0</v>
      </c>
      <c r="C111" s="39">
        <f>IF(Txn!$B62="","","تراکنش بانکی")</f>
        <v>0</v>
      </c>
      <c r="D111" s="38">
        <f>IF(Txn!$B62="","",IF(Txn!$X62="","",Txn!$X62))</f>
        <v>0</v>
      </c>
      <c r="E111" s="39">
        <f>IF($D111="","",IFERROR(VLOOKUP($D111,AcctTbl,2,0),""))</f>
        <v>0</v>
      </c>
      <c r="F111" s="39">
        <f>IF($D111="","",IFERROR(VLOOKUP($D111,AcctTbl,3,0),""))</f>
        <v>0</v>
      </c>
      <c r="G111" s="39">
        <f>IF(Txn!$B62="","",Txn!$D62)</f>
        <v>0</v>
      </c>
      <c r="H111" s="38">
        <f>IF(Txn!$B62="","",Txn!$E62)</f>
        <v>0</v>
      </c>
      <c r="I111" s="40">
        <f>IF(Txn!$B62="",0,Txn!$O62)</f>
        <v>0</v>
      </c>
      <c r="J111" s="40">
        <f>IF(Txn!$B62="",0,Txn!$P62)</f>
        <v>0</v>
      </c>
      <c r="K111" s="41">
        <f>IF($A111="","",IFERROR(VALUE(MID($A111,6,2)),""))</f>
        <v>0</v>
      </c>
      <c r="L111" s="39">
        <f>IF(Txn!$K62="","",Txn!$K62)</f>
        <v>0</v>
      </c>
      <c r="N111" s="42">
        <f>IF($D111="",0,COUNTIF(BankAccts,$D111))</f>
        <v>0</v>
      </c>
    </row>
    <row r="112" spans="1:14">
      <c r="A112" s="38">
        <f>IF(Txn!$B62="","",Txn!$B62)</f>
        <v>0</v>
      </c>
      <c r="B112" s="38">
        <f>IF(Txn!$B62="","",Txn!$C62)</f>
        <v>0</v>
      </c>
      <c r="C112" s="39">
        <f>IF(Txn!$B62="","","تراکنش بانکی")</f>
        <v>0</v>
      </c>
      <c r="D112" s="38">
        <f>IF(Txn!$B62="","",IF(IF(Txn!$U62="TRF",Txn!$Y62,Txn!$Z62)="","",IF(Txn!$U62="TRF",Txn!$Y62,Txn!$Z62)))</f>
        <v>0</v>
      </c>
      <c r="E112" s="39">
        <f>IF($D112="","",IFERROR(VLOOKUP($D112,AcctTbl,2,0),""))</f>
        <v>0</v>
      </c>
      <c r="F112" s="39">
        <f>IF($D112="","",IFERROR(VLOOKUP($D112,AcctTbl,3,0),""))</f>
        <v>0</v>
      </c>
      <c r="G112" s="39">
        <f>IF(Txn!$B62="","",Txn!$D62)</f>
        <v>0</v>
      </c>
      <c r="H112" s="38">
        <f>IF(Txn!$B62="","",Txn!$E62)</f>
        <v>0</v>
      </c>
      <c r="I112" s="40">
        <f>IF(Txn!$B62="",0,Txn!$Q62)</f>
        <v>0</v>
      </c>
      <c r="J112" s="40">
        <f>IF(Txn!$B62="",0,Txn!$R62)</f>
        <v>0</v>
      </c>
      <c r="K112" s="41">
        <f>IF($A112="","",IFERROR(VALUE(MID($A112,6,2)),""))</f>
        <v>0</v>
      </c>
      <c r="L112" s="39">
        <f>IF(Txn!$K62="","","طرف مقابل — "&amp;Txn!$K62)</f>
        <v>0</v>
      </c>
      <c r="N112" s="42">
        <f>IF($D112="",0,COUNTIF(BankAccts,$D112))</f>
        <v>0</v>
      </c>
    </row>
    <row r="113" spans="1:14">
      <c r="A113" s="38">
        <f>IF(Txn!$B63="","",Txn!$B63)</f>
        <v>0</v>
      </c>
      <c r="B113" s="38">
        <f>IF(Txn!$B63="","",Txn!$C63)</f>
        <v>0</v>
      </c>
      <c r="C113" s="39">
        <f>IF(Txn!$B63="","","تراکنش بانکی")</f>
        <v>0</v>
      </c>
      <c r="D113" s="38">
        <f>IF(Txn!$B63="","",IF(Txn!$X63="","",Txn!$X63))</f>
        <v>0</v>
      </c>
      <c r="E113" s="39">
        <f>IF($D113="","",IFERROR(VLOOKUP($D113,AcctTbl,2,0),""))</f>
        <v>0</v>
      </c>
      <c r="F113" s="39">
        <f>IF($D113="","",IFERROR(VLOOKUP($D113,AcctTbl,3,0),""))</f>
        <v>0</v>
      </c>
      <c r="G113" s="39">
        <f>IF(Txn!$B63="","",Txn!$D63)</f>
        <v>0</v>
      </c>
      <c r="H113" s="38">
        <f>IF(Txn!$B63="","",Txn!$E63)</f>
        <v>0</v>
      </c>
      <c r="I113" s="40">
        <f>IF(Txn!$B63="",0,Txn!$O63)</f>
        <v>0</v>
      </c>
      <c r="J113" s="40">
        <f>IF(Txn!$B63="",0,Txn!$P63)</f>
        <v>0</v>
      </c>
      <c r="K113" s="41">
        <f>IF($A113="","",IFERROR(VALUE(MID($A113,6,2)),""))</f>
        <v>0</v>
      </c>
      <c r="L113" s="39">
        <f>IF(Txn!$K63="","",Txn!$K63)</f>
        <v>0</v>
      </c>
      <c r="N113" s="42">
        <f>IF($D113="",0,COUNTIF(BankAccts,$D113))</f>
        <v>0</v>
      </c>
    </row>
    <row r="114" spans="1:14">
      <c r="A114" s="38">
        <f>IF(Txn!$B63="","",Txn!$B63)</f>
        <v>0</v>
      </c>
      <c r="B114" s="38">
        <f>IF(Txn!$B63="","",Txn!$C63)</f>
        <v>0</v>
      </c>
      <c r="C114" s="39">
        <f>IF(Txn!$B63="","","تراکنش بانکی")</f>
        <v>0</v>
      </c>
      <c r="D114" s="38">
        <f>IF(Txn!$B63="","",IF(IF(Txn!$U63="TRF",Txn!$Y63,Txn!$Z63)="","",IF(Txn!$U63="TRF",Txn!$Y63,Txn!$Z63)))</f>
        <v>0</v>
      </c>
      <c r="E114" s="39">
        <f>IF($D114="","",IFERROR(VLOOKUP($D114,AcctTbl,2,0),""))</f>
        <v>0</v>
      </c>
      <c r="F114" s="39">
        <f>IF($D114="","",IFERROR(VLOOKUP($D114,AcctTbl,3,0),""))</f>
        <v>0</v>
      </c>
      <c r="G114" s="39">
        <f>IF(Txn!$B63="","",Txn!$D63)</f>
        <v>0</v>
      </c>
      <c r="H114" s="38">
        <f>IF(Txn!$B63="","",Txn!$E63)</f>
        <v>0</v>
      </c>
      <c r="I114" s="40">
        <f>IF(Txn!$B63="",0,Txn!$Q63)</f>
        <v>0</v>
      </c>
      <c r="J114" s="40">
        <f>IF(Txn!$B63="",0,Txn!$R63)</f>
        <v>0</v>
      </c>
      <c r="K114" s="41">
        <f>IF($A114="","",IFERROR(VALUE(MID($A114,6,2)),""))</f>
        <v>0</v>
      </c>
      <c r="L114" s="39">
        <f>IF(Txn!$K63="","","طرف مقابل — "&amp;Txn!$K63)</f>
        <v>0</v>
      </c>
      <c r="N114" s="42">
        <f>IF($D114="",0,COUNTIF(BankAccts,$D114))</f>
        <v>0</v>
      </c>
    </row>
    <row r="115" spans="1:14">
      <c r="A115" s="38">
        <f>IF(Txn!$B64="","",Txn!$B64)</f>
        <v>0</v>
      </c>
      <c r="B115" s="38">
        <f>IF(Txn!$B64="","",Txn!$C64)</f>
        <v>0</v>
      </c>
      <c r="C115" s="39">
        <f>IF(Txn!$B64="","","تراکنش بانکی")</f>
        <v>0</v>
      </c>
      <c r="D115" s="38">
        <f>IF(Txn!$B64="","",IF(Txn!$X64="","",Txn!$X64))</f>
        <v>0</v>
      </c>
      <c r="E115" s="39">
        <f>IF($D115="","",IFERROR(VLOOKUP($D115,AcctTbl,2,0),""))</f>
        <v>0</v>
      </c>
      <c r="F115" s="39">
        <f>IF($D115="","",IFERROR(VLOOKUP($D115,AcctTbl,3,0),""))</f>
        <v>0</v>
      </c>
      <c r="G115" s="39">
        <f>IF(Txn!$B64="","",Txn!$D64)</f>
        <v>0</v>
      </c>
      <c r="H115" s="38">
        <f>IF(Txn!$B64="","",Txn!$E64)</f>
        <v>0</v>
      </c>
      <c r="I115" s="40">
        <f>IF(Txn!$B64="",0,Txn!$O64)</f>
        <v>0</v>
      </c>
      <c r="J115" s="40">
        <f>IF(Txn!$B64="",0,Txn!$P64)</f>
        <v>0</v>
      </c>
      <c r="K115" s="41">
        <f>IF($A115="","",IFERROR(VALUE(MID($A115,6,2)),""))</f>
        <v>0</v>
      </c>
      <c r="L115" s="39">
        <f>IF(Txn!$K64="","",Txn!$K64)</f>
        <v>0</v>
      </c>
      <c r="N115" s="42">
        <f>IF($D115="",0,COUNTIF(BankAccts,$D115))</f>
        <v>0</v>
      </c>
    </row>
    <row r="116" spans="1:14">
      <c r="A116" s="38">
        <f>IF(Txn!$B64="","",Txn!$B64)</f>
        <v>0</v>
      </c>
      <c r="B116" s="38">
        <f>IF(Txn!$B64="","",Txn!$C64)</f>
        <v>0</v>
      </c>
      <c r="C116" s="39">
        <f>IF(Txn!$B64="","","تراکنش بانکی")</f>
        <v>0</v>
      </c>
      <c r="D116" s="38">
        <f>IF(Txn!$B64="","",IF(IF(Txn!$U64="TRF",Txn!$Y64,Txn!$Z64)="","",IF(Txn!$U64="TRF",Txn!$Y64,Txn!$Z64)))</f>
        <v>0</v>
      </c>
      <c r="E116" s="39">
        <f>IF($D116="","",IFERROR(VLOOKUP($D116,AcctTbl,2,0),""))</f>
        <v>0</v>
      </c>
      <c r="F116" s="39">
        <f>IF($D116="","",IFERROR(VLOOKUP($D116,AcctTbl,3,0),""))</f>
        <v>0</v>
      </c>
      <c r="G116" s="39">
        <f>IF(Txn!$B64="","",Txn!$D64)</f>
        <v>0</v>
      </c>
      <c r="H116" s="38">
        <f>IF(Txn!$B64="","",Txn!$E64)</f>
        <v>0</v>
      </c>
      <c r="I116" s="40">
        <f>IF(Txn!$B64="",0,Txn!$Q64)</f>
        <v>0</v>
      </c>
      <c r="J116" s="40">
        <f>IF(Txn!$B64="",0,Txn!$R64)</f>
        <v>0</v>
      </c>
      <c r="K116" s="41">
        <f>IF($A116="","",IFERROR(VALUE(MID($A116,6,2)),""))</f>
        <v>0</v>
      </c>
      <c r="L116" s="39">
        <f>IF(Txn!$K64="","","طرف مقابل — "&amp;Txn!$K64)</f>
        <v>0</v>
      </c>
      <c r="N116" s="42">
        <f>IF($D116="",0,COUNTIF(BankAccts,$D116))</f>
        <v>0</v>
      </c>
    </row>
    <row r="117" spans="1:14">
      <c r="A117" s="38">
        <f>IF(Txn!$B65="","",Txn!$B65)</f>
        <v>0</v>
      </c>
      <c r="B117" s="38">
        <f>IF(Txn!$B65="","",Txn!$C65)</f>
        <v>0</v>
      </c>
      <c r="C117" s="39">
        <f>IF(Txn!$B65="","","تراکنش بانکی")</f>
        <v>0</v>
      </c>
      <c r="D117" s="38">
        <f>IF(Txn!$B65="","",IF(Txn!$X65="","",Txn!$X65))</f>
        <v>0</v>
      </c>
      <c r="E117" s="39">
        <f>IF($D117="","",IFERROR(VLOOKUP($D117,AcctTbl,2,0),""))</f>
        <v>0</v>
      </c>
      <c r="F117" s="39">
        <f>IF($D117="","",IFERROR(VLOOKUP($D117,AcctTbl,3,0),""))</f>
        <v>0</v>
      </c>
      <c r="G117" s="39">
        <f>IF(Txn!$B65="","",Txn!$D65)</f>
        <v>0</v>
      </c>
      <c r="H117" s="38">
        <f>IF(Txn!$B65="","",Txn!$E65)</f>
        <v>0</v>
      </c>
      <c r="I117" s="40">
        <f>IF(Txn!$B65="",0,Txn!$O65)</f>
        <v>0</v>
      </c>
      <c r="J117" s="40">
        <f>IF(Txn!$B65="",0,Txn!$P65)</f>
        <v>0</v>
      </c>
      <c r="K117" s="41">
        <f>IF($A117="","",IFERROR(VALUE(MID($A117,6,2)),""))</f>
        <v>0</v>
      </c>
      <c r="L117" s="39">
        <f>IF(Txn!$K65="","",Txn!$K65)</f>
        <v>0</v>
      </c>
      <c r="N117" s="42">
        <f>IF($D117="",0,COUNTIF(BankAccts,$D117))</f>
        <v>0</v>
      </c>
    </row>
    <row r="118" spans="1:14">
      <c r="A118" s="38">
        <f>IF(Txn!$B65="","",Txn!$B65)</f>
        <v>0</v>
      </c>
      <c r="B118" s="38">
        <f>IF(Txn!$B65="","",Txn!$C65)</f>
        <v>0</v>
      </c>
      <c r="C118" s="39">
        <f>IF(Txn!$B65="","","تراکنش بانکی")</f>
        <v>0</v>
      </c>
      <c r="D118" s="38">
        <f>IF(Txn!$B65="","",IF(IF(Txn!$U65="TRF",Txn!$Y65,Txn!$Z65)="","",IF(Txn!$U65="TRF",Txn!$Y65,Txn!$Z65)))</f>
        <v>0</v>
      </c>
      <c r="E118" s="39">
        <f>IF($D118="","",IFERROR(VLOOKUP($D118,AcctTbl,2,0),""))</f>
        <v>0</v>
      </c>
      <c r="F118" s="39">
        <f>IF($D118="","",IFERROR(VLOOKUP($D118,AcctTbl,3,0),""))</f>
        <v>0</v>
      </c>
      <c r="G118" s="39">
        <f>IF(Txn!$B65="","",Txn!$D65)</f>
        <v>0</v>
      </c>
      <c r="H118" s="38">
        <f>IF(Txn!$B65="","",Txn!$E65)</f>
        <v>0</v>
      </c>
      <c r="I118" s="40">
        <f>IF(Txn!$B65="",0,Txn!$Q65)</f>
        <v>0</v>
      </c>
      <c r="J118" s="40">
        <f>IF(Txn!$B65="",0,Txn!$R65)</f>
        <v>0</v>
      </c>
      <c r="K118" s="41">
        <f>IF($A118="","",IFERROR(VALUE(MID($A118,6,2)),""))</f>
        <v>0</v>
      </c>
      <c r="L118" s="39">
        <f>IF(Txn!$K65="","","طرف مقابل — "&amp;Txn!$K65)</f>
        <v>0</v>
      </c>
      <c r="N118" s="42">
        <f>IF($D118="",0,COUNTIF(BankAccts,$D118))</f>
        <v>0</v>
      </c>
    </row>
    <row r="119" spans="1:14">
      <c r="A119" s="38">
        <f>IF(Txn!$B66="","",Txn!$B66)</f>
        <v>0</v>
      </c>
      <c r="B119" s="38">
        <f>IF(Txn!$B66="","",Txn!$C66)</f>
        <v>0</v>
      </c>
      <c r="C119" s="39">
        <f>IF(Txn!$B66="","","تراکنش بانکی")</f>
        <v>0</v>
      </c>
      <c r="D119" s="38">
        <f>IF(Txn!$B66="","",IF(Txn!$X66="","",Txn!$X66))</f>
        <v>0</v>
      </c>
      <c r="E119" s="39">
        <f>IF($D119="","",IFERROR(VLOOKUP($D119,AcctTbl,2,0),""))</f>
        <v>0</v>
      </c>
      <c r="F119" s="39">
        <f>IF($D119="","",IFERROR(VLOOKUP($D119,AcctTbl,3,0),""))</f>
        <v>0</v>
      </c>
      <c r="G119" s="39">
        <f>IF(Txn!$B66="","",Txn!$D66)</f>
        <v>0</v>
      </c>
      <c r="H119" s="38">
        <f>IF(Txn!$B66="","",Txn!$E66)</f>
        <v>0</v>
      </c>
      <c r="I119" s="40">
        <f>IF(Txn!$B66="",0,Txn!$O66)</f>
        <v>0</v>
      </c>
      <c r="J119" s="40">
        <f>IF(Txn!$B66="",0,Txn!$P66)</f>
        <v>0</v>
      </c>
      <c r="K119" s="41">
        <f>IF($A119="","",IFERROR(VALUE(MID($A119,6,2)),""))</f>
        <v>0</v>
      </c>
      <c r="L119" s="39">
        <f>IF(Txn!$K66="","",Txn!$K66)</f>
        <v>0</v>
      </c>
      <c r="N119" s="42">
        <f>IF($D119="",0,COUNTIF(BankAccts,$D119))</f>
        <v>0</v>
      </c>
    </row>
    <row r="120" spans="1:14">
      <c r="A120" s="38">
        <f>IF(Txn!$B66="","",Txn!$B66)</f>
        <v>0</v>
      </c>
      <c r="B120" s="38">
        <f>IF(Txn!$B66="","",Txn!$C66)</f>
        <v>0</v>
      </c>
      <c r="C120" s="39">
        <f>IF(Txn!$B66="","","تراکنش بانکی")</f>
        <v>0</v>
      </c>
      <c r="D120" s="38">
        <f>IF(Txn!$B66="","",IF(IF(Txn!$U66="TRF",Txn!$Y66,Txn!$Z66)="","",IF(Txn!$U66="TRF",Txn!$Y66,Txn!$Z66)))</f>
        <v>0</v>
      </c>
      <c r="E120" s="39">
        <f>IF($D120="","",IFERROR(VLOOKUP($D120,AcctTbl,2,0),""))</f>
        <v>0</v>
      </c>
      <c r="F120" s="39">
        <f>IF($D120="","",IFERROR(VLOOKUP($D120,AcctTbl,3,0),""))</f>
        <v>0</v>
      </c>
      <c r="G120" s="39">
        <f>IF(Txn!$B66="","",Txn!$D66)</f>
        <v>0</v>
      </c>
      <c r="H120" s="38">
        <f>IF(Txn!$B66="","",Txn!$E66)</f>
        <v>0</v>
      </c>
      <c r="I120" s="40">
        <f>IF(Txn!$B66="",0,Txn!$Q66)</f>
        <v>0</v>
      </c>
      <c r="J120" s="40">
        <f>IF(Txn!$B66="",0,Txn!$R66)</f>
        <v>0</v>
      </c>
      <c r="K120" s="41">
        <f>IF($A120="","",IFERROR(VALUE(MID($A120,6,2)),""))</f>
        <v>0</v>
      </c>
      <c r="L120" s="39">
        <f>IF(Txn!$K66="","","طرف مقابل — "&amp;Txn!$K66)</f>
        <v>0</v>
      </c>
      <c r="N120" s="42">
        <f>IF($D120="",0,COUNTIF(BankAccts,$D120))</f>
        <v>0</v>
      </c>
    </row>
    <row r="121" spans="1:14">
      <c r="A121" s="38">
        <f>IF(Txn!$B67="","",Txn!$B67)</f>
        <v>0</v>
      </c>
      <c r="B121" s="38">
        <f>IF(Txn!$B67="","",Txn!$C67)</f>
        <v>0</v>
      </c>
      <c r="C121" s="39">
        <f>IF(Txn!$B67="","","تراکنش بانکی")</f>
        <v>0</v>
      </c>
      <c r="D121" s="38">
        <f>IF(Txn!$B67="","",IF(Txn!$X67="","",Txn!$X67))</f>
        <v>0</v>
      </c>
      <c r="E121" s="39">
        <f>IF($D121="","",IFERROR(VLOOKUP($D121,AcctTbl,2,0),""))</f>
        <v>0</v>
      </c>
      <c r="F121" s="39">
        <f>IF($D121="","",IFERROR(VLOOKUP($D121,AcctTbl,3,0),""))</f>
        <v>0</v>
      </c>
      <c r="G121" s="39">
        <f>IF(Txn!$B67="","",Txn!$D67)</f>
        <v>0</v>
      </c>
      <c r="H121" s="38">
        <f>IF(Txn!$B67="","",Txn!$E67)</f>
        <v>0</v>
      </c>
      <c r="I121" s="40">
        <f>IF(Txn!$B67="",0,Txn!$O67)</f>
        <v>0</v>
      </c>
      <c r="J121" s="40">
        <f>IF(Txn!$B67="",0,Txn!$P67)</f>
        <v>0</v>
      </c>
      <c r="K121" s="41">
        <f>IF($A121="","",IFERROR(VALUE(MID($A121,6,2)),""))</f>
        <v>0</v>
      </c>
      <c r="L121" s="39">
        <f>IF(Txn!$K67="","",Txn!$K67)</f>
        <v>0</v>
      </c>
      <c r="N121" s="42">
        <f>IF($D121="",0,COUNTIF(BankAccts,$D121))</f>
        <v>0</v>
      </c>
    </row>
    <row r="122" spans="1:14">
      <c r="A122" s="38">
        <f>IF(Txn!$B67="","",Txn!$B67)</f>
        <v>0</v>
      </c>
      <c r="B122" s="38">
        <f>IF(Txn!$B67="","",Txn!$C67)</f>
        <v>0</v>
      </c>
      <c r="C122" s="39">
        <f>IF(Txn!$B67="","","تراکنش بانکی")</f>
        <v>0</v>
      </c>
      <c r="D122" s="38">
        <f>IF(Txn!$B67="","",IF(IF(Txn!$U67="TRF",Txn!$Y67,Txn!$Z67)="","",IF(Txn!$U67="TRF",Txn!$Y67,Txn!$Z67)))</f>
        <v>0</v>
      </c>
      <c r="E122" s="39">
        <f>IF($D122="","",IFERROR(VLOOKUP($D122,AcctTbl,2,0),""))</f>
        <v>0</v>
      </c>
      <c r="F122" s="39">
        <f>IF($D122="","",IFERROR(VLOOKUP($D122,AcctTbl,3,0),""))</f>
        <v>0</v>
      </c>
      <c r="G122" s="39">
        <f>IF(Txn!$B67="","",Txn!$D67)</f>
        <v>0</v>
      </c>
      <c r="H122" s="38">
        <f>IF(Txn!$B67="","",Txn!$E67)</f>
        <v>0</v>
      </c>
      <c r="I122" s="40">
        <f>IF(Txn!$B67="",0,Txn!$Q67)</f>
        <v>0</v>
      </c>
      <c r="J122" s="40">
        <f>IF(Txn!$B67="",0,Txn!$R67)</f>
        <v>0</v>
      </c>
      <c r="K122" s="41">
        <f>IF($A122="","",IFERROR(VALUE(MID($A122,6,2)),""))</f>
        <v>0</v>
      </c>
      <c r="L122" s="39">
        <f>IF(Txn!$K67="","","طرف مقابل — "&amp;Txn!$K67)</f>
        <v>0</v>
      </c>
      <c r="N122" s="42">
        <f>IF($D122="",0,COUNTIF(BankAccts,$D122))</f>
        <v>0</v>
      </c>
    </row>
    <row r="123" spans="1:14">
      <c r="A123" s="38">
        <f>IF(Txn!$B68="","",Txn!$B68)</f>
        <v>0</v>
      </c>
      <c r="B123" s="38">
        <f>IF(Txn!$B68="","",Txn!$C68)</f>
        <v>0</v>
      </c>
      <c r="C123" s="39">
        <f>IF(Txn!$B68="","","تراکنش بانکی")</f>
        <v>0</v>
      </c>
      <c r="D123" s="38">
        <f>IF(Txn!$B68="","",IF(Txn!$X68="","",Txn!$X68))</f>
        <v>0</v>
      </c>
      <c r="E123" s="39">
        <f>IF($D123="","",IFERROR(VLOOKUP($D123,AcctTbl,2,0),""))</f>
        <v>0</v>
      </c>
      <c r="F123" s="39">
        <f>IF($D123="","",IFERROR(VLOOKUP($D123,AcctTbl,3,0),""))</f>
        <v>0</v>
      </c>
      <c r="G123" s="39">
        <f>IF(Txn!$B68="","",Txn!$D68)</f>
        <v>0</v>
      </c>
      <c r="H123" s="38">
        <f>IF(Txn!$B68="","",Txn!$E68)</f>
        <v>0</v>
      </c>
      <c r="I123" s="40">
        <f>IF(Txn!$B68="",0,Txn!$O68)</f>
        <v>0</v>
      </c>
      <c r="J123" s="40">
        <f>IF(Txn!$B68="",0,Txn!$P68)</f>
        <v>0</v>
      </c>
      <c r="K123" s="41">
        <f>IF($A123="","",IFERROR(VALUE(MID($A123,6,2)),""))</f>
        <v>0</v>
      </c>
      <c r="L123" s="39">
        <f>IF(Txn!$K68="","",Txn!$K68)</f>
        <v>0</v>
      </c>
      <c r="N123" s="42">
        <f>IF($D123="",0,COUNTIF(BankAccts,$D123))</f>
        <v>0</v>
      </c>
    </row>
    <row r="124" spans="1:14">
      <c r="A124" s="38">
        <f>IF(Txn!$B68="","",Txn!$B68)</f>
        <v>0</v>
      </c>
      <c r="B124" s="38">
        <f>IF(Txn!$B68="","",Txn!$C68)</f>
        <v>0</v>
      </c>
      <c r="C124" s="39">
        <f>IF(Txn!$B68="","","تراکنش بانکی")</f>
        <v>0</v>
      </c>
      <c r="D124" s="38">
        <f>IF(Txn!$B68="","",IF(IF(Txn!$U68="TRF",Txn!$Y68,Txn!$Z68)="","",IF(Txn!$U68="TRF",Txn!$Y68,Txn!$Z68)))</f>
        <v>0</v>
      </c>
      <c r="E124" s="39">
        <f>IF($D124="","",IFERROR(VLOOKUP($D124,AcctTbl,2,0),""))</f>
        <v>0</v>
      </c>
      <c r="F124" s="39">
        <f>IF($D124="","",IFERROR(VLOOKUP($D124,AcctTbl,3,0),""))</f>
        <v>0</v>
      </c>
      <c r="G124" s="39">
        <f>IF(Txn!$B68="","",Txn!$D68)</f>
        <v>0</v>
      </c>
      <c r="H124" s="38">
        <f>IF(Txn!$B68="","",Txn!$E68)</f>
        <v>0</v>
      </c>
      <c r="I124" s="40">
        <f>IF(Txn!$B68="",0,Txn!$Q68)</f>
        <v>0</v>
      </c>
      <c r="J124" s="40">
        <f>IF(Txn!$B68="",0,Txn!$R68)</f>
        <v>0</v>
      </c>
      <c r="K124" s="41">
        <f>IF($A124="","",IFERROR(VALUE(MID($A124,6,2)),""))</f>
        <v>0</v>
      </c>
      <c r="L124" s="39">
        <f>IF(Txn!$K68="","","طرف مقابل — "&amp;Txn!$K68)</f>
        <v>0</v>
      </c>
      <c r="N124" s="42">
        <f>IF($D124="",0,COUNTIF(BankAccts,$D124))</f>
        <v>0</v>
      </c>
    </row>
    <row r="125" spans="1:14">
      <c r="A125" s="38">
        <f>IF(Txn!$B69="","",Txn!$B69)</f>
        <v>0</v>
      </c>
      <c r="B125" s="38">
        <f>IF(Txn!$B69="","",Txn!$C69)</f>
        <v>0</v>
      </c>
      <c r="C125" s="39">
        <f>IF(Txn!$B69="","","تراکنش بانکی")</f>
        <v>0</v>
      </c>
      <c r="D125" s="38">
        <f>IF(Txn!$B69="","",IF(Txn!$X69="","",Txn!$X69))</f>
        <v>0</v>
      </c>
      <c r="E125" s="39">
        <f>IF($D125="","",IFERROR(VLOOKUP($D125,AcctTbl,2,0),""))</f>
        <v>0</v>
      </c>
      <c r="F125" s="39">
        <f>IF($D125="","",IFERROR(VLOOKUP($D125,AcctTbl,3,0),""))</f>
        <v>0</v>
      </c>
      <c r="G125" s="39">
        <f>IF(Txn!$B69="","",Txn!$D69)</f>
        <v>0</v>
      </c>
      <c r="H125" s="38">
        <f>IF(Txn!$B69="","",Txn!$E69)</f>
        <v>0</v>
      </c>
      <c r="I125" s="40">
        <f>IF(Txn!$B69="",0,Txn!$O69)</f>
        <v>0</v>
      </c>
      <c r="J125" s="40">
        <f>IF(Txn!$B69="",0,Txn!$P69)</f>
        <v>0</v>
      </c>
      <c r="K125" s="41">
        <f>IF($A125="","",IFERROR(VALUE(MID($A125,6,2)),""))</f>
        <v>0</v>
      </c>
      <c r="L125" s="39">
        <f>IF(Txn!$K69="","",Txn!$K69)</f>
        <v>0</v>
      </c>
      <c r="N125" s="42">
        <f>IF($D125="",0,COUNTIF(BankAccts,$D125))</f>
        <v>0</v>
      </c>
    </row>
    <row r="126" spans="1:14">
      <c r="A126" s="38">
        <f>IF(Txn!$B69="","",Txn!$B69)</f>
        <v>0</v>
      </c>
      <c r="B126" s="38">
        <f>IF(Txn!$B69="","",Txn!$C69)</f>
        <v>0</v>
      </c>
      <c r="C126" s="39">
        <f>IF(Txn!$B69="","","تراکنش بانکی")</f>
        <v>0</v>
      </c>
      <c r="D126" s="38">
        <f>IF(Txn!$B69="","",IF(IF(Txn!$U69="TRF",Txn!$Y69,Txn!$Z69)="","",IF(Txn!$U69="TRF",Txn!$Y69,Txn!$Z69)))</f>
        <v>0</v>
      </c>
      <c r="E126" s="39">
        <f>IF($D126="","",IFERROR(VLOOKUP($D126,AcctTbl,2,0),""))</f>
        <v>0</v>
      </c>
      <c r="F126" s="39">
        <f>IF($D126="","",IFERROR(VLOOKUP($D126,AcctTbl,3,0),""))</f>
        <v>0</v>
      </c>
      <c r="G126" s="39">
        <f>IF(Txn!$B69="","",Txn!$D69)</f>
        <v>0</v>
      </c>
      <c r="H126" s="38">
        <f>IF(Txn!$B69="","",Txn!$E69)</f>
        <v>0</v>
      </c>
      <c r="I126" s="40">
        <f>IF(Txn!$B69="",0,Txn!$Q69)</f>
        <v>0</v>
      </c>
      <c r="J126" s="40">
        <f>IF(Txn!$B69="",0,Txn!$R69)</f>
        <v>0</v>
      </c>
      <c r="K126" s="41">
        <f>IF($A126="","",IFERROR(VALUE(MID($A126,6,2)),""))</f>
        <v>0</v>
      </c>
      <c r="L126" s="39">
        <f>IF(Txn!$K69="","","طرف مقابل — "&amp;Txn!$K69)</f>
        <v>0</v>
      </c>
      <c r="N126" s="42">
        <f>IF($D126="",0,COUNTIF(BankAccts,$D126))</f>
        <v>0</v>
      </c>
    </row>
    <row r="127" spans="1:14">
      <c r="A127" s="38">
        <f>IF(Txn!$B70="","",Txn!$B70)</f>
        <v>0</v>
      </c>
      <c r="B127" s="38">
        <f>IF(Txn!$B70="","",Txn!$C70)</f>
        <v>0</v>
      </c>
      <c r="C127" s="39">
        <f>IF(Txn!$B70="","","تراکنش بانکی")</f>
        <v>0</v>
      </c>
      <c r="D127" s="38">
        <f>IF(Txn!$B70="","",IF(Txn!$X70="","",Txn!$X70))</f>
        <v>0</v>
      </c>
      <c r="E127" s="39">
        <f>IF($D127="","",IFERROR(VLOOKUP($D127,AcctTbl,2,0),""))</f>
        <v>0</v>
      </c>
      <c r="F127" s="39">
        <f>IF($D127="","",IFERROR(VLOOKUP($D127,AcctTbl,3,0),""))</f>
        <v>0</v>
      </c>
      <c r="G127" s="39">
        <f>IF(Txn!$B70="","",Txn!$D70)</f>
        <v>0</v>
      </c>
      <c r="H127" s="38">
        <f>IF(Txn!$B70="","",Txn!$E70)</f>
        <v>0</v>
      </c>
      <c r="I127" s="40">
        <f>IF(Txn!$B70="",0,Txn!$O70)</f>
        <v>0</v>
      </c>
      <c r="J127" s="40">
        <f>IF(Txn!$B70="",0,Txn!$P70)</f>
        <v>0</v>
      </c>
      <c r="K127" s="41">
        <f>IF($A127="","",IFERROR(VALUE(MID($A127,6,2)),""))</f>
        <v>0</v>
      </c>
      <c r="L127" s="39">
        <f>IF(Txn!$K70="","",Txn!$K70)</f>
        <v>0</v>
      </c>
      <c r="N127" s="42">
        <f>IF($D127="",0,COUNTIF(BankAccts,$D127))</f>
        <v>0</v>
      </c>
    </row>
    <row r="128" spans="1:14">
      <c r="A128" s="38">
        <f>IF(Txn!$B70="","",Txn!$B70)</f>
        <v>0</v>
      </c>
      <c r="B128" s="38">
        <f>IF(Txn!$B70="","",Txn!$C70)</f>
        <v>0</v>
      </c>
      <c r="C128" s="39">
        <f>IF(Txn!$B70="","","تراکنش بانکی")</f>
        <v>0</v>
      </c>
      <c r="D128" s="38">
        <f>IF(Txn!$B70="","",IF(IF(Txn!$U70="TRF",Txn!$Y70,Txn!$Z70)="","",IF(Txn!$U70="TRF",Txn!$Y70,Txn!$Z70)))</f>
        <v>0</v>
      </c>
      <c r="E128" s="39">
        <f>IF($D128="","",IFERROR(VLOOKUP($D128,AcctTbl,2,0),""))</f>
        <v>0</v>
      </c>
      <c r="F128" s="39">
        <f>IF($D128="","",IFERROR(VLOOKUP($D128,AcctTbl,3,0),""))</f>
        <v>0</v>
      </c>
      <c r="G128" s="39">
        <f>IF(Txn!$B70="","",Txn!$D70)</f>
        <v>0</v>
      </c>
      <c r="H128" s="38">
        <f>IF(Txn!$B70="","",Txn!$E70)</f>
        <v>0</v>
      </c>
      <c r="I128" s="40">
        <f>IF(Txn!$B70="",0,Txn!$Q70)</f>
        <v>0</v>
      </c>
      <c r="J128" s="40">
        <f>IF(Txn!$B70="",0,Txn!$R70)</f>
        <v>0</v>
      </c>
      <c r="K128" s="41">
        <f>IF($A128="","",IFERROR(VALUE(MID($A128,6,2)),""))</f>
        <v>0</v>
      </c>
      <c r="L128" s="39">
        <f>IF(Txn!$K70="","","طرف مقابل — "&amp;Txn!$K70)</f>
        <v>0</v>
      </c>
      <c r="N128" s="42">
        <f>IF($D128="",0,COUNTIF(BankAccts,$D128))</f>
        <v>0</v>
      </c>
    </row>
    <row r="129" spans="1:14">
      <c r="A129" s="38">
        <f>IF(Txn!$B71="","",Txn!$B71)</f>
        <v>0</v>
      </c>
      <c r="B129" s="38">
        <f>IF(Txn!$B71="","",Txn!$C71)</f>
        <v>0</v>
      </c>
      <c r="C129" s="39">
        <f>IF(Txn!$B71="","","تراکنش بانکی")</f>
        <v>0</v>
      </c>
      <c r="D129" s="38">
        <f>IF(Txn!$B71="","",IF(Txn!$X71="","",Txn!$X71))</f>
        <v>0</v>
      </c>
      <c r="E129" s="39">
        <f>IF($D129="","",IFERROR(VLOOKUP($D129,AcctTbl,2,0),""))</f>
        <v>0</v>
      </c>
      <c r="F129" s="39">
        <f>IF($D129="","",IFERROR(VLOOKUP($D129,AcctTbl,3,0),""))</f>
        <v>0</v>
      </c>
      <c r="G129" s="39">
        <f>IF(Txn!$B71="","",Txn!$D71)</f>
        <v>0</v>
      </c>
      <c r="H129" s="38">
        <f>IF(Txn!$B71="","",Txn!$E71)</f>
        <v>0</v>
      </c>
      <c r="I129" s="40">
        <f>IF(Txn!$B71="",0,Txn!$O71)</f>
        <v>0</v>
      </c>
      <c r="J129" s="40">
        <f>IF(Txn!$B71="",0,Txn!$P71)</f>
        <v>0</v>
      </c>
      <c r="K129" s="41">
        <f>IF($A129="","",IFERROR(VALUE(MID($A129,6,2)),""))</f>
        <v>0</v>
      </c>
      <c r="L129" s="39">
        <f>IF(Txn!$K71="","",Txn!$K71)</f>
        <v>0</v>
      </c>
      <c r="N129" s="42">
        <f>IF($D129="",0,COUNTIF(BankAccts,$D129))</f>
        <v>0</v>
      </c>
    </row>
    <row r="130" spans="1:14">
      <c r="A130" s="38">
        <f>IF(Txn!$B71="","",Txn!$B71)</f>
        <v>0</v>
      </c>
      <c r="B130" s="38">
        <f>IF(Txn!$B71="","",Txn!$C71)</f>
        <v>0</v>
      </c>
      <c r="C130" s="39">
        <f>IF(Txn!$B71="","","تراکنش بانکی")</f>
        <v>0</v>
      </c>
      <c r="D130" s="38">
        <f>IF(Txn!$B71="","",IF(IF(Txn!$U71="TRF",Txn!$Y71,Txn!$Z71)="","",IF(Txn!$U71="TRF",Txn!$Y71,Txn!$Z71)))</f>
        <v>0</v>
      </c>
      <c r="E130" s="39">
        <f>IF($D130="","",IFERROR(VLOOKUP($D130,AcctTbl,2,0),""))</f>
        <v>0</v>
      </c>
      <c r="F130" s="39">
        <f>IF($D130="","",IFERROR(VLOOKUP($D130,AcctTbl,3,0),""))</f>
        <v>0</v>
      </c>
      <c r="G130" s="39">
        <f>IF(Txn!$B71="","",Txn!$D71)</f>
        <v>0</v>
      </c>
      <c r="H130" s="38">
        <f>IF(Txn!$B71="","",Txn!$E71)</f>
        <v>0</v>
      </c>
      <c r="I130" s="40">
        <f>IF(Txn!$B71="",0,Txn!$Q71)</f>
        <v>0</v>
      </c>
      <c r="J130" s="40">
        <f>IF(Txn!$B71="",0,Txn!$R71)</f>
        <v>0</v>
      </c>
      <c r="K130" s="41">
        <f>IF($A130="","",IFERROR(VALUE(MID($A130,6,2)),""))</f>
        <v>0</v>
      </c>
      <c r="L130" s="39">
        <f>IF(Txn!$K71="","","طرف مقابل — "&amp;Txn!$K71)</f>
        <v>0</v>
      </c>
      <c r="N130" s="42">
        <f>IF($D130="",0,COUNTIF(BankAccts,$D130))</f>
        <v>0</v>
      </c>
    </row>
    <row r="131" spans="1:14">
      <c r="A131" s="38">
        <f>IF(Txn!$B72="","",Txn!$B72)</f>
        <v>0</v>
      </c>
      <c r="B131" s="38">
        <f>IF(Txn!$B72="","",Txn!$C72)</f>
        <v>0</v>
      </c>
      <c r="C131" s="39">
        <f>IF(Txn!$B72="","","تراکنش بانکی")</f>
        <v>0</v>
      </c>
      <c r="D131" s="38">
        <f>IF(Txn!$B72="","",IF(Txn!$X72="","",Txn!$X72))</f>
        <v>0</v>
      </c>
      <c r="E131" s="39">
        <f>IF($D131="","",IFERROR(VLOOKUP($D131,AcctTbl,2,0),""))</f>
        <v>0</v>
      </c>
      <c r="F131" s="39">
        <f>IF($D131="","",IFERROR(VLOOKUP($D131,AcctTbl,3,0),""))</f>
        <v>0</v>
      </c>
      <c r="G131" s="39">
        <f>IF(Txn!$B72="","",Txn!$D72)</f>
        <v>0</v>
      </c>
      <c r="H131" s="38">
        <f>IF(Txn!$B72="","",Txn!$E72)</f>
        <v>0</v>
      </c>
      <c r="I131" s="40">
        <f>IF(Txn!$B72="",0,Txn!$O72)</f>
        <v>0</v>
      </c>
      <c r="J131" s="40">
        <f>IF(Txn!$B72="",0,Txn!$P72)</f>
        <v>0</v>
      </c>
      <c r="K131" s="41">
        <f>IF($A131="","",IFERROR(VALUE(MID($A131,6,2)),""))</f>
        <v>0</v>
      </c>
      <c r="L131" s="39">
        <f>IF(Txn!$K72="","",Txn!$K72)</f>
        <v>0</v>
      </c>
      <c r="N131" s="42">
        <f>IF($D131="",0,COUNTIF(BankAccts,$D131))</f>
        <v>0</v>
      </c>
    </row>
    <row r="132" spans="1:14">
      <c r="A132" s="38">
        <f>IF(Txn!$B72="","",Txn!$B72)</f>
        <v>0</v>
      </c>
      <c r="B132" s="38">
        <f>IF(Txn!$B72="","",Txn!$C72)</f>
        <v>0</v>
      </c>
      <c r="C132" s="39">
        <f>IF(Txn!$B72="","","تراکنش بانکی")</f>
        <v>0</v>
      </c>
      <c r="D132" s="38">
        <f>IF(Txn!$B72="","",IF(IF(Txn!$U72="TRF",Txn!$Y72,Txn!$Z72)="","",IF(Txn!$U72="TRF",Txn!$Y72,Txn!$Z72)))</f>
        <v>0</v>
      </c>
      <c r="E132" s="39">
        <f>IF($D132="","",IFERROR(VLOOKUP($D132,AcctTbl,2,0),""))</f>
        <v>0</v>
      </c>
      <c r="F132" s="39">
        <f>IF($D132="","",IFERROR(VLOOKUP($D132,AcctTbl,3,0),""))</f>
        <v>0</v>
      </c>
      <c r="G132" s="39">
        <f>IF(Txn!$B72="","",Txn!$D72)</f>
        <v>0</v>
      </c>
      <c r="H132" s="38">
        <f>IF(Txn!$B72="","",Txn!$E72)</f>
        <v>0</v>
      </c>
      <c r="I132" s="40">
        <f>IF(Txn!$B72="",0,Txn!$Q72)</f>
        <v>0</v>
      </c>
      <c r="J132" s="40">
        <f>IF(Txn!$B72="",0,Txn!$R72)</f>
        <v>0</v>
      </c>
      <c r="K132" s="41">
        <f>IF($A132="","",IFERROR(VALUE(MID($A132,6,2)),""))</f>
        <v>0</v>
      </c>
      <c r="L132" s="39">
        <f>IF(Txn!$K72="","","طرف مقابل — "&amp;Txn!$K72)</f>
        <v>0</v>
      </c>
      <c r="N132" s="42">
        <f>IF($D132="",0,COUNTIF(BankAccts,$D132))</f>
        <v>0</v>
      </c>
    </row>
    <row r="133" spans="1:14">
      <c r="A133" s="38">
        <f>IF(Txn!$B73="","",Txn!$B73)</f>
        <v>0</v>
      </c>
      <c r="B133" s="38">
        <f>IF(Txn!$B73="","",Txn!$C73)</f>
        <v>0</v>
      </c>
      <c r="C133" s="39">
        <f>IF(Txn!$B73="","","تراکنش بانکی")</f>
        <v>0</v>
      </c>
      <c r="D133" s="38">
        <f>IF(Txn!$B73="","",IF(Txn!$X73="","",Txn!$X73))</f>
        <v>0</v>
      </c>
      <c r="E133" s="39">
        <f>IF($D133="","",IFERROR(VLOOKUP($D133,AcctTbl,2,0),""))</f>
        <v>0</v>
      </c>
      <c r="F133" s="39">
        <f>IF($D133="","",IFERROR(VLOOKUP($D133,AcctTbl,3,0),""))</f>
        <v>0</v>
      </c>
      <c r="G133" s="39">
        <f>IF(Txn!$B73="","",Txn!$D73)</f>
        <v>0</v>
      </c>
      <c r="H133" s="38">
        <f>IF(Txn!$B73="","",Txn!$E73)</f>
        <v>0</v>
      </c>
      <c r="I133" s="40">
        <f>IF(Txn!$B73="",0,Txn!$O73)</f>
        <v>0</v>
      </c>
      <c r="J133" s="40">
        <f>IF(Txn!$B73="",0,Txn!$P73)</f>
        <v>0</v>
      </c>
      <c r="K133" s="41">
        <f>IF($A133="","",IFERROR(VALUE(MID($A133,6,2)),""))</f>
        <v>0</v>
      </c>
      <c r="L133" s="39">
        <f>IF(Txn!$K73="","",Txn!$K73)</f>
        <v>0</v>
      </c>
      <c r="N133" s="42">
        <f>IF($D133="",0,COUNTIF(BankAccts,$D133))</f>
        <v>0</v>
      </c>
    </row>
    <row r="134" spans="1:14">
      <c r="A134" s="38">
        <f>IF(Txn!$B73="","",Txn!$B73)</f>
        <v>0</v>
      </c>
      <c r="B134" s="38">
        <f>IF(Txn!$B73="","",Txn!$C73)</f>
        <v>0</v>
      </c>
      <c r="C134" s="39">
        <f>IF(Txn!$B73="","","تراکنش بانکی")</f>
        <v>0</v>
      </c>
      <c r="D134" s="38">
        <f>IF(Txn!$B73="","",IF(IF(Txn!$U73="TRF",Txn!$Y73,Txn!$Z73)="","",IF(Txn!$U73="TRF",Txn!$Y73,Txn!$Z73)))</f>
        <v>0</v>
      </c>
      <c r="E134" s="39">
        <f>IF($D134="","",IFERROR(VLOOKUP($D134,AcctTbl,2,0),""))</f>
        <v>0</v>
      </c>
      <c r="F134" s="39">
        <f>IF($D134="","",IFERROR(VLOOKUP($D134,AcctTbl,3,0),""))</f>
        <v>0</v>
      </c>
      <c r="G134" s="39">
        <f>IF(Txn!$B73="","",Txn!$D73)</f>
        <v>0</v>
      </c>
      <c r="H134" s="38">
        <f>IF(Txn!$B73="","",Txn!$E73)</f>
        <v>0</v>
      </c>
      <c r="I134" s="40">
        <f>IF(Txn!$B73="",0,Txn!$Q73)</f>
        <v>0</v>
      </c>
      <c r="J134" s="40">
        <f>IF(Txn!$B73="",0,Txn!$R73)</f>
        <v>0</v>
      </c>
      <c r="K134" s="41">
        <f>IF($A134="","",IFERROR(VALUE(MID($A134,6,2)),""))</f>
        <v>0</v>
      </c>
      <c r="L134" s="39">
        <f>IF(Txn!$K73="","","طرف مقابل — "&amp;Txn!$K73)</f>
        <v>0</v>
      </c>
      <c r="N134" s="42">
        <f>IF($D134="",0,COUNTIF(BankAccts,$D134))</f>
        <v>0</v>
      </c>
    </row>
    <row r="135" spans="1:14">
      <c r="A135" s="38">
        <f>IF(Txn!$B74="","",Txn!$B74)</f>
        <v>0</v>
      </c>
      <c r="B135" s="38">
        <f>IF(Txn!$B74="","",Txn!$C74)</f>
        <v>0</v>
      </c>
      <c r="C135" s="39">
        <f>IF(Txn!$B74="","","تراکنش بانکی")</f>
        <v>0</v>
      </c>
      <c r="D135" s="38">
        <f>IF(Txn!$B74="","",IF(Txn!$X74="","",Txn!$X74))</f>
        <v>0</v>
      </c>
      <c r="E135" s="39">
        <f>IF($D135="","",IFERROR(VLOOKUP($D135,AcctTbl,2,0),""))</f>
        <v>0</v>
      </c>
      <c r="F135" s="39">
        <f>IF($D135="","",IFERROR(VLOOKUP($D135,AcctTbl,3,0),""))</f>
        <v>0</v>
      </c>
      <c r="G135" s="39">
        <f>IF(Txn!$B74="","",Txn!$D74)</f>
        <v>0</v>
      </c>
      <c r="H135" s="38">
        <f>IF(Txn!$B74="","",Txn!$E74)</f>
        <v>0</v>
      </c>
      <c r="I135" s="40">
        <f>IF(Txn!$B74="",0,Txn!$O74)</f>
        <v>0</v>
      </c>
      <c r="J135" s="40">
        <f>IF(Txn!$B74="",0,Txn!$P74)</f>
        <v>0</v>
      </c>
      <c r="K135" s="41">
        <f>IF($A135="","",IFERROR(VALUE(MID($A135,6,2)),""))</f>
        <v>0</v>
      </c>
      <c r="L135" s="39">
        <f>IF(Txn!$K74="","",Txn!$K74)</f>
        <v>0</v>
      </c>
      <c r="N135" s="42">
        <f>IF($D135="",0,COUNTIF(BankAccts,$D135))</f>
        <v>0</v>
      </c>
    </row>
    <row r="136" spans="1:14">
      <c r="A136" s="38">
        <f>IF(Txn!$B74="","",Txn!$B74)</f>
        <v>0</v>
      </c>
      <c r="B136" s="38">
        <f>IF(Txn!$B74="","",Txn!$C74)</f>
        <v>0</v>
      </c>
      <c r="C136" s="39">
        <f>IF(Txn!$B74="","","تراکنش بانکی")</f>
        <v>0</v>
      </c>
      <c r="D136" s="38">
        <f>IF(Txn!$B74="","",IF(IF(Txn!$U74="TRF",Txn!$Y74,Txn!$Z74)="","",IF(Txn!$U74="TRF",Txn!$Y74,Txn!$Z74)))</f>
        <v>0</v>
      </c>
      <c r="E136" s="39">
        <f>IF($D136="","",IFERROR(VLOOKUP($D136,AcctTbl,2,0),""))</f>
        <v>0</v>
      </c>
      <c r="F136" s="39">
        <f>IF($D136="","",IFERROR(VLOOKUP($D136,AcctTbl,3,0),""))</f>
        <v>0</v>
      </c>
      <c r="G136" s="39">
        <f>IF(Txn!$B74="","",Txn!$D74)</f>
        <v>0</v>
      </c>
      <c r="H136" s="38">
        <f>IF(Txn!$B74="","",Txn!$E74)</f>
        <v>0</v>
      </c>
      <c r="I136" s="40">
        <f>IF(Txn!$B74="",0,Txn!$Q74)</f>
        <v>0</v>
      </c>
      <c r="J136" s="40">
        <f>IF(Txn!$B74="",0,Txn!$R74)</f>
        <v>0</v>
      </c>
      <c r="K136" s="41">
        <f>IF($A136="","",IFERROR(VALUE(MID($A136,6,2)),""))</f>
        <v>0</v>
      </c>
      <c r="L136" s="39">
        <f>IF(Txn!$K74="","","طرف مقابل — "&amp;Txn!$K74)</f>
        <v>0</v>
      </c>
      <c r="N136" s="42">
        <f>IF($D136="",0,COUNTIF(BankAccts,$D136))</f>
        <v>0</v>
      </c>
    </row>
    <row r="137" spans="1:14">
      <c r="A137" s="38">
        <f>IF(Txn!$B75="","",Txn!$B75)</f>
        <v>0</v>
      </c>
      <c r="B137" s="38">
        <f>IF(Txn!$B75="","",Txn!$C75)</f>
        <v>0</v>
      </c>
      <c r="C137" s="39">
        <f>IF(Txn!$B75="","","تراکنش بانکی")</f>
        <v>0</v>
      </c>
      <c r="D137" s="38">
        <f>IF(Txn!$B75="","",IF(Txn!$X75="","",Txn!$X75))</f>
        <v>0</v>
      </c>
      <c r="E137" s="39">
        <f>IF($D137="","",IFERROR(VLOOKUP($D137,AcctTbl,2,0),""))</f>
        <v>0</v>
      </c>
      <c r="F137" s="39">
        <f>IF($D137="","",IFERROR(VLOOKUP($D137,AcctTbl,3,0),""))</f>
        <v>0</v>
      </c>
      <c r="G137" s="39">
        <f>IF(Txn!$B75="","",Txn!$D75)</f>
        <v>0</v>
      </c>
      <c r="H137" s="38">
        <f>IF(Txn!$B75="","",Txn!$E75)</f>
        <v>0</v>
      </c>
      <c r="I137" s="40">
        <f>IF(Txn!$B75="",0,Txn!$O75)</f>
        <v>0</v>
      </c>
      <c r="J137" s="40">
        <f>IF(Txn!$B75="",0,Txn!$P75)</f>
        <v>0</v>
      </c>
      <c r="K137" s="41">
        <f>IF($A137="","",IFERROR(VALUE(MID($A137,6,2)),""))</f>
        <v>0</v>
      </c>
      <c r="L137" s="39">
        <f>IF(Txn!$K75="","",Txn!$K75)</f>
        <v>0</v>
      </c>
      <c r="N137" s="42">
        <f>IF($D137="",0,COUNTIF(BankAccts,$D137))</f>
        <v>0</v>
      </c>
    </row>
    <row r="138" spans="1:14">
      <c r="A138" s="38">
        <f>IF(Txn!$B75="","",Txn!$B75)</f>
        <v>0</v>
      </c>
      <c r="B138" s="38">
        <f>IF(Txn!$B75="","",Txn!$C75)</f>
        <v>0</v>
      </c>
      <c r="C138" s="39">
        <f>IF(Txn!$B75="","","تراکنش بانکی")</f>
        <v>0</v>
      </c>
      <c r="D138" s="38">
        <f>IF(Txn!$B75="","",IF(IF(Txn!$U75="TRF",Txn!$Y75,Txn!$Z75)="","",IF(Txn!$U75="TRF",Txn!$Y75,Txn!$Z75)))</f>
        <v>0</v>
      </c>
      <c r="E138" s="39">
        <f>IF($D138="","",IFERROR(VLOOKUP($D138,AcctTbl,2,0),""))</f>
        <v>0</v>
      </c>
      <c r="F138" s="39">
        <f>IF($D138="","",IFERROR(VLOOKUP($D138,AcctTbl,3,0),""))</f>
        <v>0</v>
      </c>
      <c r="G138" s="39">
        <f>IF(Txn!$B75="","",Txn!$D75)</f>
        <v>0</v>
      </c>
      <c r="H138" s="38">
        <f>IF(Txn!$B75="","",Txn!$E75)</f>
        <v>0</v>
      </c>
      <c r="I138" s="40">
        <f>IF(Txn!$B75="",0,Txn!$Q75)</f>
        <v>0</v>
      </c>
      <c r="J138" s="40">
        <f>IF(Txn!$B75="",0,Txn!$R75)</f>
        <v>0</v>
      </c>
      <c r="K138" s="41">
        <f>IF($A138="","",IFERROR(VALUE(MID($A138,6,2)),""))</f>
        <v>0</v>
      </c>
      <c r="L138" s="39">
        <f>IF(Txn!$K75="","","طرف مقابل — "&amp;Txn!$K75)</f>
        <v>0</v>
      </c>
      <c r="N138" s="42">
        <f>IF($D138="",0,COUNTIF(BankAccts,$D138))</f>
        <v>0</v>
      </c>
    </row>
    <row r="139" spans="1:14">
      <c r="A139" s="38">
        <f>IF(Txn!$B76="","",Txn!$B76)</f>
        <v>0</v>
      </c>
      <c r="B139" s="38">
        <f>IF(Txn!$B76="","",Txn!$C76)</f>
        <v>0</v>
      </c>
      <c r="C139" s="39">
        <f>IF(Txn!$B76="","","تراکنش بانکی")</f>
        <v>0</v>
      </c>
      <c r="D139" s="38">
        <f>IF(Txn!$B76="","",IF(Txn!$X76="","",Txn!$X76))</f>
        <v>0</v>
      </c>
      <c r="E139" s="39">
        <f>IF($D139="","",IFERROR(VLOOKUP($D139,AcctTbl,2,0),""))</f>
        <v>0</v>
      </c>
      <c r="F139" s="39">
        <f>IF($D139="","",IFERROR(VLOOKUP($D139,AcctTbl,3,0),""))</f>
        <v>0</v>
      </c>
      <c r="G139" s="39">
        <f>IF(Txn!$B76="","",Txn!$D76)</f>
        <v>0</v>
      </c>
      <c r="H139" s="38">
        <f>IF(Txn!$B76="","",Txn!$E76)</f>
        <v>0</v>
      </c>
      <c r="I139" s="40">
        <f>IF(Txn!$B76="",0,Txn!$O76)</f>
        <v>0</v>
      </c>
      <c r="J139" s="40">
        <f>IF(Txn!$B76="",0,Txn!$P76)</f>
        <v>0</v>
      </c>
      <c r="K139" s="41">
        <f>IF($A139="","",IFERROR(VALUE(MID($A139,6,2)),""))</f>
        <v>0</v>
      </c>
      <c r="L139" s="39">
        <f>IF(Txn!$K76="","",Txn!$K76)</f>
        <v>0</v>
      </c>
      <c r="N139" s="42">
        <f>IF($D139="",0,COUNTIF(BankAccts,$D139))</f>
        <v>0</v>
      </c>
    </row>
    <row r="140" spans="1:14">
      <c r="A140" s="38">
        <f>IF(Txn!$B76="","",Txn!$B76)</f>
        <v>0</v>
      </c>
      <c r="B140" s="38">
        <f>IF(Txn!$B76="","",Txn!$C76)</f>
        <v>0</v>
      </c>
      <c r="C140" s="39">
        <f>IF(Txn!$B76="","","تراکنش بانکی")</f>
        <v>0</v>
      </c>
      <c r="D140" s="38">
        <f>IF(Txn!$B76="","",IF(IF(Txn!$U76="TRF",Txn!$Y76,Txn!$Z76)="","",IF(Txn!$U76="TRF",Txn!$Y76,Txn!$Z76)))</f>
        <v>0</v>
      </c>
      <c r="E140" s="39">
        <f>IF($D140="","",IFERROR(VLOOKUP($D140,AcctTbl,2,0),""))</f>
        <v>0</v>
      </c>
      <c r="F140" s="39">
        <f>IF($D140="","",IFERROR(VLOOKUP($D140,AcctTbl,3,0),""))</f>
        <v>0</v>
      </c>
      <c r="G140" s="39">
        <f>IF(Txn!$B76="","",Txn!$D76)</f>
        <v>0</v>
      </c>
      <c r="H140" s="38">
        <f>IF(Txn!$B76="","",Txn!$E76)</f>
        <v>0</v>
      </c>
      <c r="I140" s="40">
        <f>IF(Txn!$B76="",0,Txn!$Q76)</f>
        <v>0</v>
      </c>
      <c r="J140" s="40">
        <f>IF(Txn!$B76="",0,Txn!$R76)</f>
        <v>0</v>
      </c>
      <c r="K140" s="41">
        <f>IF($A140="","",IFERROR(VALUE(MID($A140,6,2)),""))</f>
        <v>0</v>
      </c>
      <c r="L140" s="39">
        <f>IF(Txn!$K76="","","طرف مقابل — "&amp;Txn!$K76)</f>
        <v>0</v>
      </c>
      <c r="N140" s="42">
        <f>IF($D140="",0,COUNTIF(BankAccts,$D140))</f>
        <v>0</v>
      </c>
    </row>
    <row r="141" spans="1:14">
      <c r="A141" s="38">
        <f>IF(Txn!$B77="","",Txn!$B77)</f>
        <v>0</v>
      </c>
      <c r="B141" s="38">
        <f>IF(Txn!$B77="","",Txn!$C77)</f>
        <v>0</v>
      </c>
      <c r="C141" s="39">
        <f>IF(Txn!$B77="","","تراکنش بانکی")</f>
        <v>0</v>
      </c>
      <c r="D141" s="38">
        <f>IF(Txn!$B77="","",IF(Txn!$X77="","",Txn!$X77))</f>
        <v>0</v>
      </c>
      <c r="E141" s="39">
        <f>IF($D141="","",IFERROR(VLOOKUP($D141,AcctTbl,2,0),""))</f>
        <v>0</v>
      </c>
      <c r="F141" s="39">
        <f>IF($D141="","",IFERROR(VLOOKUP($D141,AcctTbl,3,0),""))</f>
        <v>0</v>
      </c>
      <c r="G141" s="39">
        <f>IF(Txn!$B77="","",Txn!$D77)</f>
        <v>0</v>
      </c>
      <c r="H141" s="38">
        <f>IF(Txn!$B77="","",Txn!$E77)</f>
        <v>0</v>
      </c>
      <c r="I141" s="40">
        <f>IF(Txn!$B77="",0,Txn!$O77)</f>
        <v>0</v>
      </c>
      <c r="J141" s="40">
        <f>IF(Txn!$B77="",0,Txn!$P77)</f>
        <v>0</v>
      </c>
      <c r="K141" s="41">
        <f>IF($A141="","",IFERROR(VALUE(MID($A141,6,2)),""))</f>
        <v>0</v>
      </c>
      <c r="L141" s="39">
        <f>IF(Txn!$K77="","",Txn!$K77)</f>
        <v>0</v>
      </c>
      <c r="N141" s="42">
        <f>IF($D141="",0,COUNTIF(BankAccts,$D141))</f>
        <v>0</v>
      </c>
    </row>
    <row r="142" spans="1:14">
      <c r="A142" s="38">
        <f>IF(Txn!$B77="","",Txn!$B77)</f>
        <v>0</v>
      </c>
      <c r="B142" s="38">
        <f>IF(Txn!$B77="","",Txn!$C77)</f>
        <v>0</v>
      </c>
      <c r="C142" s="39">
        <f>IF(Txn!$B77="","","تراکنش بانکی")</f>
        <v>0</v>
      </c>
      <c r="D142" s="38">
        <f>IF(Txn!$B77="","",IF(IF(Txn!$U77="TRF",Txn!$Y77,Txn!$Z77)="","",IF(Txn!$U77="TRF",Txn!$Y77,Txn!$Z77)))</f>
        <v>0</v>
      </c>
      <c r="E142" s="39">
        <f>IF($D142="","",IFERROR(VLOOKUP($D142,AcctTbl,2,0),""))</f>
        <v>0</v>
      </c>
      <c r="F142" s="39">
        <f>IF($D142="","",IFERROR(VLOOKUP($D142,AcctTbl,3,0),""))</f>
        <v>0</v>
      </c>
      <c r="G142" s="39">
        <f>IF(Txn!$B77="","",Txn!$D77)</f>
        <v>0</v>
      </c>
      <c r="H142" s="38">
        <f>IF(Txn!$B77="","",Txn!$E77)</f>
        <v>0</v>
      </c>
      <c r="I142" s="40">
        <f>IF(Txn!$B77="",0,Txn!$Q77)</f>
        <v>0</v>
      </c>
      <c r="J142" s="40">
        <f>IF(Txn!$B77="",0,Txn!$R77)</f>
        <v>0</v>
      </c>
      <c r="K142" s="41">
        <f>IF($A142="","",IFERROR(VALUE(MID($A142,6,2)),""))</f>
        <v>0</v>
      </c>
      <c r="L142" s="39">
        <f>IF(Txn!$K77="","","طرف مقابل — "&amp;Txn!$K77)</f>
        <v>0</v>
      </c>
      <c r="N142" s="42">
        <f>IF($D142="",0,COUNTIF(BankAccts,$D142))</f>
        <v>0</v>
      </c>
    </row>
    <row r="143" spans="1:14">
      <c r="A143" s="38">
        <f>IF(Txn!$B78="","",Txn!$B78)</f>
        <v>0</v>
      </c>
      <c r="B143" s="38">
        <f>IF(Txn!$B78="","",Txn!$C78)</f>
        <v>0</v>
      </c>
      <c r="C143" s="39">
        <f>IF(Txn!$B78="","","تراکنش بانکی")</f>
        <v>0</v>
      </c>
      <c r="D143" s="38">
        <f>IF(Txn!$B78="","",IF(Txn!$X78="","",Txn!$X78))</f>
        <v>0</v>
      </c>
      <c r="E143" s="39">
        <f>IF($D143="","",IFERROR(VLOOKUP($D143,AcctTbl,2,0),""))</f>
        <v>0</v>
      </c>
      <c r="F143" s="39">
        <f>IF($D143="","",IFERROR(VLOOKUP($D143,AcctTbl,3,0),""))</f>
        <v>0</v>
      </c>
      <c r="G143" s="39">
        <f>IF(Txn!$B78="","",Txn!$D78)</f>
        <v>0</v>
      </c>
      <c r="H143" s="38">
        <f>IF(Txn!$B78="","",Txn!$E78)</f>
        <v>0</v>
      </c>
      <c r="I143" s="40">
        <f>IF(Txn!$B78="",0,Txn!$O78)</f>
        <v>0</v>
      </c>
      <c r="J143" s="40">
        <f>IF(Txn!$B78="",0,Txn!$P78)</f>
        <v>0</v>
      </c>
      <c r="K143" s="41">
        <f>IF($A143="","",IFERROR(VALUE(MID($A143,6,2)),""))</f>
        <v>0</v>
      </c>
      <c r="L143" s="39">
        <f>IF(Txn!$K78="","",Txn!$K78)</f>
        <v>0</v>
      </c>
      <c r="N143" s="42">
        <f>IF($D143="",0,COUNTIF(BankAccts,$D143))</f>
        <v>0</v>
      </c>
    </row>
    <row r="144" spans="1:14">
      <c r="A144" s="38">
        <f>IF(Txn!$B78="","",Txn!$B78)</f>
        <v>0</v>
      </c>
      <c r="B144" s="38">
        <f>IF(Txn!$B78="","",Txn!$C78)</f>
        <v>0</v>
      </c>
      <c r="C144" s="39">
        <f>IF(Txn!$B78="","","تراکنش بانکی")</f>
        <v>0</v>
      </c>
      <c r="D144" s="38">
        <f>IF(Txn!$B78="","",IF(IF(Txn!$U78="TRF",Txn!$Y78,Txn!$Z78)="","",IF(Txn!$U78="TRF",Txn!$Y78,Txn!$Z78)))</f>
        <v>0</v>
      </c>
      <c r="E144" s="39">
        <f>IF($D144="","",IFERROR(VLOOKUP($D144,AcctTbl,2,0),""))</f>
        <v>0</v>
      </c>
      <c r="F144" s="39">
        <f>IF($D144="","",IFERROR(VLOOKUP($D144,AcctTbl,3,0),""))</f>
        <v>0</v>
      </c>
      <c r="G144" s="39">
        <f>IF(Txn!$B78="","",Txn!$D78)</f>
        <v>0</v>
      </c>
      <c r="H144" s="38">
        <f>IF(Txn!$B78="","",Txn!$E78)</f>
        <v>0</v>
      </c>
      <c r="I144" s="40">
        <f>IF(Txn!$B78="",0,Txn!$Q78)</f>
        <v>0</v>
      </c>
      <c r="J144" s="40">
        <f>IF(Txn!$B78="",0,Txn!$R78)</f>
        <v>0</v>
      </c>
      <c r="K144" s="41">
        <f>IF($A144="","",IFERROR(VALUE(MID($A144,6,2)),""))</f>
        <v>0</v>
      </c>
      <c r="L144" s="39">
        <f>IF(Txn!$K78="","","طرف مقابل — "&amp;Txn!$K78)</f>
        <v>0</v>
      </c>
      <c r="N144" s="42">
        <f>IF($D144="",0,COUNTIF(BankAccts,$D144))</f>
        <v>0</v>
      </c>
    </row>
    <row r="145" spans="1:14">
      <c r="A145" s="38">
        <f>IF(Txn!$B79="","",Txn!$B79)</f>
        <v>0</v>
      </c>
      <c r="B145" s="38">
        <f>IF(Txn!$B79="","",Txn!$C79)</f>
        <v>0</v>
      </c>
      <c r="C145" s="39">
        <f>IF(Txn!$B79="","","تراکنش بانکی")</f>
        <v>0</v>
      </c>
      <c r="D145" s="38">
        <f>IF(Txn!$B79="","",IF(Txn!$X79="","",Txn!$X79))</f>
        <v>0</v>
      </c>
      <c r="E145" s="39">
        <f>IF($D145="","",IFERROR(VLOOKUP($D145,AcctTbl,2,0),""))</f>
        <v>0</v>
      </c>
      <c r="F145" s="39">
        <f>IF($D145="","",IFERROR(VLOOKUP($D145,AcctTbl,3,0),""))</f>
        <v>0</v>
      </c>
      <c r="G145" s="39">
        <f>IF(Txn!$B79="","",Txn!$D79)</f>
        <v>0</v>
      </c>
      <c r="H145" s="38">
        <f>IF(Txn!$B79="","",Txn!$E79)</f>
        <v>0</v>
      </c>
      <c r="I145" s="40">
        <f>IF(Txn!$B79="",0,Txn!$O79)</f>
        <v>0</v>
      </c>
      <c r="J145" s="40">
        <f>IF(Txn!$B79="",0,Txn!$P79)</f>
        <v>0</v>
      </c>
      <c r="K145" s="41">
        <f>IF($A145="","",IFERROR(VALUE(MID($A145,6,2)),""))</f>
        <v>0</v>
      </c>
      <c r="L145" s="39">
        <f>IF(Txn!$K79="","",Txn!$K79)</f>
        <v>0</v>
      </c>
      <c r="N145" s="42">
        <f>IF($D145="",0,COUNTIF(BankAccts,$D145))</f>
        <v>0</v>
      </c>
    </row>
    <row r="146" spans="1:14">
      <c r="A146" s="38">
        <f>IF(Txn!$B79="","",Txn!$B79)</f>
        <v>0</v>
      </c>
      <c r="B146" s="38">
        <f>IF(Txn!$B79="","",Txn!$C79)</f>
        <v>0</v>
      </c>
      <c r="C146" s="39">
        <f>IF(Txn!$B79="","","تراکنش بانکی")</f>
        <v>0</v>
      </c>
      <c r="D146" s="38">
        <f>IF(Txn!$B79="","",IF(IF(Txn!$U79="TRF",Txn!$Y79,Txn!$Z79)="","",IF(Txn!$U79="TRF",Txn!$Y79,Txn!$Z79)))</f>
        <v>0</v>
      </c>
      <c r="E146" s="39">
        <f>IF($D146="","",IFERROR(VLOOKUP($D146,AcctTbl,2,0),""))</f>
        <v>0</v>
      </c>
      <c r="F146" s="39">
        <f>IF($D146="","",IFERROR(VLOOKUP($D146,AcctTbl,3,0),""))</f>
        <v>0</v>
      </c>
      <c r="G146" s="39">
        <f>IF(Txn!$B79="","",Txn!$D79)</f>
        <v>0</v>
      </c>
      <c r="H146" s="38">
        <f>IF(Txn!$B79="","",Txn!$E79)</f>
        <v>0</v>
      </c>
      <c r="I146" s="40">
        <f>IF(Txn!$B79="",0,Txn!$Q79)</f>
        <v>0</v>
      </c>
      <c r="J146" s="40">
        <f>IF(Txn!$B79="",0,Txn!$R79)</f>
        <v>0</v>
      </c>
      <c r="K146" s="41">
        <f>IF($A146="","",IFERROR(VALUE(MID($A146,6,2)),""))</f>
        <v>0</v>
      </c>
      <c r="L146" s="39">
        <f>IF(Txn!$K79="","","طرف مقابل — "&amp;Txn!$K79)</f>
        <v>0</v>
      </c>
      <c r="N146" s="42">
        <f>IF($D146="",0,COUNTIF(BankAccts,$D146))</f>
        <v>0</v>
      </c>
    </row>
    <row r="147" spans="1:14">
      <c r="A147" s="38">
        <f>IF(Txn!$B80="","",Txn!$B80)</f>
        <v>0</v>
      </c>
      <c r="B147" s="38">
        <f>IF(Txn!$B80="","",Txn!$C80)</f>
        <v>0</v>
      </c>
      <c r="C147" s="39">
        <f>IF(Txn!$B80="","","تراکنش بانکی")</f>
        <v>0</v>
      </c>
      <c r="D147" s="38">
        <f>IF(Txn!$B80="","",IF(Txn!$X80="","",Txn!$X80))</f>
        <v>0</v>
      </c>
      <c r="E147" s="39">
        <f>IF($D147="","",IFERROR(VLOOKUP($D147,AcctTbl,2,0),""))</f>
        <v>0</v>
      </c>
      <c r="F147" s="39">
        <f>IF($D147="","",IFERROR(VLOOKUP($D147,AcctTbl,3,0),""))</f>
        <v>0</v>
      </c>
      <c r="G147" s="39">
        <f>IF(Txn!$B80="","",Txn!$D80)</f>
        <v>0</v>
      </c>
      <c r="H147" s="38">
        <f>IF(Txn!$B80="","",Txn!$E80)</f>
        <v>0</v>
      </c>
      <c r="I147" s="40">
        <f>IF(Txn!$B80="",0,Txn!$O80)</f>
        <v>0</v>
      </c>
      <c r="J147" s="40">
        <f>IF(Txn!$B80="",0,Txn!$P80)</f>
        <v>0</v>
      </c>
      <c r="K147" s="41">
        <f>IF($A147="","",IFERROR(VALUE(MID($A147,6,2)),""))</f>
        <v>0</v>
      </c>
      <c r="L147" s="39">
        <f>IF(Txn!$K80="","",Txn!$K80)</f>
        <v>0</v>
      </c>
      <c r="N147" s="42">
        <f>IF($D147="",0,COUNTIF(BankAccts,$D147))</f>
        <v>0</v>
      </c>
    </row>
    <row r="148" spans="1:14">
      <c r="A148" s="38">
        <f>IF(Txn!$B80="","",Txn!$B80)</f>
        <v>0</v>
      </c>
      <c r="B148" s="38">
        <f>IF(Txn!$B80="","",Txn!$C80)</f>
        <v>0</v>
      </c>
      <c r="C148" s="39">
        <f>IF(Txn!$B80="","","تراکنش بانکی")</f>
        <v>0</v>
      </c>
      <c r="D148" s="38">
        <f>IF(Txn!$B80="","",IF(IF(Txn!$U80="TRF",Txn!$Y80,Txn!$Z80)="","",IF(Txn!$U80="TRF",Txn!$Y80,Txn!$Z80)))</f>
        <v>0</v>
      </c>
      <c r="E148" s="39">
        <f>IF($D148="","",IFERROR(VLOOKUP($D148,AcctTbl,2,0),""))</f>
        <v>0</v>
      </c>
      <c r="F148" s="39">
        <f>IF($D148="","",IFERROR(VLOOKUP($D148,AcctTbl,3,0),""))</f>
        <v>0</v>
      </c>
      <c r="G148" s="39">
        <f>IF(Txn!$B80="","",Txn!$D80)</f>
        <v>0</v>
      </c>
      <c r="H148" s="38">
        <f>IF(Txn!$B80="","",Txn!$E80)</f>
        <v>0</v>
      </c>
      <c r="I148" s="40">
        <f>IF(Txn!$B80="",0,Txn!$Q80)</f>
        <v>0</v>
      </c>
      <c r="J148" s="40">
        <f>IF(Txn!$B80="",0,Txn!$R80)</f>
        <v>0</v>
      </c>
      <c r="K148" s="41">
        <f>IF($A148="","",IFERROR(VALUE(MID($A148,6,2)),""))</f>
        <v>0</v>
      </c>
      <c r="L148" s="39">
        <f>IF(Txn!$K80="","","طرف مقابل — "&amp;Txn!$K80)</f>
        <v>0</v>
      </c>
      <c r="N148" s="42">
        <f>IF($D148="",0,COUNTIF(BankAccts,$D148))</f>
        <v>0</v>
      </c>
    </row>
    <row r="149" spans="1:14">
      <c r="A149" s="38">
        <f>IF(Txn!$B81="","",Txn!$B81)</f>
        <v>0</v>
      </c>
      <c r="B149" s="38">
        <f>IF(Txn!$B81="","",Txn!$C81)</f>
        <v>0</v>
      </c>
      <c r="C149" s="39">
        <f>IF(Txn!$B81="","","تراکنش بانکی")</f>
        <v>0</v>
      </c>
      <c r="D149" s="38">
        <f>IF(Txn!$B81="","",IF(Txn!$X81="","",Txn!$X81))</f>
        <v>0</v>
      </c>
      <c r="E149" s="39">
        <f>IF($D149="","",IFERROR(VLOOKUP($D149,AcctTbl,2,0),""))</f>
        <v>0</v>
      </c>
      <c r="F149" s="39">
        <f>IF($D149="","",IFERROR(VLOOKUP($D149,AcctTbl,3,0),""))</f>
        <v>0</v>
      </c>
      <c r="G149" s="39">
        <f>IF(Txn!$B81="","",Txn!$D81)</f>
        <v>0</v>
      </c>
      <c r="H149" s="38">
        <f>IF(Txn!$B81="","",Txn!$E81)</f>
        <v>0</v>
      </c>
      <c r="I149" s="40">
        <f>IF(Txn!$B81="",0,Txn!$O81)</f>
        <v>0</v>
      </c>
      <c r="J149" s="40">
        <f>IF(Txn!$B81="",0,Txn!$P81)</f>
        <v>0</v>
      </c>
      <c r="K149" s="41">
        <f>IF($A149="","",IFERROR(VALUE(MID($A149,6,2)),""))</f>
        <v>0</v>
      </c>
      <c r="L149" s="39">
        <f>IF(Txn!$K81="","",Txn!$K81)</f>
        <v>0</v>
      </c>
      <c r="N149" s="42">
        <f>IF($D149="",0,COUNTIF(BankAccts,$D149))</f>
        <v>0</v>
      </c>
    </row>
    <row r="150" spans="1:14">
      <c r="A150" s="38">
        <f>IF(Txn!$B81="","",Txn!$B81)</f>
        <v>0</v>
      </c>
      <c r="B150" s="38">
        <f>IF(Txn!$B81="","",Txn!$C81)</f>
        <v>0</v>
      </c>
      <c r="C150" s="39">
        <f>IF(Txn!$B81="","","تراکنش بانکی")</f>
        <v>0</v>
      </c>
      <c r="D150" s="38">
        <f>IF(Txn!$B81="","",IF(IF(Txn!$U81="TRF",Txn!$Y81,Txn!$Z81)="","",IF(Txn!$U81="TRF",Txn!$Y81,Txn!$Z81)))</f>
        <v>0</v>
      </c>
      <c r="E150" s="39">
        <f>IF($D150="","",IFERROR(VLOOKUP($D150,AcctTbl,2,0),""))</f>
        <v>0</v>
      </c>
      <c r="F150" s="39">
        <f>IF($D150="","",IFERROR(VLOOKUP($D150,AcctTbl,3,0),""))</f>
        <v>0</v>
      </c>
      <c r="G150" s="39">
        <f>IF(Txn!$B81="","",Txn!$D81)</f>
        <v>0</v>
      </c>
      <c r="H150" s="38">
        <f>IF(Txn!$B81="","",Txn!$E81)</f>
        <v>0</v>
      </c>
      <c r="I150" s="40">
        <f>IF(Txn!$B81="",0,Txn!$Q81)</f>
        <v>0</v>
      </c>
      <c r="J150" s="40">
        <f>IF(Txn!$B81="",0,Txn!$R81)</f>
        <v>0</v>
      </c>
      <c r="K150" s="41">
        <f>IF($A150="","",IFERROR(VALUE(MID($A150,6,2)),""))</f>
        <v>0</v>
      </c>
      <c r="L150" s="39">
        <f>IF(Txn!$K81="","","طرف مقابل — "&amp;Txn!$K81)</f>
        <v>0</v>
      </c>
      <c r="N150" s="42">
        <f>IF($D150="",0,COUNTIF(BankAccts,$D150))</f>
        <v>0</v>
      </c>
    </row>
    <row r="151" spans="1:14">
      <c r="A151" s="38">
        <f>IF(Txn!$B82="","",Txn!$B82)</f>
        <v>0</v>
      </c>
      <c r="B151" s="38">
        <f>IF(Txn!$B82="","",Txn!$C82)</f>
        <v>0</v>
      </c>
      <c r="C151" s="39">
        <f>IF(Txn!$B82="","","تراکنش بانکی")</f>
        <v>0</v>
      </c>
      <c r="D151" s="38">
        <f>IF(Txn!$B82="","",IF(Txn!$X82="","",Txn!$X82))</f>
        <v>0</v>
      </c>
      <c r="E151" s="39">
        <f>IF($D151="","",IFERROR(VLOOKUP($D151,AcctTbl,2,0),""))</f>
        <v>0</v>
      </c>
      <c r="F151" s="39">
        <f>IF($D151="","",IFERROR(VLOOKUP($D151,AcctTbl,3,0),""))</f>
        <v>0</v>
      </c>
      <c r="G151" s="39">
        <f>IF(Txn!$B82="","",Txn!$D82)</f>
        <v>0</v>
      </c>
      <c r="H151" s="38">
        <f>IF(Txn!$B82="","",Txn!$E82)</f>
        <v>0</v>
      </c>
      <c r="I151" s="40">
        <f>IF(Txn!$B82="",0,Txn!$O82)</f>
        <v>0</v>
      </c>
      <c r="J151" s="40">
        <f>IF(Txn!$B82="",0,Txn!$P82)</f>
        <v>0</v>
      </c>
      <c r="K151" s="41">
        <f>IF($A151="","",IFERROR(VALUE(MID($A151,6,2)),""))</f>
        <v>0</v>
      </c>
      <c r="L151" s="39">
        <f>IF(Txn!$K82="","",Txn!$K82)</f>
        <v>0</v>
      </c>
      <c r="N151" s="42">
        <f>IF($D151="",0,COUNTIF(BankAccts,$D151))</f>
        <v>0</v>
      </c>
    </row>
    <row r="152" spans="1:14">
      <c r="A152" s="38">
        <f>IF(Txn!$B82="","",Txn!$B82)</f>
        <v>0</v>
      </c>
      <c r="B152" s="38">
        <f>IF(Txn!$B82="","",Txn!$C82)</f>
        <v>0</v>
      </c>
      <c r="C152" s="39">
        <f>IF(Txn!$B82="","","تراکنش بانکی")</f>
        <v>0</v>
      </c>
      <c r="D152" s="38">
        <f>IF(Txn!$B82="","",IF(IF(Txn!$U82="TRF",Txn!$Y82,Txn!$Z82)="","",IF(Txn!$U82="TRF",Txn!$Y82,Txn!$Z82)))</f>
        <v>0</v>
      </c>
      <c r="E152" s="39">
        <f>IF($D152="","",IFERROR(VLOOKUP($D152,AcctTbl,2,0),""))</f>
        <v>0</v>
      </c>
      <c r="F152" s="39">
        <f>IF($D152="","",IFERROR(VLOOKUP($D152,AcctTbl,3,0),""))</f>
        <v>0</v>
      </c>
      <c r="G152" s="39">
        <f>IF(Txn!$B82="","",Txn!$D82)</f>
        <v>0</v>
      </c>
      <c r="H152" s="38">
        <f>IF(Txn!$B82="","",Txn!$E82)</f>
        <v>0</v>
      </c>
      <c r="I152" s="40">
        <f>IF(Txn!$B82="",0,Txn!$Q82)</f>
        <v>0</v>
      </c>
      <c r="J152" s="40">
        <f>IF(Txn!$B82="",0,Txn!$R82)</f>
        <v>0</v>
      </c>
      <c r="K152" s="41">
        <f>IF($A152="","",IFERROR(VALUE(MID($A152,6,2)),""))</f>
        <v>0</v>
      </c>
      <c r="L152" s="39">
        <f>IF(Txn!$K82="","","طرف مقابل — "&amp;Txn!$K82)</f>
        <v>0</v>
      </c>
      <c r="N152" s="42">
        <f>IF($D152="",0,COUNTIF(BankAccts,$D152))</f>
        <v>0</v>
      </c>
    </row>
    <row r="153" spans="1:14">
      <c r="A153" s="38">
        <f>IF(Txn!$B83="","",Txn!$B83)</f>
        <v>0</v>
      </c>
      <c r="B153" s="38">
        <f>IF(Txn!$B83="","",Txn!$C83)</f>
        <v>0</v>
      </c>
      <c r="C153" s="39">
        <f>IF(Txn!$B83="","","تراکنش بانکی")</f>
        <v>0</v>
      </c>
      <c r="D153" s="38">
        <f>IF(Txn!$B83="","",IF(Txn!$X83="","",Txn!$X83))</f>
        <v>0</v>
      </c>
      <c r="E153" s="39">
        <f>IF($D153="","",IFERROR(VLOOKUP($D153,AcctTbl,2,0),""))</f>
        <v>0</v>
      </c>
      <c r="F153" s="39">
        <f>IF($D153="","",IFERROR(VLOOKUP($D153,AcctTbl,3,0),""))</f>
        <v>0</v>
      </c>
      <c r="G153" s="39">
        <f>IF(Txn!$B83="","",Txn!$D83)</f>
        <v>0</v>
      </c>
      <c r="H153" s="38">
        <f>IF(Txn!$B83="","",Txn!$E83)</f>
        <v>0</v>
      </c>
      <c r="I153" s="40">
        <f>IF(Txn!$B83="",0,Txn!$O83)</f>
        <v>0</v>
      </c>
      <c r="J153" s="40">
        <f>IF(Txn!$B83="",0,Txn!$P83)</f>
        <v>0</v>
      </c>
      <c r="K153" s="41">
        <f>IF($A153="","",IFERROR(VALUE(MID($A153,6,2)),""))</f>
        <v>0</v>
      </c>
      <c r="L153" s="39">
        <f>IF(Txn!$K83="","",Txn!$K83)</f>
        <v>0</v>
      </c>
      <c r="N153" s="42">
        <f>IF($D153="",0,COUNTIF(BankAccts,$D153))</f>
        <v>0</v>
      </c>
    </row>
    <row r="154" spans="1:14">
      <c r="A154" s="38">
        <f>IF(Txn!$B83="","",Txn!$B83)</f>
        <v>0</v>
      </c>
      <c r="B154" s="38">
        <f>IF(Txn!$B83="","",Txn!$C83)</f>
        <v>0</v>
      </c>
      <c r="C154" s="39">
        <f>IF(Txn!$B83="","","تراکنش بانکی")</f>
        <v>0</v>
      </c>
      <c r="D154" s="38">
        <f>IF(Txn!$B83="","",IF(IF(Txn!$U83="TRF",Txn!$Y83,Txn!$Z83)="","",IF(Txn!$U83="TRF",Txn!$Y83,Txn!$Z83)))</f>
        <v>0</v>
      </c>
      <c r="E154" s="39">
        <f>IF($D154="","",IFERROR(VLOOKUP($D154,AcctTbl,2,0),""))</f>
        <v>0</v>
      </c>
      <c r="F154" s="39">
        <f>IF($D154="","",IFERROR(VLOOKUP($D154,AcctTbl,3,0),""))</f>
        <v>0</v>
      </c>
      <c r="G154" s="39">
        <f>IF(Txn!$B83="","",Txn!$D83)</f>
        <v>0</v>
      </c>
      <c r="H154" s="38">
        <f>IF(Txn!$B83="","",Txn!$E83)</f>
        <v>0</v>
      </c>
      <c r="I154" s="40">
        <f>IF(Txn!$B83="",0,Txn!$Q83)</f>
        <v>0</v>
      </c>
      <c r="J154" s="40">
        <f>IF(Txn!$B83="",0,Txn!$R83)</f>
        <v>0</v>
      </c>
      <c r="K154" s="41">
        <f>IF($A154="","",IFERROR(VALUE(MID($A154,6,2)),""))</f>
        <v>0</v>
      </c>
      <c r="L154" s="39">
        <f>IF(Txn!$K83="","","طرف مقابل — "&amp;Txn!$K83)</f>
        <v>0</v>
      </c>
      <c r="N154" s="42">
        <f>IF($D154="",0,COUNTIF(BankAccts,$D154))</f>
        <v>0</v>
      </c>
    </row>
    <row r="155" spans="1:14">
      <c r="A155" s="38">
        <f>IF(Txn!$B84="","",Txn!$B84)</f>
        <v>0</v>
      </c>
      <c r="B155" s="38">
        <f>IF(Txn!$B84="","",Txn!$C84)</f>
        <v>0</v>
      </c>
      <c r="C155" s="39">
        <f>IF(Txn!$B84="","","تراکنش بانکی")</f>
        <v>0</v>
      </c>
      <c r="D155" s="38">
        <f>IF(Txn!$B84="","",IF(Txn!$X84="","",Txn!$X84))</f>
        <v>0</v>
      </c>
      <c r="E155" s="39">
        <f>IF($D155="","",IFERROR(VLOOKUP($D155,AcctTbl,2,0),""))</f>
        <v>0</v>
      </c>
      <c r="F155" s="39">
        <f>IF($D155="","",IFERROR(VLOOKUP($D155,AcctTbl,3,0),""))</f>
        <v>0</v>
      </c>
      <c r="G155" s="39">
        <f>IF(Txn!$B84="","",Txn!$D84)</f>
        <v>0</v>
      </c>
      <c r="H155" s="38">
        <f>IF(Txn!$B84="","",Txn!$E84)</f>
        <v>0</v>
      </c>
      <c r="I155" s="40">
        <f>IF(Txn!$B84="",0,Txn!$O84)</f>
        <v>0</v>
      </c>
      <c r="J155" s="40">
        <f>IF(Txn!$B84="",0,Txn!$P84)</f>
        <v>0</v>
      </c>
      <c r="K155" s="41">
        <f>IF($A155="","",IFERROR(VALUE(MID($A155,6,2)),""))</f>
        <v>0</v>
      </c>
      <c r="L155" s="39">
        <f>IF(Txn!$K84="","",Txn!$K84)</f>
        <v>0</v>
      </c>
      <c r="N155" s="42">
        <f>IF($D155="",0,COUNTIF(BankAccts,$D155))</f>
        <v>0</v>
      </c>
    </row>
    <row r="156" spans="1:14">
      <c r="A156" s="38">
        <f>IF(Txn!$B84="","",Txn!$B84)</f>
        <v>0</v>
      </c>
      <c r="B156" s="38">
        <f>IF(Txn!$B84="","",Txn!$C84)</f>
        <v>0</v>
      </c>
      <c r="C156" s="39">
        <f>IF(Txn!$B84="","","تراکنش بانکی")</f>
        <v>0</v>
      </c>
      <c r="D156" s="38">
        <f>IF(Txn!$B84="","",IF(IF(Txn!$U84="TRF",Txn!$Y84,Txn!$Z84)="","",IF(Txn!$U84="TRF",Txn!$Y84,Txn!$Z84)))</f>
        <v>0</v>
      </c>
      <c r="E156" s="39">
        <f>IF($D156="","",IFERROR(VLOOKUP($D156,AcctTbl,2,0),""))</f>
        <v>0</v>
      </c>
      <c r="F156" s="39">
        <f>IF($D156="","",IFERROR(VLOOKUP($D156,AcctTbl,3,0),""))</f>
        <v>0</v>
      </c>
      <c r="G156" s="39">
        <f>IF(Txn!$B84="","",Txn!$D84)</f>
        <v>0</v>
      </c>
      <c r="H156" s="38">
        <f>IF(Txn!$B84="","",Txn!$E84)</f>
        <v>0</v>
      </c>
      <c r="I156" s="40">
        <f>IF(Txn!$B84="",0,Txn!$Q84)</f>
        <v>0</v>
      </c>
      <c r="J156" s="40">
        <f>IF(Txn!$B84="",0,Txn!$R84)</f>
        <v>0</v>
      </c>
      <c r="K156" s="41">
        <f>IF($A156="","",IFERROR(VALUE(MID($A156,6,2)),""))</f>
        <v>0</v>
      </c>
      <c r="L156" s="39">
        <f>IF(Txn!$K84="","","طرف مقابل — "&amp;Txn!$K84)</f>
        <v>0</v>
      </c>
      <c r="N156" s="42">
        <f>IF($D156="",0,COUNTIF(BankAccts,$D156))</f>
        <v>0</v>
      </c>
    </row>
    <row r="157" spans="1:14">
      <c r="A157" s="38">
        <f>IF(Txn!$B85="","",Txn!$B85)</f>
        <v>0</v>
      </c>
      <c r="B157" s="38">
        <f>IF(Txn!$B85="","",Txn!$C85)</f>
        <v>0</v>
      </c>
      <c r="C157" s="39">
        <f>IF(Txn!$B85="","","تراکنش بانکی")</f>
        <v>0</v>
      </c>
      <c r="D157" s="38">
        <f>IF(Txn!$B85="","",IF(Txn!$X85="","",Txn!$X85))</f>
        <v>0</v>
      </c>
      <c r="E157" s="39">
        <f>IF($D157="","",IFERROR(VLOOKUP($D157,AcctTbl,2,0),""))</f>
        <v>0</v>
      </c>
      <c r="F157" s="39">
        <f>IF($D157="","",IFERROR(VLOOKUP($D157,AcctTbl,3,0),""))</f>
        <v>0</v>
      </c>
      <c r="G157" s="39">
        <f>IF(Txn!$B85="","",Txn!$D85)</f>
        <v>0</v>
      </c>
      <c r="H157" s="38">
        <f>IF(Txn!$B85="","",Txn!$E85)</f>
        <v>0</v>
      </c>
      <c r="I157" s="40">
        <f>IF(Txn!$B85="",0,Txn!$O85)</f>
        <v>0</v>
      </c>
      <c r="J157" s="40">
        <f>IF(Txn!$B85="",0,Txn!$P85)</f>
        <v>0</v>
      </c>
      <c r="K157" s="41">
        <f>IF($A157="","",IFERROR(VALUE(MID($A157,6,2)),""))</f>
        <v>0</v>
      </c>
      <c r="L157" s="39">
        <f>IF(Txn!$K85="","",Txn!$K85)</f>
        <v>0</v>
      </c>
      <c r="N157" s="42">
        <f>IF($D157="",0,COUNTIF(BankAccts,$D157))</f>
        <v>0</v>
      </c>
    </row>
    <row r="158" spans="1:14">
      <c r="A158" s="38">
        <f>IF(Txn!$B85="","",Txn!$B85)</f>
        <v>0</v>
      </c>
      <c r="B158" s="38">
        <f>IF(Txn!$B85="","",Txn!$C85)</f>
        <v>0</v>
      </c>
      <c r="C158" s="39">
        <f>IF(Txn!$B85="","","تراکنش بانکی")</f>
        <v>0</v>
      </c>
      <c r="D158" s="38">
        <f>IF(Txn!$B85="","",IF(IF(Txn!$U85="TRF",Txn!$Y85,Txn!$Z85)="","",IF(Txn!$U85="TRF",Txn!$Y85,Txn!$Z85)))</f>
        <v>0</v>
      </c>
      <c r="E158" s="39">
        <f>IF($D158="","",IFERROR(VLOOKUP($D158,AcctTbl,2,0),""))</f>
        <v>0</v>
      </c>
      <c r="F158" s="39">
        <f>IF($D158="","",IFERROR(VLOOKUP($D158,AcctTbl,3,0),""))</f>
        <v>0</v>
      </c>
      <c r="G158" s="39">
        <f>IF(Txn!$B85="","",Txn!$D85)</f>
        <v>0</v>
      </c>
      <c r="H158" s="38">
        <f>IF(Txn!$B85="","",Txn!$E85)</f>
        <v>0</v>
      </c>
      <c r="I158" s="40">
        <f>IF(Txn!$B85="",0,Txn!$Q85)</f>
        <v>0</v>
      </c>
      <c r="J158" s="40">
        <f>IF(Txn!$B85="",0,Txn!$R85)</f>
        <v>0</v>
      </c>
      <c r="K158" s="41">
        <f>IF($A158="","",IFERROR(VALUE(MID($A158,6,2)),""))</f>
        <v>0</v>
      </c>
      <c r="L158" s="39">
        <f>IF(Txn!$K85="","","طرف مقابل — "&amp;Txn!$K85)</f>
        <v>0</v>
      </c>
      <c r="N158" s="42">
        <f>IF($D158="",0,COUNTIF(BankAccts,$D158))</f>
        <v>0</v>
      </c>
    </row>
    <row r="159" spans="1:14">
      <c r="A159" s="38">
        <f>IF(Txn!$B86="","",Txn!$B86)</f>
        <v>0</v>
      </c>
      <c r="B159" s="38">
        <f>IF(Txn!$B86="","",Txn!$C86)</f>
        <v>0</v>
      </c>
      <c r="C159" s="39">
        <f>IF(Txn!$B86="","","تراکنش بانکی")</f>
        <v>0</v>
      </c>
      <c r="D159" s="38">
        <f>IF(Txn!$B86="","",IF(Txn!$X86="","",Txn!$X86))</f>
        <v>0</v>
      </c>
      <c r="E159" s="39">
        <f>IF($D159="","",IFERROR(VLOOKUP($D159,AcctTbl,2,0),""))</f>
        <v>0</v>
      </c>
      <c r="F159" s="39">
        <f>IF($D159="","",IFERROR(VLOOKUP($D159,AcctTbl,3,0),""))</f>
        <v>0</v>
      </c>
      <c r="G159" s="39">
        <f>IF(Txn!$B86="","",Txn!$D86)</f>
        <v>0</v>
      </c>
      <c r="H159" s="38">
        <f>IF(Txn!$B86="","",Txn!$E86)</f>
        <v>0</v>
      </c>
      <c r="I159" s="40">
        <f>IF(Txn!$B86="",0,Txn!$O86)</f>
        <v>0</v>
      </c>
      <c r="J159" s="40">
        <f>IF(Txn!$B86="",0,Txn!$P86)</f>
        <v>0</v>
      </c>
      <c r="K159" s="41">
        <f>IF($A159="","",IFERROR(VALUE(MID($A159,6,2)),""))</f>
        <v>0</v>
      </c>
      <c r="L159" s="39">
        <f>IF(Txn!$K86="","",Txn!$K86)</f>
        <v>0</v>
      </c>
      <c r="N159" s="42">
        <f>IF($D159="",0,COUNTIF(BankAccts,$D159))</f>
        <v>0</v>
      </c>
    </row>
    <row r="160" spans="1:14">
      <c r="A160" s="38">
        <f>IF(Txn!$B86="","",Txn!$B86)</f>
        <v>0</v>
      </c>
      <c r="B160" s="38">
        <f>IF(Txn!$B86="","",Txn!$C86)</f>
        <v>0</v>
      </c>
      <c r="C160" s="39">
        <f>IF(Txn!$B86="","","تراکنش بانکی")</f>
        <v>0</v>
      </c>
      <c r="D160" s="38">
        <f>IF(Txn!$B86="","",IF(IF(Txn!$U86="TRF",Txn!$Y86,Txn!$Z86)="","",IF(Txn!$U86="TRF",Txn!$Y86,Txn!$Z86)))</f>
        <v>0</v>
      </c>
      <c r="E160" s="39">
        <f>IF($D160="","",IFERROR(VLOOKUP($D160,AcctTbl,2,0),""))</f>
        <v>0</v>
      </c>
      <c r="F160" s="39">
        <f>IF($D160="","",IFERROR(VLOOKUP($D160,AcctTbl,3,0),""))</f>
        <v>0</v>
      </c>
      <c r="G160" s="39">
        <f>IF(Txn!$B86="","",Txn!$D86)</f>
        <v>0</v>
      </c>
      <c r="H160" s="38">
        <f>IF(Txn!$B86="","",Txn!$E86)</f>
        <v>0</v>
      </c>
      <c r="I160" s="40">
        <f>IF(Txn!$B86="",0,Txn!$Q86)</f>
        <v>0</v>
      </c>
      <c r="J160" s="40">
        <f>IF(Txn!$B86="",0,Txn!$R86)</f>
        <v>0</v>
      </c>
      <c r="K160" s="41">
        <f>IF($A160="","",IFERROR(VALUE(MID($A160,6,2)),""))</f>
        <v>0</v>
      </c>
      <c r="L160" s="39">
        <f>IF(Txn!$K86="","","طرف مقابل — "&amp;Txn!$K86)</f>
        <v>0</v>
      </c>
      <c r="N160" s="42">
        <f>IF($D160="",0,COUNTIF(BankAccts,$D160))</f>
        <v>0</v>
      </c>
    </row>
    <row r="161" spans="1:14">
      <c r="A161" s="38">
        <f>IF(Txn!$B87="","",Txn!$B87)</f>
        <v>0</v>
      </c>
      <c r="B161" s="38">
        <f>IF(Txn!$B87="","",Txn!$C87)</f>
        <v>0</v>
      </c>
      <c r="C161" s="39">
        <f>IF(Txn!$B87="","","تراکنش بانکی")</f>
        <v>0</v>
      </c>
      <c r="D161" s="38">
        <f>IF(Txn!$B87="","",IF(Txn!$X87="","",Txn!$X87))</f>
        <v>0</v>
      </c>
      <c r="E161" s="39">
        <f>IF($D161="","",IFERROR(VLOOKUP($D161,AcctTbl,2,0),""))</f>
        <v>0</v>
      </c>
      <c r="F161" s="39">
        <f>IF($D161="","",IFERROR(VLOOKUP($D161,AcctTbl,3,0),""))</f>
        <v>0</v>
      </c>
      <c r="G161" s="39">
        <f>IF(Txn!$B87="","",Txn!$D87)</f>
        <v>0</v>
      </c>
      <c r="H161" s="38">
        <f>IF(Txn!$B87="","",Txn!$E87)</f>
        <v>0</v>
      </c>
      <c r="I161" s="40">
        <f>IF(Txn!$B87="",0,Txn!$O87)</f>
        <v>0</v>
      </c>
      <c r="J161" s="40">
        <f>IF(Txn!$B87="",0,Txn!$P87)</f>
        <v>0</v>
      </c>
      <c r="K161" s="41">
        <f>IF($A161="","",IFERROR(VALUE(MID($A161,6,2)),""))</f>
        <v>0</v>
      </c>
      <c r="L161" s="39">
        <f>IF(Txn!$K87="","",Txn!$K87)</f>
        <v>0</v>
      </c>
      <c r="N161" s="42">
        <f>IF($D161="",0,COUNTIF(BankAccts,$D161))</f>
        <v>0</v>
      </c>
    </row>
    <row r="162" spans="1:14">
      <c r="A162" s="38">
        <f>IF(Txn!$B87="","",Txn!$B87)</f>
        <v>0</v>
      </c>
      <c r="B162" s="38">
        <f>IF(Txn!$B87="","",Txn!$C87)</f>
        <v>0</v>
      </c>
      <c r="C162" s="39">
        <f>IF(Txn!$B87="","","تراکنش بانکی")</f>
        <v>0</v>
      </c>
      <c r="D162" s="38">
        <f>IF(Txn!$B87="","",IF(IF(Txn!$U87="TRF",Txn!$Y87,Txn!$Z87)="","",IF(Txn!$U87="TRF",Txn!$Y87,Txn!$Z87)))</f>
        <v>0</v>
      </c>
      <c r="E162" s="39">
        <f>IF($D162="","",IFERROR(VLOOKUP($D162,AcctTbl,2,0),""))</f>
        <v>0</v>
      </c>
      <c r="F162" s="39">
        <f>IF($D162="","",IFERROR(VLOOKUP($D162,AcctTbl,3,0),""))</f>
        <v>0</v>
      </c>
      <c r="G162" s="39">
        <f>IF(Txn!$B87="","",Txn!$D87)</f>
        <v>0</v>
      </c>
      <c r="H162" s="38">
        <f>IF(Txn!$B87="","",Txn!$E87)</f>
        <v>0</v>
      </c>
      <c r="I162" s="40">
        <f>IF(Txn!$B87="",0,Txn!$Q87)</f>
        <v>0</v>
      </c>
      <c r="J162" s="40">
        <f>IF(Txn!$B87="",0,Txn!$R87)</f>
        <v>0</v>
      </c>
      <c r="K162" s="41">
        <f>IF($A162="","",IFERROR(VALUE(MID($A162,6,2)),""))</f>
        <v>0</v>
      </c>
      <c r="L162" s="39">
        <f>IF(Txn!$K87="","","طرف مقابل — "&amp;Txn!$K87)</f>
        <v>0</v>
      </c>
      <c r="N162" s="42">
        <f>IF($D162="",0,COUNTIF(BankAccts,$D162))</f>
        <v>0</v>
      </c>
    </row>
    <row r="163" spans="1:14">
      <c r="A163" s="38">
        <f>IF(Txn!$B88="","",Txn!$B88)</f>
        <v>0</v>
      </c>
      <c r="B163" s="38">
        <f>IF(Txn!$B88="","",Txn!$C88)</f>
        <v>0</v>
      </c>
      <c r="C163" s="39">
        <f>IF(Txn!$B88="","","تراکنش بانکی")</f>
        <v>0</v>
      </c>
      <c r="D163" s="38">
        <f>IF(Txn!$B88="","",IF(Txn!$X88="","",Txn!$X88))</f>
        <v>0</v>
      </c>
      <c r="E163" s="39">
        <f>IF($D163="","",IFERROR(VLOOKUP($D163,AcctTbl,2,0),""))</f>
        <v>0</v>
      </c>
      <c r="F163" s="39">
        <f>IF($D163="","",IFERROR(VLOOKUP($D163,AcctTbl,3,0),""))</f>
        <v>0</v>
      </c>
      <c r="G163" s="39">
        <f>IF(Txn!$B88="","",Txn!$D88)</f>
        <v>0</v>
      </c>
      <c r="H163" s="38">
        <f>IF(Txn!$B88="","",Txn!$E88)</f>
        <v>0</v>
      </c>
      <c r="I163" s="40">
        <f>IF(Txn!$B88="",0,Txn!$O88)</f>
        <v>0</v>
      </c>
      <c r="J163" s="40">
        <f>IF(Txn!$B88="",0,Txn!$P88)</f>
        <v>0</v>
      </c>
      <c r="K163" s="41">
        <f>IF($A163="","",IFERROR(VALUE(MID($A163,6,2)),""))</f>
        <v>0</v>
      </c>
      <c r="L163" s="39">
        <f>IF(Txn!$K88="","",Txn!$K88)</f>
        <v>0</v>
      </c>
      <c r="N163" s="42">
        <f>IF($D163="",0,COUNTIF(BankAccts,$D163))</f>
        <v>0</v>
      </c>
    </row>
    <row r="164" spans="1:14">
      <c r="A164" s="38">
        <f>IF(Txn!$B88="","",Txn!$B88)</f>
        <v>0</v>
      </c>
      <c r="B164" s="38">
        <f>IF(Txn!$B88="","",Txn!$C88)</f>
        <v>0</v>
      </c>
      <c r="C164" s="39">
        <f>IF(Txn!$B88="","","تراکنش بانکی")</f>
        <v>0</v>
      </c>
      <c r="D164" s="38">
        <f>IF(Txn!$B88="","",IF(IF(Txn!$U88="TRF",Txn!$Y88,Txn!$Z88)="","",IF(Txn!$U88="TRF",Txn!$Y88,Txn!$Z88)))</f>
        <v>0</v>
      </c>
      <c r="E164" s="39">
        <f>IF($D164="","",IFERROR(VLOOKUP($D164,AcctTbl,2,0),""))</f>
        <v>0</v>
      </c>
      <c r="F164" s="39">
        <f>IF($D164="","",IFERROR(VLOOKUP($D164,AcctTbl,3,0),""))</f>
        <v>0</v>
      </c>
      <c r="G164" s="39">
        <f>IF(Txn!$B88="","",Txn!$D88)</f>
        <v>0</v>
      </c>
      <c r="H164" s="38">
        <f>IF(Txn!$B88="","",Txn!$E88)</f>
        <v>0</v>
      </c>
      <c r="I164" s="40">
        <f>IF(Txn!$B88="",0,Txn!$Q88)</f>
        <v>0</v>
      </c>
      <c r="J164" s="40">
        <f>IF(Txn!$B88="",0,Txn!$R88)</f>
        <v>0</v>
      </c>
      <c r="K164" s="41">
        <f>IF($A164="","",IFERROR(VALUE(MID($A164,6,2)),""))</f>
        <v>0</v>
      </c>
      <c r="L164" s="39">
        <f>IF(Txn!$K88="","","طرف مقابل — "&amp;Txn!$K88)</f>
        <v>0</v>
      </c>
      <c r="N164" s="42">
        <f>IF($D164="",0,COUNTIF(BankAccts,$D164))</f>
        <v>0</v>
      </c>
    </row>
    <row r="165" spans="1:14">
      <c r="A165" s="38">
        <f>IF(Txn!$B89="","",Txn!$B89)</f>
        <v>0</v>
      </c>
      <c r="B165" s="38">
        <f>IF(Txn!$B89="","",Txn!$C89)</f>
        <v>0</v>
      </c>
      <c r="C165" s="39">
        <f>IF(Txn!$B89="","","تراکنش بانکی")</f>
        <v>0</v>
      </c>
      <c r="D165" s="38">
        <f>IF(Txn!$B89="","",IF(Txn!$X89="","",Txn!$X89))</f>
        <v>0</v>
      </c>
      <c r="E165" s="39">
        <f>IF($D165="","",IFERROR(VLOOKUP($D165,AcctTbl,2,0),""))</f>
        <v>0</v>
      </c>
      <c r="F165" s="39">
        <f>IF($D165="","",IFERROR(VLOOKUP($D165,AcctTbl,3,0),""))</f>
        <v>0</v>
      </c>
      <c r="G165" s="39">
        <f>IF(Txn!$B89="","",Txn!$D89)</f>
        <v>0</v>
      </c>
      <c r="H165" s="38">
        <f>IF(Txn!$B89="","",Txn!$E89)</f>
        <v>0</v>
      </c>
      <c r="I165" s="40">
        <f>IF(Txn!$B89="",0,Txn!$O89)</f>
        <v>0</v>
      </c>
      <c r="J165" s="40">
        <f>IF(Txn!$B89="",0,Txn!$P89)</f>
        <v>0</v>
      </c>
      <c r="K165" s="41">
        <f>IF($A165="","",IFERROR(VALUE(MID($A165,6,2)),""))</f>
        <v>0</v>
      </c>
      <c r="L165" s="39">
        <f>IF(Txn!$K89="","",Txn!$K89)</f>
        <v>0</v>
      </c>
      <c r="N165" s="42">
        <f>IF($D165="",0,COUNTIF(BankAccts,$D165))</f>
        <v>0</v>
      </c>
    </row>
    <row r="166" spans="1:14">
      <c r="A166" s="38">
        <f>IF(Txn!$B89="","",Txn!$B89)</f>
        <v>0</v>
      </c>
      <c r="B166" s="38">
        <f>IF(Txn!$B89="","",Txn!$C89)</f>
        <v>0</v>
      </c>
      <c r="C166" s="39">
        <f>IF(Txn!$B89="","","تراکنش بانکی")</f>
        <v>0</v>
      </c>
      <c r="D166" s="38">
        <f>IF(Txn!$B89="","",IF(IF(Txn!$U89="TRF",Txn!$Y89,Txn!$Z89)="","",IF(Txn!$U89="TRF",Txn!$Y89,Txn!$Z89)))</f>
        <v>0</v>
      </c>
      <c r="E166" s="39">
        <f>IF($D166="","",IFERROR(VLOOKUP($D166,AcctTbl,2,0),""))</f>
        <v>0</v>
      </c>
      <c r="F166" s="39">
        <f>IF($D166="","",IFERROR(VLOOKUP($D166,AcctTbl,3,0),""))</f>
        <v>0</v>
      </c>
      <c r="G166" s="39">
        <f>IF(Txn!$B89="","",Txn!$D89)</f>
        <v>0</v>
      </c>
      <c r="H166" s="38">
        <f>IF(Txn!$B89="","",Txn!$E89)</f>
        <v>0</v>
      </c>
      <c r="I166" s="40">
        <f>IF(Txn!$B89="",0,Txn!$Q89)</f>
        <v>0</v>
      </c>
      <c r="J166" s="40">
        <f>IF(Txn!$B89="",0,Txn!$R89)</f>
        <v>0</v>
      </c>
      <c r="K166" s="41">
        <f>IF($A166="","",IFERROR(VALUE(MID($A166,6,2)),""))</f>
        <v>0</v>
      </c>
      <c r="L166" s="39">
        <f>IF(Txn!$K89="","","طرف مقابل — "&amp;Txn!$K89)</f>
        <v>0</v>
      </c>
      <c r="N166" s="42">
        <f>IF($D166="",0,COUNTIF(BankAccts,$D166))</f>
        <v>0</v>
      </c>
    </row>
    <row r="167" spans="1:14">
      <c r="A167" s="38">
        <f>IF(Txn!$B90="","",Txn!$B90)</f>
        <v>0</v>
      </c>
      <c r="B167" s="38">
        <f>IF(Txn!$B90="","",Txn!$C90)</f>
        <v>0</v>
      </c>
      <c r="C167" s="39">
        <f>IF(Txn!$B90="","","تراکنش بانکی")</f>
        <v>0</v>
      </c>
      <c r="D167" s="38">
        <f>IF(Txn!$B90="","",IF(Txn!$X90="","",Txn!$X90))</f>
        <v>0</v>
      </c>
      <c r="E167" s="39">
        <f>IF($D167="","",IFERROR(VLOOKUP($D167,AcctTbl,2,0),""))</f>
        <v>0</v>
      </c>
      <c r="F167" s="39">
        <f>IF($D167="","",IFERROR(VLOOKUP($D167,AcctTbl,3,0),""))</f>
        <v>0</v>
      </c>
      <c r="G167" s="39">
        <f>IF(Txn!$B90="","",Txn!$D90)</f>
        <v>0</v>
      </c>
      <c r="H167" s="38">
        <f>IF(Txn!$B90="","",Txn!$E90)</f>
        <v>0</v>
      </c>
      <c r="I167" s="40">
        <f>IF(Txn!$B90="",0,Txn!$O90)</f>
        <v>0</v>
      </c>
      <c r="J167" s="40">
        <f>IF(Txn!$B90="",0,Txn!$P90)</f>
        <v>0</v>
      </c>
      <c r="K167" s="41">
        <f>IF($A167="","",IFERROR(VALUE(MID($A167,6,2)),""))</f>
        <v>0</v>
      </c>
      <c r="L167" s="39">
        <f>IF(Txn!$K90="","",Txn!$K90)</f>
        <v>0</v>
      </c>
      <c r="N167" s="42">
        <f>IF($D167="",0,COUNTIF(BankAccts,$D167))</f>
        <v>0</v>
      </c>
    </row>
    <row r="168" spans="1:14">
      <c r="A168" s="38">
        <f>IF(Txn!$B90="","",Txn!$B90)</f>
        <v>0</v>
      </c>
      <c r="B168" s="38">
        <f>IF(Txn!$B90="","",Txn!$C90)</f>
        <v>0</v>
      </c>
      <c r="C168" s="39">
        <f>IF(Txn!$B90="","","تراکنش بانکی")</f>
        <v>0</v>
      </c>
      <c r="D168" s="38">
        <f>IF(Txn!$B90="","",IF(IF(Txn!$U90="TRF",Txn!$Y90,Txn!$Z90)="","",IF(Txn!$U90="TRF",Txn!$Y90,Txn!$Z90)))</f>
        <v>0</v>
      </c>
      <c r="E168" s="39">
        <f>IF($D168="","",IFERROR(VLOOKUP($D168,AcctTbl,2,0),""))</f>
        <v>0</v>
      </c>
      <c r="F168" s="39">
        <f>IF($D168="","",IFERROR(VLOOKUP($D168,AcctTbl,3,0),""))</f>
        <v>0</v>
      </c>
      <c r="G168" s="39">
        <f>IF(Txn!$B90="","",Txn!$D90)</f>
        <v>0</v>
      </c>
      <c r="H168" s="38">
        <f>IF(Txn!$B90="","",Txn!$E90)</f>
        <v>0</v>
      </c>
      <c r="I168" s="40">
        <f>IF(Txn!$B90="",0,Txn!$Q90)</f>
        <v>0</v>
      </c>
      <c r="J168" s="40">
        <f>IF(Txn!$B90="",0,Txn!$R90)</f>
        <v>0</v>
      </c>
      <c r="K168" s="41">
        <f>IF($A168="","",IFERROR(VALUE(MID($A168,6,2)),""))</f>
        <v>0</v>
      </c>
      <c r="L168" s="39">
        <f>IF(Txn!$K90="","","طرف مقابل — "&amp;Txn!$K90)</f>
        <v>0</v>
      </c>
      <c r="N168" s="42">
        <f>IF($D168="",0,COUNTIF(BankAccts,$D168))</f>
        <v>0</v>
      </c>
    </row>
    <row r="169" spans="1:14">
      <c r="A169" s="38">
        <f>IF(Txn!$B91="","",Txn!$B91)</f>
        <v>0</v>
      </c>
      <c r="B169" s="38">
        <f>IF(Txn!$B91="","",Txn!$C91)</f>
        <v>0</v>
      </c>
      <c r="C169" s="39">
        <f>IF(Txn!$B91="","","تراکنش بانکی")</f>
        <v>0</v>
      </c>
      <c r="D169" s="38">
        <f>IF(Txn!$B91="","",IF(Txn!$X91="","",Txn!$X91))</f>
        <v>0</v>
      </c>
      <c r="E169" s="39">
        <f>IF($D169="","",IFERROR(VLOOKUP($D169,AcctTbl,2,0),""))</f>
        <v>0</v>
      </c>
      <c r="F169" s="39">
        <f>IF($D169="","",IFERROR(VLOOKUP($D169,AcctTbl,3,0),""))</f>
        <v>0</v>
      </c>
      <c r="G169" s="39">
        <f>IF(Txn!$B91="","",Txn!$D91)</f>
        <v>0</v>
      </c>
      <c r="H169" s="38">
        <f>IF(Txn!$B91="","",Txn!$E91)</f>
        <v>0</v>
      </c>
      <c r="I169" s="40">
        <f>IF(Txn!$B91="",0,Txn!$O91)</f>
        <v>0</v>
      </c>
      <c r="J169" s="40">
        <f>IF(Txn!$B91="",0,Txn!$P91)</f>
        <v>0</v>
      </c>
      <c r="K169" s="41">
        <f>IF($A169="","",IFERROR(VALUE(MID($A169,6,2)),""))</f>
        <v>0</v>
      </c>
      <c r="L169" s="39">
        <f>IF(Txn!$K91="","",Txn!$K91)</f>
        <v>0</v>
      </c>
      <c r="N169" s="42">
        <f>IF($D169="",0,COUNTIF(BankAccts,$D169))</f>
        <v>0</v>
      </c>
    </row>
    <row r="170" spans="1:14">
      <c r="A170" s="38">
        <f>IF(Txn!$B91="","",Txn!$B91)</f>
        <v>0</v>
      </c>
      <c r="B170" s="38">
        <f>IF(Txn!$B91="","",Txn!$C91)</f>
        <v>0</v>
      </c>
      <c r="C170" s="39">
        <f>IF(Txn!$B91="","","تراکنش بانکی")</f>
        <v>0</v>
      </c>
      <c r="D170" s="38">
        <f>IF(Txn!$B91="","",IF(IF(Txn!$U91="TRF",Txn!$Y91,Txn!$Z91)="","",IF(Txn!$U91="TRF",Txn!$Y91,Txn!$Z91)))</f>
        <v>0</v>
      </c>
      <c r="E170" s="39">
        <f>IF($D170="","",IFERROR(VLOOKUP($D170,AcctTbl,2,0),""))</f>
        <v>0</v>
      </c>
      <c r="F170" s="39">
        <f>IF($D170="","",IFERROR(VLOOKUP($D170,AcctTbl,3,0),""))</f>
        <v>0</v>
      </c>
      <c r="G170" s="39">
        <f>IF(Txn!$B91="","",Txn!$D91)</f>
        <v>0</v>
      </c>
      <c r="H170" s="38">
        <f>IF(Txn!$B91="","",Txn!$E91)</f>
        <v>0</v>
      </c>
      <c r="I170" s="40">
        <f>IF(Txn!$B91="",0,Txn!$Q91)</f>
        <v>0</v>
      </c>
      <c r="J170" s="40">
        <f>IF(Txn!$B91="",0,Txn!$R91)</f>
        <v>0</v>
      </c>
      <c r="K170" s="41">
        <f>IF($A170="","",IFERROR(VALUE(MID($A170,6,2)),""))</f>
        <v>0</v>
      </c>
      <c r="L170" s="39">
        <f>IF(Txn!$K91="","","طرف مقابل — "&amp;Txn!$K91)</f>
        <v>0</v>
      </c>
      <c r="N170" s="42">
        <f>IF($D170="",0,COUNTIF(BankAccts,$D170))</f>
        <v>0</v>
      </c>
    </row>
    <row r="171" spans="1:14">
      <c r="A171" s="38">
        <f>IF(Txn!$B92="","",Txn!$B92)</f>
        <v>0</v>
      </c>
      <c r="B171" s="38">
        <f>IF(Txn!$B92="","",Txn!$C92)</f>
        <v>0</v>
      </c>
      <c r="C171" s="39">
        <f>IF(Txn!$B92="","","تراکنش بانکی")</f>
        <v>0</v>
      </c>
      <c r="D171" s="38">
        <f>IF(Txn!$B92="","",IF(Txn!$X92="","",Txn!$X92))</f>
        <v>0</v>
      </c>
      <c r="E171" s="39">
        <f>IF($D171="","",IFERROR(VLOOKUP($D171,AcctTbl,2,0),""))</f>
        <v>0</v>
      </c>
      <c r="F171" s="39">
        <f>IF($D171="","",IFERROR(VLOOKUP($D171,AcctTbl,3,0),""))</f>
        <v>0</v>
      </c>
      <c r="G171" s="39">
        <f>IF(Txn!$B92="","",Txn!$D92)</f>
        <v>0</v>
      </c>
      <c r="H171" s="38">
        <f>IF(Txn!$B92="","",Txn!$E92)</f>
        <v>0</v>
      </c>
      <c r="I171" s="40">
        <f>IF(Txn!$B92="",0,Txn!$O92)</f>
        <v>0</v>
      </c>
      <c r="J171" s="40">
        <f>IF(Txn!$B92="",0,Txn!$P92)</f>
        <v>0</v>
      </c>
      <c r="K171" s="41">
        <f>IF($A171="","",IFERROR(VALUE(MID($A171,6,2)),""))</f>
        <v>0</v>
      </c>
      <c r="L171" s="39">
        <f>IF(Txn!$K92="","",Txn!$K92)</f>
        <v>0</v>
      </c>
      <c r="N171" s="42">
        <f>IF($D171="",0,COUNTIF(BankAccts,$D171))</f>
        <v>0</v>
      </c>
    </row>
    <row r="172" spans="1:14">
      <c r="A172" s="38">
        <f>IF(Txn!$B92="","",Txn!$B92)</f>
        <v>0</v>
      </c>
      <c r="B172" s="38">
        <f>IF(Txn!$B92="","",Txn!$C92)</f>
        <v>0</v>
      </c>
      <c r="C172" s="39">
        <f>IF(Txn!$B92="","","تراکنش بانکی")</f>
        <v>0</v>
      </c>
      <c r="D172" s="38">
        <f>IF(Txn!$B92="","",IF(IF(Txn!$U92="TRF",Txn!$Y92,Txn!$Z92)="","",IF(Txn!$U92="TRF",Txn!$Y92,Txn!$Z92)))</f>
        <v>0</v>
      </c>
      <c r="E172" s="39">
        <f>IF($D172="","",IFERROR(VLOOKUP($D172,AcctTbl,2,0),""))</f>
        <v>0</v>
      </c>
      <c r="F172" s="39">
        <f>IF($D172="","",IFERROR(VLOOKUP($D172,AcctTbl,3,0),""))</f>
        <v>0</v>
      </c>
      <c r="G172" s="39">
        <f>IF(Txn!$B92="","",Txn!$D92)</f>
        <v>0</v>
      </c>
      <c r="H172" s="38">
        <f>IF(Txn!$B92="","",Txn!$E92)</f>
        <v>0</v>
      </c>
      <c r="I172" s="40">
        <f>IF(Txn!$B92="",0,Txn!$Q92)</f>
        <v>0</v>
      </c>
      <c r="J172" s="40">
        <f>IF(Txn!$B92="",0,Txn!$R92)</f>
        <v>0</v>
      </c>
      <c r="K172" s="41">
        <f>IF($A172="","",IFERROR(VALUE(MID($A172,6,2)),""))</f>
        <v>0</v>
      </c>
      <c r="L172" s="39">
        <f>IF(Txn!$K92="","","طرف مقابل — "&amp;Txn!$K92)</f>
        <v>0</v>
      </c>
      <c r="N172" s="42">
        <f>IF($D172="",0,COUNTIF(BankAccts,$D172))</f>
        <v>0</v>
      </c>
    </row>
    <row r="173" spans="1:14">
      <c r="A173" s="38">
        <f>IF(Txn!$B93="","",Txn!$B93)</f>
        <v>0</v>
      </c>
      <c r="B173" s="38">
        <f>IF(Txn!$B93="","",Txn!$C93)</f>
        <v>0</v>
      </c>
      <c r="C173" s="39">
        <f>IF(Txn!$B93="","","تراکنش بانکی")</f>
        <v>0</v>
      </c>
      <c r="D173" s="38">
        <f>IF(Txn!$B93="","",IF(Txn!$X93="","",Txn!$X93))</f>
        <v>0</v>
      </c>
      <c r="E173" s="39">
        <f>IF($D173="","",IFERROR(VLOOKUP($D173,AcctTbl,2,0),""))</f>
        <v>0</v>
      </c>
      <c r="F173" s="39">
        <f>IF($D173="","",IFERROR(VLOOKUP($D173,AcctTbl,3,0),""))</f>
        <v>0</v>
      </c>
      <c r="G173" s="39">
        <f>IF(Txn!$B93="","",Txn!$D93)</f>
        <v>0</v>
      </c>
      <c r="H173" s="38">
        <f>IF(Txn!$B93="","",Txn!$E93)</f>
        <v>0</v>
      </c>
      <c r="I173" s="40">
        <f>IF(Txn!$B93="",0,Txn!$O93)</f>
        <v>0</v>
      </c>
      <c r="J173" s="40">
        <f>IF(Txn!$B93="",0,Txn!$P93)</f>
        <v>0</v>
      </c>
      <c r="K173" s="41">
        <f>IF($A173="","",IFERROR(VALUE(MID($A173,6,2)),""))</f>
        <v>0</v>
      </c>
      <c r="L173" s="39">
        <f>IF(Txn!$K93="","",Txn!$K93)</f>
        <v>0</v>
      </c>
      <c r="N173" s="42">
        <f>IF($D173="",0,COUNTIF(BankAccts,$D173))</f>
        <v>0</v>
      </c>
    </row>
    <row r="174" spans="1:14">
      <c r="A174" s="38">
        <f>IF(Txn!$B93="","",Txn!$B93)</f>
        <v>0</v>
      </c>
      <c r="B174" s="38">
        <f>IF(Txn!$B93="","",Txn!$C93)</f>
        <v>0</v>
      </c>
      <c r="C174" s="39">
        <f>IF(Txn!$B93="","","تراکنش بانکی")</f>
        <v>0</v>
      </c>
      <c r="D174" s="38">
        <f>IF(Txn!$B93="","",IF(IF(Txn!$U93="TRF",Txn!$Y93,Txn!$Z93)="","",IF(Txn!$U93="TRF",Txn!$Y93,Txn!$Z93)))</f>
        <v>0</v>
      </c>
      <c r="E174" s="39">
        <f>IF($D174="","",IFERROR(VLOOKUP($D174,AcctTbl,2,0),""))</f>
        <v>0</v>
      </c>
      <c r="F174" s="39">
        <f>IF($D174="","",IFERROR(VLOOKUP($D174,AcctTbl,3,0),""))</f>
        <v>0</v>
      </c>
      <c r="G174" s="39">
        <f>IF(Txn!$B93="","",Txn!$D93)</f>
        <v>0</v>
      </c>
      <c r="H174" s="38">
        <f>IF(Txn!$B93="","",Txn!$E93)</f>
        <v>0</v>
      </c>
      <c r="I174" s="40">
        <f>IF(Txn!$B93="",0,Txn!$Q93)</f>
        <v>0</v>
      </c>
      <c r="J174" s="40">
        <f>IF(Txn!$B93="",0,Txn!$R93)</f>
        <v>0</v>
      </c>
      <c r="K174" s="41">
        <f>IF($A174="","",IFERROR(VALUE(MID($A174,6,2)),""))</f>
        <v>0</v>
      </c>
      <c r="L174" s="39">
        <f>IF(Txn!$K93="","","طرف مقابل — "&amp;Txn!$K93)</f>
        <v>0</v>
      </c>
      <c r="N174" s="42">
        <f>IF($D174="",0,COUNTIF(BankAccts,$D174))</f>
        <v>0</v>
      </c>
    </row>
    <row r="175" spans="1:14">
      <c r="A175" s="38">
        <f>IF(Txn!$B94="","",Txn!$B94)</f>
        <v>0</v>
      </c>
      <c r="B175" s="38">
        <f>IF(Txn!$B94="","",Txn!$C94)</f>
        <v>0</v>
      </c>
      <c r="C175" s="39">
        <f>IF(Txn!$B94="","","تراکنش بانکی")</f>
        <v>0</v>
      </c>
      <c r="D175" s="38">
        <f>IF(Txn!$B94="","",IF(Txn!$X94="","",Txn!$X94))</f>
        <v>0</v>
      </c>
      <c r="E175" s="39">
        <f>IF($D175="","",IFERROR(VLOOKUP($D175,AcctTbl,2,0),""))</f>
        <v>0</v>
      </c>
      <c r="F175" s="39">
        <f>IF($D175="","",IFERROR(VLOOKUP($D175,AcctTbl,3,0),""))</f>
        <v>0</v>
      </c>
      <c r="G175" s="39">
        <f>IF(Txn!$B94="","",Txn!$D94)</f>
        <v>0</v>
      </c>
      <c r="H175" s="38">
        <f>IF(Txn!$B94="","",Txn!$E94)</f>
        <v>0</v>
      </c>
      <c r="I175" s="40">
        <f>IF(Txn!$B94="",0,Txn!$O94)</f>
        <v>0</v>
      </c>
      <c r="J175" s="40">
        <f>IF(Txn!$B94="",0,Txn!$P94)</f>
        <v>0</v>
      </c>
      <c r="K175" s="41">
        <f>IF($A175="","",IFERROR(VALUE(MID($A175,6,2)),""))</f>
        <v>0</v>
      </c>
      <c r="L175" s="39">
        <f>IF(Txn!$K94="","",Txn!$K94)</f>
        <v>0</v>
      </c>
      <c r="N175" s="42">
        <f>IF($D175="",0,COUNTIF(BankAccts,$D175))</f>
        <v>0</v>
      </c>
    </row>
    <row r="176" spans="1:14">
      <c r="A176" s="38">
        <f>IF(Txn!$B94="","",Txn!$B94)</f>
        <v>0</v>
      </c>
      <c r="B176" s="38">
        <f>IF(Txn!$B94="","",Txn!$C94)</f>
        <v>0</v>
      </c>
      <c r="C176" s="39">
        <f>IF(Txn!$B94="","","تراکنش بانکی")</f>
        <v>0</v>
      </c>
      <c r="D176" s="38">
        <f>IF(Txn!$B94="","",IF(IF(Txn!$U94="TRF",Txn!$Y94,Txn!$Z94)="","",IF(Txn!$U94="TRF",Txn!$Y94,Txn!$Z94)))</f>
        <v>0</v>
      </c>
      <c r="E176" s="39">
        <f>IF($D176="","",IFERROR(VLOOKUP($D176,AcctTbl,2,0),""))</f>
        <v>0</v>
      </c>
      <c r="F176" s="39">
        <f>IF($D176="","",IFERROR(VLOOKUP($D176,AcctTbl,3,0),""))</f>
        <v>0</v>
      </c>
      <c r="G176" s="39">
        <f>IF(Txn!$B94="","",Txn!$D94)</f>
        <v>0</v>
      </c>
      <c r="H176" s="38">
        <f>IF(Txn!$B94="","",Txn!$E94)</f>
        <v>0</v>
      </c>
      <c r="I176" s="40">
        <f>IF(Txn!$B94="",0,Txn!$Q94)</f>
        <v>0</v>
      </c>
      <c r="J176" s="40">
        <f>IF(Txn!$B94="",0,Txn!$R94)</f>
        <v>0</v>
      </c>
      <c r="K176" s="41">
        <f>IF($A176="","",IFERROR(VALUE(MID($A176,6,2)),""))</f>
        <v>0</v>
      </c>
      <c r="L176" s="39">
        <f>IF(Txn!$K94="","","طرف مقابل — "&amp;Txn!$K94)</f>
        <v>0</v>
      </c>
      <c r="N176" s="42">
        <f>IF($D176="",0,COUNTIF(BankAccts,$D176))</f>
        <v>0</v>
      </c>
    </row>
    <row r="177" spans="1:14">
      <c r="A177" s="38">
        <f>IF(Txn!$B95="","",Txn!$B95)</f>
        <v>0</v>
      </c>
      <c r="B177" s="38">
        <f>IF(Txn!$B95="","",Txn!$C95)</f>
        <v>0</v>
      </c>
      <c r="C177" s="39">
        <f>IF(Txn!$B95="","","تراکنش بانکی")</f>
        <v>0</v>
      </c>
      <c r="D177" s="38">
        <f>IF(Txn!$B95="","",IF(Txn!$X95="","",Txn!$X95))</f>
        <v>0</v>
      </c>
      <c r="E177" s="39">
        <f>IF($D177="","",IFERROR(VLOOKUP($D177,AcctTbl,2,0),""))</f>
        <v>0</v>
      </c>
      <c r="F177" s="39">
        <f>IF($D177="","",IFERROR(VLOOKUP($D177,AcctTbl,3,0),""))</f>
        <v>0</v>
      </c>
      <c r="G177" s="39">
        <f>IF(Txn!$B95="","",Txn!$D95)</f>
        <v>0</v>
      </c>
      <c r="H177" s="38">
        <f>IF(Txn!$B95="","",Txn!$E95)</f>
        <v>0</v>
      </c>
      <c r="I177" s="40">
        <f>IF(Txn!$B95="",0,Txn!$O95)</f>
        <v>0</v>
      </c>
      <c r="J177" s="40">
        <f>IF(Txn!$B95="",0,Txn!$P95)</f>
        <v>0</v>
      </c>
      <c r="K177" s="41">
        <f>IF($A177="","",IFERROR(VALUE(MID($A177,6,2)),""))</f>
        <v>0</v>
      </c>
      <c r="L177" s="39">
        <f>IF(Txn!$K95="","",Txn!$K95)</f>
        <v>0</v>
      </c>
      <c r="N177" s="42">
        <f>IF($D177="",0,COUNTIF(BankAccts,$D177))</f>
        <v>0</v>
      </c>
    </row>
    <row r="178" spans="1:14">
      <c r="A178" s="38">
        <f>IF(Txn!$B95="","",Txn!$B95)</f>
        <v>0</v>
      </c>
      <c r="B178" s="38">
        <f>IF(Txn!$B95="","",Txn!$C95)</f>
        <v>0</v>
      </c>
      <c r="C178" s="39">
        <f>IF(Txn!$B95="","","تراکنش بانکی")</f>
        <v>0</v>
      </c>
      <c r="D178" s="38">
        <f>IF(Txn!$B95="","",IF(IF(Txn!$U95="TRF",Txn!$Y95,Txn!$Z95)="","",IF(Txn!$U95="TRF",Txn!$Y95,Txn!$Z95)))</f>
        <v>0</v>
      </c>
      <c r="E178" s="39">
        <f>IF($D178="","",IFERROR(VLOOKUP($D178,AcctTbl,2,0),""))</f>
        <v>0</v>
      </c>
      <c r="F178" s="39">
        <f>IF($D178="","",IFERROR(VLOOKUP($D178,AcctTbl,3,0),""))</f>
        <v>0</v>
      </c>
      <c r="G178" s="39">
        <f>IF(Txn!$B95="","",Txn!$D95)</f>
        <v>0</v>
      </c>
      <c r="H178" s="38">
        <f>IF(Txn!$B95="","",Txn!$E95)</f>
        <v>0</v>
      </c>
      <c r="I178" s="40">
        <f>IF(Txn!$B95="",0,Txn!$Q95)</f>
        <v>0</v>
      </c>
      <c r="J178" s="40">
        <f>IF(Txn!$B95="",0,Txn!$R95)</f>
        <v>0</v>
      </c>
      <c r="K178" s="41">
        <f>IF($A178="","",IFERROR(VALUE(MID($A178,6,2)),""))</f>
        <v>0</v>
      </c>
      <c r="L178" s="39">
        <f>IF(Txn!$K95="","","طرف مقابل — "&amp;Txn!$K95)</f>
        <v>0</v>
      </c>
      <c r="N178" s="42">
        <f>IF($D178="",0,COUNTIF(BankAccts,$D178))</f>
        <v>0</v>
      </c>
    </row>
    <row r="179" spans="1:14">
      <c r="A179" s="38">
        <f>IF(Txn!$B96="","",Txn!$B96)</f>
        <v>0</v>
      </c>
      <c r="B179" s="38">
        <f>IF(Txn!$B96="","",Txn!$C96)</f>
        <v>0</v>
      </c>
      <c r="C179" s="39">
        <f>IF(Txn!$B96="","","تراکنش بانکی")</f>
        <v>0</v>
      </c>
      <c r="D179" s="38">
        <f>IF(Txn!$B96="","",IF(Txn!$X96="","",Txn!$X96))</f>
        <v>0</v>
      </c>
      <c r="E179" s="39">
        <f>IF($D179="","",IFERROR(VLOOKUP($D179,AcctTbl,2,0),""))</f>
        <v>0</v>
      </c>
      <c r="F179" s="39">
        <f>IF($D179="","",IFERROR(VLOOKUP($D179,AcctTbl,3,0),""))</f>
        <v>0</v>
      </c>
      <c r="G179" s="39">
        <f>IF(Txn!$B96="","",Txn!$D96)</f>
        <v>0</v>
      </c>
      <c r="H179" s="38">
        <f>IF(Txn!$B96="","",Txn!$E96)</f>
        <v>0</v>
      </c>
      <c r="I179" s="40">
        <f>IF(Txn!$B96="",0,Txn!$O96)</f>
        <v>0</v>
      </c>
      <c r="J179" s="40">
        <f>IF(Txn!$B96="",0,Txn!$P96)</f>
        <v>0</v>
      </c>
      <c r="K179" s="41">
        <f>IF($A179="","",IFERROR(VALUE(MID($A179,6,2)),""))</f>
        <v>0</v>
      </c>
      <c r="L179" s="39">
        <f>IF(Txn!$K96="","",Txn!$K96)</f>
        <v>0</v>
      </c>
      <c r="N179" s="42">
        <f>IF($D179="",0,COUNTIF(BankAccts,$D179))</f>
        <v>0</v>
      </c>
    </row>
    <row r="180" spans="1:14">
      <c r="A180" s="38">
        <f>IF(Txn!$B96="","",Txn!$B96)</f>
        <v>0</v>
      </c>
      <c r="B180" s="38">
        <f>IF(Txn!$B96="","",Txn!$C96)</f>
        <v>0</v>
      </c>
      <c r="C180" s="39">
        <f>IF(Txn!$B96="","","تراکنش بانکی")</f>
        <v>0</v>
      </c>
      <c r="D180" s="38">
        <f>IF(Txn!$B96="","",IF(IF(Txn!$U96="TRF",Txn!$Y96,Txn!$Z96)="","",IF(Txn!$U96="TRF",Txn!$Y96,Txn!$Z96)))</f>
        <v>0</v>
      </c>
      <c r="E180" s="39">
        <f>IF($D180="","",IFERROR(VLOOKUP($D180,AcctTbl,2,0),""))</f>
        <v>0</v>
      </c>
      <c r="F180" s="39">
        <f>IF($D180="","",IFERROR(VLOOKUP($D180,AcctTbl,3,0),""))</f>
        <v>0</v>
      </c>
      <c r="G180" s="39">
        <f>IF(Txn!$B96="","",Txn!$D96)</f>
        <v>0</v>
      </c>
      <c r="H180" s="38">
        <f>IF(Txn!$B96="","",Txn!$E96)</f>
        <v>0</v>
      </c>
      <c r="I180" s="40">
        <f>IF(Txn!$B96="",0,Txn!$Q96)</f>
        <v>0</v>
      </c>
      <c r="J180" s="40">
        <f>IF(Txn!$B96="",0,Txn!$R96)</f>
        <v>0</v>
      </c>
      <c r="K180" s="41">
        <f>IF($A180="","",IFERROR(VALUE(MID($A180,6,2)),""))</f>
        <v>0</v>
      </c>
      <c r="L180" s="39">
        <f>IF(Txn!$K96="","","طرف مقابل — "&amp;Txn!$K96)</f>
        <v>0</v>
      </c>
      <c r="N180" s="42">
        <f>IF($D180="",0,COUNTIF(BankAccts,$D180))</f>
        <v>0</v>
      </c>
    </row>
    <row r="181" spans="1:14">
      <c r="A181" s="38">
        <f>IF(Txn!$B97="","",Txn!$B97)</f>
        <v>0</v>
      </c>
      <c r="B181" s="38">
        <f>IF(Txn!$B97="","",Txn!$C97)</f>
        <v>0</v>
      </c>
      <c r="C181" s="39">
        <f>IF(Txn!$B97="","","تراکنش بانکی")</f>
        <v>0</v>
      </c>
      <c r="D181" s="38">
        <f>IF(Txn!$B97="","",IF(Txn!$X97="","",Txn!$X97))</f>
        <v>0</v>
      </c>
      <c r="E181" s="39">
        <f>IF($D181="","",IFERROR(VLOOKUP($D181,AcctTbl,2,0),""))</f>
        <v>0</v>
      </c>
      <c r="F181" s="39">
        <f>IF($D181="","",IFERROR(VLOOKUP($D181,AcctTbl,3,0),""))</f>
        <v>0</v>
      </c>
      <c r="G181" s="39">
        <f>IF(Txn!$B97="","",Txn!$D97)</f>
        <v>0</v>
      </c>
      <c r="H181" s="38">
        <f>IF(Txn!$B97="","",Txn!$E97)</f>
        <v>0</v>
      </c>
      <c r="I181" s="40">
        <f>IF(Txn!$B97="",0,Txn!$O97)</f>
        <v>0</v>
      </c>
      <c r="J181" s="40">
        <f>IF(Txn!$B97="",0,Txn!$P97)</f>
        <v>0</v>
      </c>
      <c r="K181" s="41">
        <f>IF($A181="","",IFERROR(VALUE(MID($A181,6,2)),""))</f>
        <v>0</v>
      </c>
      <c r="L181" s="39">
        <f>IF(Txn!$K97="","",Txn!$K97)</f>
        <v>0</v>
      </c>
      <c r="N181" s="42">
        <f>IF($D181="",0,COUNTIF(BankAccts,$D181))</f>
        <v>0</v>
      </c>
    </row>
    <row r="182" spans="1:14">
      <c r="A182" s="38">
        <f>IF(Txn!$B97="","",Txn!$B97)</f>
        <v>0</v>
      </c>
      <c r="B182" s="38">
        <f>IF(Txn!$B97="","",Txn!$C97)</f>
        <v>0</v>
      </c>
      <c r="C182" s="39">
        <f>IF(Txn!$B97="","","تراکنش بانکی")</f>
        <v>0</v>
      </c>
      <c r="D182" s="38">
        <f>IF(Txn!$B97="","",IF(IF(Txn!$U97="TRF",Txn!$Y97,Txn!$Z97)="","",IF(Txn!$U97="TRF",Txn!$Y97,Txn!$Z97)))</f>
        <v>0</v>
      </c>
      <c r="E182" s="39">
        <f>IF($D182="","",IFERROR(VLOOKUP($D182,AcctTbl,2,0),""))</f>
        <v>0</v>
      </c>
      <c r="F182" s="39">
        <f>IF($D182="","",IFERROR(VLOOKUP($D182,AcctTbl,3,0),""))</f>
        <v>0</v>
      </c>
      <c r="G182" s="39">
        <f>IF(Txn!$B97="","",Txn!$D97)</f>
        <v>0</v>
      </c>
      <c r="H182" s="38">
        <f>IF(Txn!$B97="","",Txn!$E97)</f>
        <v>0</v>
      </c>
      <c r="I182" s="40">
        <f>IF(Txn!$B97="",0,Txn!$Q97)</f>
        <v>0</v>
      </c>
      <c r="J182" s="40">
        <f>IF(Txn!$B97="",0,Txn!$R97)</f>
        <v>0</v>
      </c>
      <c r="K182" s="41">
        <f>IF($A182="","",IFERROR(VALUE(MID($A182,6,2)),""))</f>
        <v>0</v>
      </c>
      <c r="L182" s="39">
        <f>IF(Txn!$K97="","","طرف مقابل — "&amp;Txn!$K97)</f>
        <v>0</v>
      </c>
      <c r="N182" s="42">
        <f>IF($D182="",0,COUNTIF(BankAccts,$D182))</f>
        <v>0</v>
      </c>
    </row>
    <row r="183" spans="1:14">
      <c r="A183" s="38">
        <f>IF(Txn!$B98="","",Txn!$B98)</f>
        <v>0</v>
      </c>
      <c r="B183" s="38">
        <f>IF(Txn!$B98="","",Txn!$C98)</f>
        <v>0</v>
      </c>
      <c r="C183" s="39">
        <f>IF(Txn!$B98="","","تراکنش بانکی")</f>
        <v>0</v>
      </c>
      <c r="D183" s="38">
        <f>IF(Txn!$B98="","",IF(Txn!$X98="","",Txn!$X98))</f>
        <v>0</v>
      </c>
      <c r="E183" s="39">
        <f>IF($D183="","",IFERROR(VLOOKUP($D183,AcctTbl,2,0),""))</f>
        <v>0</v>
      </c>
      <c r="F183" s="39">
        <f>IF($D183="","",IFERROR(VLOOKUP($D183,AcctTbl,3,0),""))</f>
        <v>0</v>
      </c>
      <c r="G183" s="39">
        <f>IF(Txn!$B98="","",Txn!$D98)</f>
        <v>0</v>
      </c>
      <c r="H183" s="38">
        <f>IF(Txn!$B98="","",Txn!$E98)</f>
        <v>0</v>
      </c>
      <c r="I183" s="40">
        <f>IF(Txn!$B98="",0,Txn!$O98)</f>
        <v>0</v>
      </c>
      <c r="J183" s="40">
        <f>IF(Txn!$B98="",0,Txn!$P98)</f>
        <v>0</v>
      </c>
      <c r="K183" s="41">
        <f>IF($A183="","",IFERROR(VALUE(MID($A183,6,2)),""))</f>
        <v>0</v>
      </c>
      <c r="L183" s="39">
        <f>IF(Txn!$K98="","",Txn!$K98)</f>
        <v>0</v>
      </c>
      <c r="N183" s="42">
        <f>IF($D183="",0,COUNTIF(BankAccts,$D183))</f>
        <v>0</v>
      </c>
    </row>
    <row r="184" spans="1:14">
      <c r="A184" s="38">
        <f>IF(Txn!$B98="","",Txn!$B98)</f>
        <v>0</v>
      </c>
      <c r="B184" s="38">
        <f>IF(Txn!$B98="","",Txn!$C98)</f>
        <v>0</v>
      </c>
      <c r="C184" s="39">
        <f>IF(Txn!$B98="","","تراکنش بانکی")</f>
        <v>0</v>
      </c>
      <c r="D184" s="38">
        <f>IF(Txn!$B98="","",IF(IF(Txn!$U98="TRF",Txn!$Y98,Txn!$Z98)="","",IF(Txn!$U98="TRF",Txn!$Y98,Txn!$Z98)))</f>
        <v>0</v>
      </c>
      <c r="E184" s="39">
        <f>IF($D184="","",IFERROR(VLOOKUP($D184,AcctTbl,2,0),""))</f>
        <v>0</v>
      </c>
      <c r="F184" s="39">
        <f>IF($D184="","",IFERROR(VLOOKUP($D184,AcctTbl,3,0),""))</f>
        <v>0</v>
      </c>
      <c r="G184" s="39">
        <f>IF(Txn!$B98="","",Txn!$D98)</f>
        <v>0</v>
      </c>
      <c r="H184" s="38">
        <f>IF(Txn!$B98="","",Txn!$E98)</f>
        <v>0</v>
      </c>
      <c r="I184" s="40">
        <f>IF(Txn!$B98="",0,Txn!$Q98)</f>
        <v>0</v>
      </c>
      <c r="J184" s="40">
        <f>IF(Txn!$B98="",0,Txn!$R98)</f>
        <v>0</v>
      </c>
      <c r="K184" s="41">
        <f>IF($A184="","",IFERROR(VALUE(MID($A184,6,2)),""))</f>
        <v>0</v>
      </c>
      <c r="L184" s="39">
        <f>IF(Txn!$K98="","","طرف مقابل — "&amp;Txn!$K98)</f>
        <v>0</v>
      </c>
      <c r="N184" s="42">
        <f>IF($D184="",0,COUNTIF(BankAccts,$D184))</f>
        <v>0</v>
      </c>
    </row>
    <row r="185" spans="1:14">
      <c r="A185" s="38">
        <f>IF(Txn!$B99="","",Txn!$B99)</f>
        <v>0</v>
      </c>
      <c r="B185" s="38">
        <f>IF(Txn!$B99="","",Txn!$C99)</f>
        <v>0</v>
      </c>
      <c r="C185" s="39">
        <f>IF(Txn!$B99="","","تراکنش بانکی")</f>
        <v>0</v>
      </c>
      <c r="D185" s="38">
        <f>IF(Txn!$B99="","",IF(Txn!$X99="","",Txn!$X99))</f>
        <v>0</v>
      </c>
      <c r="E185" s="39">
        <f>IF($D185="","",IFERROR(VLOOKUP($D185,AcctTbl,2,0),""))</f>
        <v>0</v>
      </c>
      <c r="F185" s="39">
        <f>IF($D185="","",IFERROR(VLOOKUP($D185,AcctTbl,3,0),""))</f>
        <v>0</v>
      </c>
      <c r="G185" s="39">
        <f>IF(Txn!$B99="","",Txn!$D99)</f>
        <v>0</v>
      </c>
      <c r="H185" s="38">
        <f>IF(Txn!$B99="","",Txn!$E99)</f>
        <v>0</v>
      </c>
      <c r="I185" s="40">
        <f>IF(Txn!$B99="",0,Txn!$O99)</f>
        <v>0</v>
      </c>
      <c r="J185" s="40">
        <f>IF(Txn!$B99="",0,Txn!$P99)</f>
        <v>0</v>
      </c>
      <c r="K185" s="41">
        <f>IF($A185="","",IFERROR(VALUE(MID($A185,6,2)),""))</f>
        <v>0</v>
      </c>
      <c r="L185" s="39">
        <f>IF(Txn!$K99="","",Txn!$K99)</f>
        <v>0</v>
      </c>
      <c r="N185" s="42">
        <f>IF($D185="",0,COUNTIF(BankAccts,$D185))</f>
        <v>0</v>
      </c>
    </row>
    <row r="186" spans="1:14">
      <c r="A186" s="38">
        <f>IF(Txn!$B99="","",Txn!$B99)</f>
        <v>0</v>
      </c>
      <c r="B186" s="38">
        <f>IF(Txn!$B99="","",Txn!$C99)</f>
        <v>0</v>
      </c>
      <c r="C186" s="39">
        <f>IF(Txn!$B99="","","تراکنش بانکی")</f>
        <v>0</v>
      </c>
      <c r="D186" s="38">
        <f>IF(Txn!$B99="","",IF(IF(Txn!$U99="TRF",Txn!$Y99,Txn!$Z99)="","",IF(Txn!$U99="TRF",Txn!$Y99,Txn!$Z99)))</f>
        <v>0</v>
      </c>
      <c r="E186" s="39">
        <f>IF($D186="","",IFERROR(VLOOKUP($D186,AcctTbl,2,0),""))</f>
        <v>0</v>
      </c>
      <c r="F186" s="39">
        <f>IF($D186="","",IFERROR(VLOOKUP($D186,AcctTbl,3,0),""))</f>
        <v>0</v>
      </c>
      <c r="G186" s="39">
        <f>IF(Txn!$B99="","",Txn!$D99)</f>
        <v>0</v>
      </c>
      <c r="H186" s="38">
        <f>IF(Txn!$B99="","",Txn!$E99)</f>
        <v>0</v>
      </c>
      <c r="I186" s="40">
        <f>IF(Txn!$B99="",0,Txn!$Q99)</f>
        <v>0</v>
      </c>
      <c r="J186" s="40">
        <f>IF(Txn!$B99="",0,Txn!$R99)</f>
        <v>0</v>
      </c>
      <c r="K186" s="41">
        <f>IF($A186="","",IFERROR(VALUE(MID($A186,6,2)),""))</f>
        <v>0</v>
      </c>
      <c r="L186" s="39">
        <f>IF(Txn!$K99="","","طرف مقابل — "&amp;Txn!$K99)</f>
        <v>0</v>
      </c>
      <c r="N186" s="42">
        <f>IF($D186="",0,COUNTIF(BankAccts,$D186))</f>
        <v>0</v>
      </c>
    </row>
    <row r="187" spans="1:14">
      <c r="A187" s="38">
        <f>IF(Txn!$B100="","",Txn!$B100)</f>
        <v>0</v>
      </c>
      <c r="B187" s="38">
        <f>IF(Txn!$B100="","",Txn!$C100)</f>
        <v>0</v>
      </c>
      <c r="C187" s="39">
        <f>IF(Txn!$B100="","","تراکنش بانکی")</f>
        <v>0</v>
      </c>
      <c r="D187" s="38">
        <f>IF(Txn!$B100="","",IF(Txn!$X100="","",Txn!$X100))</f>
        <v>0</v>
      </c>
      <c r="E187" s="39">
        <f>IF($D187="","",IFERROR(VLOOKUP($D187,AcctTbl,2,0),""))</f>
        <v>0</v>
      </c>
      <c r="F187" s="39">
        <f>IF($D187="","",IFERROR(VLOOKUP($D187,AcctTbl,3,0),""))</f>
        <v>0</v>
      </c>
      <c r="G187" s="39">
        <f>IF(Txn!$B100="","",Txn!$D100)</f>
        <v>0</v>
      </c>
      <c r="H187" s="38">
        <f>IF(Txn!$B100="","",Txn!$E100)</f>
        <v>0</v>
      </c>
      <c r="I187" s="40">
        <f>IF(Txn!$B100="",0,Txn!$O100)</f>
        <v>0</v>
      </c>
      <c r="J187" s="40">
        <f>IF(Txn!$B100="",0,Txn!$P100)</f>
        <v>0</v>
      </c>
      <c r="K187" s="41">
        <f>IF($A187="","",IFERROR(VALUE(MID($A187,6,2)),""))</f>
        <v>0</v>
      </c>
      <c r="L187" s="39">
        <f>IF(Txn!$K100="","",Txn!$K100)</f>
        <v>0</v>
      </c>
      <c r="N187" s="42">
        <f>IF($D187="",0,COUNTIF(BankAccts,$D187))</f>
        <v>0</v>
      </c>
    </row>
    <row r="188" spans="1:14">
      <c r="A188" s="38">
        <f>IF(Txn!$B100="","",Txn!$B100)</f>
        <v>0</v>
      </c>
      <c r="B188" s="38">
        <f>IF(Txn!$B100="","",Txn!$C100)</f>
        <v>0</v>
      </c>
      <c r="C188" s="39">
        <f>IF(Txn!$B100="","","تراکنش بانکی")</f>
        <v>0</v>
      </c>
      <c r="D188" s="38">
        <f>IF(Txn!$B100="","",IF(IF(Txn!$U100="TRF",Txn!$Y100,Txn!$Z100)="","",IF(Txn!$U100="TRF",Txn!$Y100,Txn!$Z100)))</f>
        <v>0</v>
      </c>
      <c r="E188" s="39">
        <f>IF($D188="","",IFERROR(VLOOKUP($D188,AcctTbl,2,0),""))</f>
        <v>0</v>
      </c>
      <c r="F188" s="39">
        <f>IF($D188="","",IFERROR(VLOOKUP($D188,AcctTbl,3,0),""))</f>
        <v>0</v>
      </c>
      <c r="G188" s="39">
        <f>IF(Txn!$B100="","",Txn!$D100)</f>
        <v>0</v>
      </c>
      <c r="H188" s="38">
        <f>IF(Txn!$B100="","",Txn!$E100)</f>
        <v>0</v>
      </c>
      <c r="I188" s="40">
        <f>IF(Txn!$B100="",0,Txn!$Q100)</f>
        <v>0</v>
      </c>
      <c r="J188" s="40">
        <f>IF(Txn!$B100="",0,Txn!$R100)</f>
        <v>0</v>
      </c>
      <c r="K188" s="41">
        <f>IF($A188="","",IFERROR(VALUE(MID($A188,6,2)),""))</f>
        <v>0</v>
      </c>
      <c r="L188" s="39">
        <f>IF(Txn!$K100="","","طرف مقابل — "&amp;Txn!$K100)</f>
        <v>0</v>
      </c>
      <c r="N188" s="42">
        <f>IF($D188="",0,COUNTIF(BankAccts,$D188))</f>
        <v>0</v>
      </c>
    </row>
    <row r="189" spans="1:14">
      <c r="A189" s="38">
        <f>IF(Txn!$B101="","",Txn!$B101)</f>
        <v>0</v>
      </c>
      <c r="B189" s="38">
        <f>IF(Txn!$B101="","",Txn!$C101)</f>
        <v>0</v>
      </c>
      <c r="C189" s="39">
        <f>IF(Txn!$B101="","","تراکنش بانکی")</f>
        <v>0</v>
      </c>
      <c r="D189" s="38">
        <f>IF(Txn!$B101="","",IF(Txn!$X101="","",Txn!$X101))</f>
        <v>0</v>
      </c>
      <c r="E189" s="39">
        <f>IF($D189="","",IFERROR(VLOOKUP($D189,AcctTbl,2,0),""))</f>
        <v>0</v>
      </c>
      <c r="F189" s="39">
        <f>IF($D189="","",IFERROR(VLOOKUP($D189,AcctTbl,3,0),""))</f>
        <v>0</v>
      </c>
      <c r="G189" s="39">
        <f>IF(Txn!$B101="","",Txn!$D101)</f>
        <v>0</v>
      </c>
      <c r="H189" s="38">
        <f>IF(Txn!$B101="","",Txn!$E101)</f>
        <v>0</v>
      </c>
      <c r="I189" s="40">
        <f>IF(Txn!$B101="",0,Txn!$O101)</f>
        <v>0</v>
      </c>
      <c r="J189" s="40">
        <f>IF(Txn!$B101="",0,Txn!$P101)</f>
        <v>0</v>
      </c>
      <c r="K189" s="41">
        <f>IF($A189="","",IFERROR(VALUE(MID($A189,6,2)),""))</f>
        <v>0</v>
      </c>
      <c r="L189" s="39">
        <f>IF(Txn!$K101="","",Txn!$K101)</f>
        <v>0</v>
      </c>
      <c r="N189" s="42">
        <f>IF($D189="",0,COUNTIF(BankAccts,$D189))</f>
        <v>0</v>
      </c>
    </row>
    <row r="190" spans="1:14">
      <c r="A190" s="38">
        <f>IF(Txn!$B101="","",Txn!$B101)</f>
        <v>0</v>
      </c>
      <c r="B190" s="38">
        <f>IF(Txn!$B101="","",Txn!$C101)</f>
        <v>0</v>
      </c>
      <c r="C190" s="39">
        <f>IF(Txn!$B101="","","تراکنش بانکی")</f>
        <v>0</v>
      </c>
      <c r="D190" s="38">
        <f>IF(Txn!$B101="","",IF(IF(Txn!$U101="TRF",Txn!$Y101,Txn!$Z101)="","",IF(Txn!$U101="TRF",Txn!$Y101,Txn!$Z101)))</f>
        <v>0</v>
      </c>
      <c r="E190" s="39">
        <f>IF($D190="","",IFERROR(VLOOKUP($D190,AcctTbl,2,0),""))</f>
        <v>0</v>
      </c>
      <c r="F190" s="39">
        <f>IF($D190="","",IFERROR(VLOOKUP($D190,AcctTbl,3,0),""))</f>
        <v>0</v>
      </c>
      <c r="G190" s="39">
        <f>IF(Txn!$B101="","",Txn!$D101)</f>
        <v>0</v>
      </c>
      <c r="H190" s="38">
        <f>IF(Txn!$B101="","",Txn!$E101)</f>
        <v>0</v>
      </c>
      <c r="I190" s="40">
        <f>IF(Txn!$B101="",0,Txn!$Q101)</f>
        <v>0</v>
      </c>
      <c r="J190" s="40">
        <f>IF(Txn!$B101="",0,Txn!$R101)</f>
        <v>0</v>
      </c>
      <c r="K190" s="41">
        <f>IF($A190="","",IFERROR(VALUE(MID($A190,6,2)),""))</f>
        <v>0</v>
      </c>
      <c r="L190" s="39">
        <f>IF(Txn!$K101="","","طرف مقابل — "&amp;Txn!$K101)</f>
        <v>0</v>
      </c>
      <c r="N190" s="42">
        <f>IF($D190="",0,COUNTIF(BankAccts,$D190))</f>
        <v>0</v>
      </c>
    </row>
    <row r="191" spans="1:14">
      <c r="A191" s="38">
        <f>IF(Txn!$B102="","",Txn!$B102)</f>
        <v>0</v>
      </c>
      <c r="B191" s="38">
        <f>IF(Txn!$B102="","",Txn!$C102)</f>
        <v>0</v>
      </c>
      <c r="C191" s="39">
        <f>IF(Txn!$B102="","","تراکنش بانکی")</f>
        <v>0</v>
      </c>
      <c r="D191" s="38">
        <f>IF(Txn!$B102="","",IF(Txn!$X102="","",Txn!$X102))</f>
        <v>0</v>
      </c>
      <c r="E191" s="39">
        <f>IF($D191="","",IFERROR(VLOOKUP($D191,AcctTbl,2,0),""))</f>
        <v>0</v>
      </c>
      <c r="F191" s="39">
        <f>IF($D191="","",IFERROR(VLOOKUP($D191,AcctTbl,3,0),""))</f>
        <v>0</v>
      </c>
      <c r="G191" s="39">
        <f>IF(Txn!$B102="","",Txn!$D102)</f>
        <v>0</v>
      </c>
      <c r="H191" s="38">
        <f>IF(Txn!$B102="","",Txn!$E102)</f>
        <v>0</v>
      </c>
      <c r="I191" s="40">
        <f>IF(Txn!$B102="",0,Txn!$O102)</f>
        <v>0</v>
      </c>
      <c r="J191" s="40">
        <f>IF(Txn!$B102="",0,Txn!$P102)</f>
        <v>0</v>
      </c>
      <c r="K191" s="41">
        <f>IF($A191="","",IFERROR(VALUE(MID($A191,6,2)),""))</f>
        <v>0</v>
      </c>
      <c r="L191" s="39">
        <f>IF(Txn!$K102="","",Txn!$K102)</f>
        <v>0</v>
      </c>
      <c r="N191" s="42">
        <f>IF($D191="",0,COUNTIF(BankAccts,$D191))</f>
        <v>0</v>
      </c>
    </row>
    <row r="192" spans="1:14">
      <c r="A192" s="38">
        <f>IF(Txn!$B102="","",Txn!$B102)</f>
        <v>0</v>
      </c>
      <c r="B192" s="38">
        <f>IF(Txn!$B102="","",Txn!$C102)</f>
        <v>0</v>
      </c>
      <c r="C192" s="39">
        <f>IF(Txn!$B102="","","تراکنش بانکی")</f>
        <v>0</v>
      </c>
      <c r="D192" s="38">
        <f>IF(Txn!$B102="","",IF(IF(Txn!$U102="TRF",Txn!$Y102,Txn!$Z102)="","",IF(Txn!$U102="TRF",Txn!$Y102,Txn!$Z102)))</f>
        <v>0</v>
      </c>
      <c r="E192" s="39">
        <f>IF($D192="","",IFERROR(VLOOKUP($D192,AcctTbl,2,0),""))</f>
        <v>0</v>
      </c>
      <c r="F192" s="39">
        <f>IF($D192="","",IFERROR(VLOOKUP($D192,AcctTbl,3,0),""))</f>
        <v>0</v>
      </c>
      <c r="G192" s="39">
        <f>IF(Txn!$B102="","",Txn!$D102)</f>
        <v>0</v>
      </c>
      <c r="H192" s="38">
        <f>IF(Txn!$B102="","",Txn!$E102)</f>
        <v>0</v>
      </c>
      <c r="I192" s="40">
        <f>IF(Txn!$B102="",0,Txn!$Q102)</f>
        <v>0</v>
      </c>
      <c r="J192" s="40">
        <f>IF(Txn!$B102="",0,Txn!$R102)</f>
        <v>0</v>
      </c>
      <c r="K192" s="41">
        <f>IF($A192="","",IFERROR(VALUE(MID($A192,6,2)),""))</f>
        <v>0</v>
      </c>
      <c r="L192" s="39">
        <f>IF(Txn!$K102="","","طرف مقابل — "&amp;Txn!$K102)</f>
        <v>0</v>
      </c>
      <c r="N192" s="42">
        <f>IF($D192="",0,COUNTIF(BankAccts,$D192))</f>
        <v>0</v>
      </c>
    </row>
    <row r="193" spans="1:14">
      <c r="A193" s="38">
        <f>IF(Txn!$B103="","",Txn!$B103)</f>
        <v>0</v>
      </c>
      <c r="B193" s="38">
        <f>IF(Txn!$B103="","",Txn!$C103)</f>
        <v>0</v>
      </c>
      <c r="C193" s="39">
        <f>IF(Txn!$B103="","","تراکنش بانکی")</f>
        <v>0</v>
      </c>
      <c r="D193" s="38">
        <f>IF(Txn!$B103="","",IF(Txn!$X103="","",Txn!$X103))</f>
        <v>0</v>
      </c>
      <c r="E193" s="39">
        <f>IF($D193="","",IFERROR(VLOOKUP($D193,AcctTbl,2,0),""))</f>
        <v>0</v>
      </c>
      <c r="F193" s="39">
        <f>IF($D193="","",IFERROR(VLOOKUP($D193,AcctTbl,3,0),""))</f>
        <v>0</v>
      </c>
      <c r="G193" s="39">
        <f>IF(Txn!$B103="","",Txn!$D103)</f>
        <v>0</v>
      </c>
      <c r="H193" s="38">
        <f>IF(Txn!$B103="","",Txn!$E103)</f>
        <v>0</v>
      </c>
      <c r="I193" s="40">
        <f>IF(Txn!$B103="",0,Txn!$O103)</f>
        <v>0</v>
      </c>
      <c r="J193" s="40">
        <f>IF(Txn!$B103="",0,Txn!$P103)</f>
        <v>0</v>
      </c>
      <c r="K193" s="41">
        <f>IF($A193="","",IFERROR(VALUE(MID($A193,6,2)),""))</f>
        <v>0</v>
      </c>
      <c r="L193" s="39">
        <f>IF(Txn!$K103="","",Txn!$K103)</f>
        <v>0</v>
      </c>
      <c r="N193" s="42">
        <f>IF($D193="",0,COUNTIF(BankAccts,$D193))</f>
        <v>0</v>
      </c>
    </row>
    <row r="194" spans="1:14">
      <c r="A194" s="38">
        <f>IF(Txn!$B103="","",Txn!$B103)</f>
        <v>0</v>
      </c>
      <c r="B194" s="38">
        <f>IF(Txn!$B103="","",Txn!$C103)</f>
        <v>0</v>
      </c>
      <c r="C194" s="39">
        <f>IF(Txn!$B103="","","تراکنش بانکی")</f>
        <v>0</v>
      </c>
      <c r="D194" s="38">
        <f>IF(Txn!$B103="","",IF(IF(Txn!$U103="TRF",Txn!$Y103,Txn!$Z103)="","",IF(Txn!$U103="TRF",Txn!$Y103,Txn!$Z103)))</f>
        <v>0</v>
      </c>
      <c r="E194" s="39">
        <f>IF($D194="","",IFERROR(VLOOKUP($D194,AcctTbl,2,0),""))</f>
        <v>0</v>
      </c>
      <c r="F194" s="39">
        <f>IF($D194="","",IFERROR(VLOOKUP($D194,AcctTbl,3,0),""))</f>
        <v>0</v>
      </c>
      <c r="G194" s="39">
        <f>IF(Txn!$B103="","",Txn!$D103)</f>
        <v>0</v>
      </c>
      <c r="H194" s="38">
        <f>IF(Txn!$B103="","",Txn!$E103)</f>
        <v>0</v>
      </c>
      <c r="I194" s="40">
        <f>IF(Txn!$B103="",0,Txn!$Q103)</f>
        <v>0</v>
      </c>
      <c r="J194" s="40">
        <f>IF(Txn!$B103="",0,Txn!$R103)</f>
        <v>0</v>
      </c>
      <c r="K194" s="41">
        <f>IF($A194="","",IFERROR(VALUE(MID($A194,6,2)),""))</f>
        <v>0</v>
      </c>
      <c r="L194" s="39">
        <f>IF(Txn!$K103="","","طرف مقابل — "&amp;Txn!$K103)</f>
        <v>0</v>
      </c>
      <c r="N194" s="42">
        <f>IF($D194="",0,COUNTIF(BankAccts,$D194))</f>
        <v>0</v>
      </c>
    </row>
    <row r="195" spans="1:14">
      <c r="A195" s="38">
        <f>IF(Txn!$B104="","",Txn!$B104)</f>
        <v>0</v>
      </c>
      <c r="B195" s="38">
        <f>IF(Txn!$B104="","",Txn!$C104)</f>
        <v>0</v>
      </c>
      <c r="C195" s="39">
        <f>IF(Txn!$B104="","","تراکنش بانکی")</f>
        <v>0</v>
      </c>
      <c r="D195" s="38">
        <f>IF(Txn!$B104="","",IF(Txn!$X104="","",Txn!$X104))</f>
        <v>0</v>
      </c>
      <c r="E195" s="39">
        <f>IF($D195="","",IFERROR(VLOOKUP($D195,AcctTbl,2,0),""))</f>
        <v>0</v>
      </c>
      <c r="F195" s="39">
        <f>IF($D195="","",IFERROR(VLOOKUP($D195,AcctTbl,3,0),""))</f>
        <v>0</v>
      </c>
      <c r="G195" s="39">
        <f>IF(Txn!$B104="","",Txn!$D104)</f>
        <v>0</v>
      </c>
      <c r="H195" s="38">
        <f>IF(Txn!$B104="","",Txn!$E104)</f>
        <v>0</v>
      </c>
      <c r="I195" s="40">
        <f>IF(Txn!$B104="",0,Txn!$O104)</f>
        <v>0</v>
      </c>
      <c r="J195" s="40">
        <f>IF(Txn!$B104="",0,Txn!$P104)</f>
        <v>0</v>
      </c>
      <c r="K195" s="41">
        <f>IF($A195="","",IFERROR(VALUE(MID($A195,6,2)),""))</f>
        <v>0</v>
      </c>
      <c r="L195" s="39">
        <f>IF(Txn!$K104="","",Txn!$K104)</f>
        <v>0</v>
      </c>
      <c r="N195" s="42">
        <f>IF($D195="",0,COUNTIF(BankAccts,$D195))</f>
        <v>0</v>
      </c>
    </row>
    <row r="196" spans="1:14">
      <c r="A196" s="38">
        <f>IF(Txn!$B104="","",Txn!$B104)</f>
        <v>0</v>
      </c>
      <c r="B196" s="38">
        <f>IF(Txn!$B104="","",Txn!$C104)</f>
        <v>0</v>
      </c>
      <c r="C196" s="39">
        <f>IF(Txn!$B104="","","تراکنش بانکی")</f>
        <v>0</v>
      </c>
      <c r="D196" s="38">
        <f>IF(Txn!$B104="","",IF(IF(Txn!$U104="TRF",Txn!$Y104,Txn!$Z104)="","",IF(Txn!$U104="TRF",Txn!$Y104,Txn!$Z104)))</f>
        <v>0</v>
      </c>
      <c r="E196" s="39">
        <f>IF($D196="","",IFERROR(VLOOKUP($D196,AcctTbl,2,0),""))</f>
        <v>0</v>
      </c>
      <c r="F196" s="39">
        <f>IF($D196="","",IFERROR(VLOOKUP($D196,AcctTbl,3,0),""))</f>
        <v>0</v>
      </c>
      <c r="G196" s="39">
        <f>IF(Txn!$B104="","",Txn!$D104)</f>
        <v>0</v>
      </c>
      <c r="H196" s="38">
        <f>IF(Txn!$B104="","",Txn!$E104)</f>
        <v>0</v>
      </c>
      <c r="I196" s="40">
        <f>IF(Txn!$B104="",0,Txn!$Q104)</f>
        <v>0</v>
      </c>
      <c r="J196" s="40">
        <f>IF(Txn!$B104="",0,Txn!$R104)</f>
        <v>0</v>
      </c>
      <c r="K196" s="41">
        <f>IF($A196="","",IFERROR(VALUE(MID($A196,6,2)),""))</f>
        <v>0</v>
      </c>
      <c r="L196" s="39">
        <f>IF(Txn!$K104="","","طرف مقابل — "&amp;Txn!$K104)</f>
        <v>0</v>
      </c>
      <c r="N196" s="42">
        <f>IF($D196="",0,COUNTIF(BankAccts,$D196))</f>
        <v>0</v>
      </c>
    </row>
    <row r="197" spans="1:14">
      <c r="A197" s="38">
        <f>IF(Txn!$B105="","",Txn!$B105)</f>
        <v>0</v>
      </c>
      <c r="B197" s="38">
        <f>IF(Txn!$B105="","",Txn!$C105)</f>
        <v>0</v>
      </c>
      <c r="C197" s="39">
        <f>IF(Txn!$B105="","","تراکنش بانکی")</f>
        <v>0</v>
      </c>
      <c r="D197" s="38">
        <f>IF(Txn!$B105="","",IF(Txn!$X105="","",Txn!$X105))</f>
        <v>0</v>
      </c>
      <c r="E197" s="39">
        <f>IF($D197="","",IFERROR(VLOOKUP($D197,AcctTbl,2,0),""))</f>
        <v>0</v>
      </c>
      <c r="F197" s="39">
        <f>IF($D197="","",IFERROR(VLOOKUP($D197,AcctTbl,3,0),""))</f>
        <v>0</v>
      </c>
      <c r="G197" s="39">
        <f>IF(Txn!$B105="","",Txn!$D105)</f>
        <v>0</v>
      </c>
      <c r="H197" s="38">
        <f>IF(Txn!$B105="","",Txn!$E105)</f>
        <v>0</v>
      </c>
      <c r="I197" s="40">
        <f>IF(Txn!$B105="",0,Txn!$O105)</f>
        <v>0</v>
      </c>
      <c r="J197" s="40">
        <f>IF(Txn!$B105="",0,Txn!$P105)</f>
        <v>0</v>
      </c>
      <c r="K197" s="41">
        <f>IF($A197="","",IFERROR(VALUE(MID($A197,6,2)),""))</f>
        <v>0</v>
      </c>
      <c r="L197" s="39">
        <f>IF(Txn!$K105="","",Txn!$K105)</f>
        <v>0</v>
      </c>
      <c r="N197" s="42">
        <f>IF($D197="",0,COUNTIF(BankAccts,$D197))</f>
        <v>0</v>
      </c>
    </row>
    <row r="198" spans="1:14">
      <c r="A198" s="38">
        <f>IF(Txn!$B105="","",Txn!$B105)</f>
        <v>0</v>
      </c>
      <c r="B198" s="38">
        <f>IF(Txn!$B105="","",Txn!$C105)</f>
        <v>0</v>
      </c>
      <c r="C198" s="39">
        <f>IF(Txn!$B105="","","تراکنش بانکی")</f>
        <v>0</v>
      </c>
      <c r="D198" s="38">
        <f>IF(Txn!$B105="","",IF(IF(Txn!$U105="TRF",Txn!$Y105,Txn!$Z105)="","",IF(Txn!$U105="TRF",Txn!$Y105,Txn!$Z105)))</f>
        <v>0</v>
      </c>
      <c r="E198" s="39">
        <f>IF($D198="","",IFERROR(VLOOKUP($D198,AcctTbl,2,0),""))</f>
        <v>0</v>
      </c>
      <c r="F198" s="39">
        <f>IF($D198="","",IFERROR(VLOOKUP($D198,AcctTbl,3,0),""))</f>
        <v>0</v>
      </c>
      <c r="G198" s="39">
        <f>IF(Txn!$B105="","",Txn!$D105)</f>
        <v>0</v>
      </c>
      <c r="H198" s="38">
        <f>IF(Txn!$B105="","",Txn!$E105)</f>
        <v>0</v>
      </c>
      <c r="I198" s="40">
        <f>IF(Txn!$B105="",0,Txn!$Q105)</f>
        <v>0</v>
      </c>
      <c r="J198" s="40">
        <f>IF(Txn!$B105="",0,Txn!$R105)</f>
        <v>0</v>
      </c>
      <c r="K198" s="41">
        <f>IF($A198="","",IFERROR(VALUE(MID($A198,6,2)),""))</f>
        <v>0</v>
      </c>
      <c r="L198" s="39">
        <f>IF(Txn!$K105="","","طرف مقابل — "&amp;Txn!$K105)</f>
        <v>0</v>
      </c>
      <c r="N198" s="42">
        <f>IF($D198="",0,COUNTIF(BankAccts,$D198))</f>
        <v>0</v>
      </c>
    </row>
    <row r="199" spans="1:14">
      <c r="A199" s="38">
        <f>IF(Txn!$B106="","",Txn!$B106)</f>
        <v>0</v>
      </c>
      <c r="B199" s="38">
        <f>IF(Txn!$B106="","",Txn!$C106)</f>
        <v>0</v>
      </c>
      <c r="C199" s="39">
        <f>IF(Txn!$B106="","","تراکنش بانکی")</f>
        <v>0</v>
      </c>
      <c r="D199" s="38">
        <f>IF(Txn!$B106="","",IF(Txn!$X106="","",Txn!$X106))</f>
        <v>0</v>
      </c>
      <c r="E199" s="39">
        <f>IF($D199="","",IFERROR(VLOOKUP($D199,AcctTbl,2,0),""))</f>
        <v>0</v>
      </c>
      <c r="F199" s="39">
        <f>IF($D199="","",IFERROR(VLOOKUP($D199,AcctTbl,3,0),""))</f>
        <v>0</v>
      </c>
      <c r="G199" s="39">
        <f>IF(Txn!$B106="","",Txn!$D106)</f>
        <v>0</v>
      </c>
      <c r="H199" s="38">
        <f>IF(Txn!$B106="","",Txn!$E106)</f>
        <v>0</v>
      </c>
      <c r="I199" s="40">
        <f>IF(Txn!$B106="",0,Txn!$O106)</f>
        <v>0</v>
      </c>
      <c r="J199" s="40">
        <f>IF(Txn!$B106="",0,Txn!$P106)</f>
        <v>0</v>
      </c>
      <c r="K199" s="41">
        <f>IF($A199="","",IFERROR(VALUE(MID($A199,6,2)),""))</f>
        <v>0</v>
      </c>
      <c r="L199" s="39">
        <f>IF(Txn!$K106="","",Txn!$K106)</f>
        <v>0</v>
      </c>
      <c r="N199" s="42">
        <f>IF($D199="",0,COUNTIF(BankAccts,$D199))</f>
        <v>0</v>
      </c>
    </row>
    <row r="200" spans="1:14">
      <c r="A200" s="38">
        <f>IF(Txn!$B106="","",Txn!$B106)</f>
        <v>0</v>
      </c>
      <c r="B200" s="38">
        <f>IF(Txn!$B106="","",Txn!$C106)</f>
        <v>0</v>
      </c>
      <c r="C200" s="39">
        <f>IF(Txn!$B106="","","تراکنش بانکی")</f>
        <v>0</v>
      </c>
      <c r="D200" s="38">
        <f>IF(Txn!$B106="","",IF(IF(Txn!$U106="TRF",Txn!$Y106,Txn!$Z106)="","",IF(Txn!$U106="TRF",Txn!$Y106,Txn!$Z106)))</f>
        <v>0</v>
      </c>
      <c r="E200" s="39">
        <f>IF($D200="","",IFERROR(VLOOKUP($D200,AcctTbl,2,0),""))</f>
        <v>0</v>
      </c>
      <c r="F200" s="39">
        <f>IF($D200="","",IFERROR(VLOOKUP($D200,AcctTbl,3,0),""))</f>
        <v>0</v>
      </c>
      <c r="G200" s="39">
        <f>IF(Txn!$B106="","",Txn!$D106)</f>
        <v>0</v>
      </c>
      <c r="H200" s="38">
        <f>IF(Txn!$B106="","",Txn!$E106)</f>
        <v>0</v>
      </c>
      <c r="I200" s="40">
        <f>IF(Txn!$B106="",0,Txn!$Q106)</f>
        <v>0</v>
      </c>
      <c r="J200" s="40">
        <f>IF(Txn!$B106="",0,Txn!$R106)</f>
        <v>0</v>
      </c>
      <c r="K200" s="41">
        <f>IF($A200="","",IFERROR(VALUE(MID($A200,6,2)),""))</f>
        <v>0</v>
      </c>
      <c r="L200" s="39">
        <f>IF(Txn!$K106="","","طرف مقابل — "&amp;Txn!$K106)</f>
        <v>0</v>
      </c>
      <c r="N200" s="42">
        <f>IF($D200="",0,COUNTIF(BankAccts,$D200))</f>
        <v>0</v>
      </c>
    </row>
    <row r="201" spans="1:14">
      <c r="A201" s="38">
        <f>IF(Txn!$B107="","",Txn!$B107)</f>
        <v>0</v>
      </c>
      <c r="B201" s="38">
        <f>IF(Txn!$B107="","",Txn!$C107)</f>
        <v>0</v>
      </c>
      <c r="C201" s="39">
        <f>IF(Txn!$B107="","","تراکنش بانکی")</f>
        <v>0</v>
      </c>
      <c r="D201" s="38">
        <f>IF(Txn!$B107="","",IF(Txn!$X107="","",Txn!$X107))</f>
        <v>0</v>
      </c>
      <c r="E201" s="39">
        <f>IF($D201="","",IFERROR(VLOOKUP($D201,AcctTbl,2,0),""))</f>
        <v>0</v>
      </c>
      <c r="F201" s="39">
        <f>IF($D201="","",IFERROR(VLOOKUP($D201,AcctTbl,3,0),""))</f>
        <v>0</v>
      </c>
      <c r="G201" s="39">
        <f>IF(Txn!$B107="","",Txn!$D107)</f>
        <v>0</v>
      </c>
      <c r="H201" s="38">
        <f>IF(Txn!$B107="","",Txn!$E107)</f>
        <v>0</v>
      </c>
      <c r="I201" s="40">
        <f>IF(Txn!$B107="",0,Txn!$O107)</f>
        <v>0</v>
      </c>
      <c r="J201" s="40">
        <f>IF(Txn!$B107="",0,Txn!$P107)</f>
        <v>0</v>
      </c>
      <c r="K201" s="41">
        <f>IF($A201="","",IFERROR(VALUE(MID($A201,6,2)),""))</f>
        <v>0</v>
      </c>
      <c r="L201" s="39">
        <f>IF(Txn!$K107="","",Txn!$K107)</f>
        <v>0</v>
      </c>
      <c r="N201" s="42">
        <f>IF($D201="",0,COUNTIF(BankAccts,$D201))</f>
        <v>0</v>
      </c>
    </row>
    <row r="202" spans="1:14">
      <c r="A202" s="38">
        <f>IF(Txn!$B107="","",Txn!$B107)</f>
        <v>0</v>
      </c>
      <c r="B202" s="38">
        <f>IF(Txn!$B107="","",Txn!$C107)</f>
        <v>0</v>
      </c>
      <c r="C202" s="39">
        <f>IF(Txn!$B107="","","تراکنش بانکی")</f>
        <v>0</v>
      </c>
      <c r="D202" s="38">
        <f>IF(Txn!$B107="","",IF(IF(Txn!$U107="TRF",Txn!$Y107,Txn!$Z107)="","",IF(Txn!$U107="TRF",Txn!$Y107,Txn!$Z107)))</f>
        <v>0</v>
      </c>
      <c r="E202" s="39">
        <f>IF($D202="","",IFERROR(VLOOKUP($D202,AcctTbl,2,0),""))</f>
        <v>0</v>
      </c>
      <c r="F202" s="39">
        <f>IF($D202="","",IFERROR(VLOOKUP($D202,AcctTbl,3,0),""))</f>
        <v>0</v>
      </c>
      <c r="G202" s="39">
        <f>IF(Txn!$B107="","",Txn!$D107)</f>
        <v>0</v>
      </c>
      <c r="H202" s="38">
        <f>IF(Txn!$B107="","",Txn!$E107)</f>
        <v>0</v>
      </c>
      <c r="I202" s="40">
        <f>IF(Txn!$B107="",0,Txn!$Q107)</f>
        <v>0</v>
      </c>
      <c r="J202" s="40">
        <f>IF(Txn!$B107="",0,Txn!$R107)</f>
        <v>0</v>
      </c>
      <c r="K202" s="41">
        <f>IF($A202="","",IFERROR(VALUE(MID($A202,6,2)),""))</f>
        <v>0</v>
      </c>
      <c r="L202" s="39">
        <f>IF(Txn!$K107="","","طرف مقابل — "&amp;Txn!$K107)</f>
        <v>0</v>
      </c>
      <c r="N202" s="42">
        <f>IF($D202="",0,COUNTIF(BankAccts,$D202))</f>
        <v>0</v>
      </c>
    </row>
    <row r="203" spans="1:14">
      <c r="A203" s="38">
        <f>IF(Txn!$B108="","",Txn!$B108)</f>
        <v>0</v>
      </c>
      <c r="B203" s="38">
        <f>IF(Txn!$B108="","",Txn!$C108)</f>
        <v>0</v>
      </c>
      <c r="C203" s="39">
        <f>IF(Txn!$B108="","","تراکنش بانکی")</f>
        <v>0</v>
      </c>
      <c r="D203" s="38">
        <f>IF(Txn!$B108="","",IF(Txn!$X108="","",Txn!$X108))</f>
        <v>0</v>
      </c>
      <c r="E203" s="39">
        <f>IF($D203="","",IFERROR(VLOOKUP($D203,AcctTbl,2,0),""))</f>
        <v>0</v>
      </c>
      <c r="F203" s="39">
        <f>IF($D203="","",IFERROR(VLOOKUP($D203,AcctTbl,3,0),""))</f>
        <v>0</v>
      </c>
      <c r="G203" s="39">
        <f>IF(Txn!$B108="","",Txn!$D108)</f>
        <v>0</v>
      </c>
      <c r="H203" s="38">
        <f>IF(Txn!$B108="","",Txn!$E108)</f>
        <v>0</v>
      </c>
      <c r="I203" s="40">
        <f>IF(Txn!$B108="",0,Txn!$O108)</f>
        <v>0</v>
      </c>
      <c r="J203" s="40">
        <f>IF(Txn!$B108="",0,Txn!$P108)</f>
        <v>0</v>
      </c>
      <c r="K203" s="41">
        <f>IF($A203="","",IFERROR(VALUE(MID($A203,6,2)),""))</f>
        <v>0</v>
      </c>
      <c r="L203" s="39">
        <f>IF(Txn!$K108="","",Txn!$K108)</f>
        <v>0</v>
      </c>
      <c r="N203" s="42">
        <f>IF($D203="",0,COUNTIF(BankAccts,$D203))</f>
        <v>0</v>
      </c>
    </row>
    <row r="204" spans="1:14">
      <c r="A204" s="38">
        <f>IF(Txn!$B108="","",Txn!$B108)</f>
        <v>0</v>
      </c>
      <c r="B204" s="38">
        <f>IF(Txn!$B108="","",Txn!$C108)</f>
        <v>0</v>
      </c>
      <c r="C204" s="39">
        <f>IF(Txn!$B108="","","تراکنش بانکی")</f>
        <v>0</v>
      </c>
      <c r="D204" s="38">
        <f>IF(Txn!$B108="","",IF(IF(Txn!$U108="TRF",Txn!$Y108,Txn!$Z108)="","",IF(Txn!$U108="TRF",Txn!$Y108,Txn!$Z108)))</f>
        <v>0</v>
      </c>
      <c r="E204" s="39">
        <f>IF($D204="","",IFERROR(VLOOKUP($D204,AcctTbl,2,0),""))</f>
        <v>0</v>
      </c>
      <c r="F204" s="39">
        <f>IF($D204="","",IFERROR(VLOOKUP($D204,AcctTbl,3,0),""))</f>
        <v>0</v>
      </c>
      <c r="G204" s="39">
        <f>IF(Txn!$B108="","",Txn!$D108)</f>
        <v>0</v>
      </c>
      <c r="H204" s="38">
        <f>IF(Txn!$B108="","",Txn!$E108)</f>
        <v>0</v>
      </c>
      <c r="I204" s="40">
        <f>IF(Txn!$B108="",0,Txn!$Q108)</f>
        <v>0</v>
      </c>
      <c r="J204" s="40">
        <f>IF(Txn!$B108="",0,Txn!$R108)</f>
        <v>0</v>
      </c>
      <c r="K204" s="41">
        <f>IF($A204="","",IFERROR(VALUE(MID($A204,6,2)),""))</f>
        <v>0</v>
      </c>
      <c r="L204" s="39">
        <f>IF(Txn!$K108="","","طرف مقابل — "&amp;Txn!$K108)</f>
        <v>0</v>
      </c>
      <c r="N204" s="42">
        <f>IF($D204="",0,COUNTIF(BankAccts,$D204))</f>
        <v>0</v>
      </c>
    </row>
    <row r="205" spans="1:14">
      <c r="A205" s="38">
        <f>IF(Txn!$B109="","",Txn!$B109)</f>
        <v>0</v>
      </c>
      <c r="B205" s="38">
        <f>IF(Txn!$B109="","",Txn!$C109)</f>
        <v>0</v>
      </c>
      <c r="C205" s="39">
        <f>IF(Txn!$B109="","","تراکنش بانکی")</f>
        <v>0</v>
      </c>
      <c r="D205" s="38">
        <f>IF(Txn!$B109="","",IF(Txn!$X109="","",Txn!$X109))</f>
        <v>0</v>
      </c>
      <c r="E205" s="39">
        <f>IF($D205="","",IFERROR(VLOOKUP($D205,AcctTbl,2,0),""))</f>
        <v>0</v>
      </c>
      <c r="F205" s="39">
        <f>IF($D205="","",IFERROR(VLOOKUP($D205,AcctTbl,3,0),""))</f>
        <v>0</v>
      </c>
      <c r="G205" s="39">
        <f>IF(Txn!$B109="","",Txn!$D109)</f>
        <v>0</v>
      </c>
      <c r="H205" s="38">
        <f>IF(Txn!$B109="","",Txn!$E109)</f>
        <v>0</v>
      </c>
      <c r="I205" s="40">
        <f>IF(Txn!$B109="",0,Txn!$O109)</f>
        <v>0</v>
      </c>
      <c r="J205" s="40">
        <f>IF(Txn!$B109="",0,Txn!$P109)</f>
        <v>0</v>
      </c>
      <c r="K205" s="41">
        <f>IF($A205="","",IFERROR(VALUE(MID($A205,6,2)),""))</f>
        <v>0</v>
      </c>
      <c r="L205" s="39">
        <f>IF(Txn!$K109="","",Txn!$K109)</f>
        <v>0</v>
      </c>
      <c r="N205" s="42">
        <f>IF($D205="",0,COUNTIF(BankAccts,$D205))</f>
        <v>0</v>
      </c>
    </row>
    <row r="206" spans="1:14">
      <c r="A206" s="38">
        <f>IF(Txn!$B109="","",Txn!$B109)</f>
        <v>0</v>
      </c>
      <c r="B206" s="38">
        <f>IF(Txn!$B109="","",Txn!$C109)</f>
        <v>0</v>
      </c>
      <c r="C206" s="39">
        <f>IF(Txn!$B109="","","تراکنش بانکی")</f>
        <v>0</v>
      </c>
      <c r="D206" s="38">
        <f>IF(Txn!$B109="","",IF(IF(Txn!$U109="TRF",Txn!$Y109,Txn!$Z109)="","",IF(Txn!$U109="TRF",Txn!$Y109,Txn!$Z109)))</f>
        <v>0</v>
      </c>
      <c r="E206" s="39">
        <f>IF($D206="","",IFERROR(VLOOKUP($D206,AcctTbl,2,0),""))</f>
        <v>0</v>
      </c>
      <c r="F206" s="39">
        <f>IF($D206="","",IFERROR(VLOOKUP($D206,AcctTbl,3,0),""))</f>
        <v>0</v>
      </c>
      <c r="G206" s="39">
        <f>IF(Txn!$B109="","",Txn!$D109)</f>
        <v>0</v>
      </c>
      <c r="H206" s="38">
        <f>IF(Txn!$B109="","",Txn!$E109)</f>
        <v>0</v>
      </c>
      <c r="I206" s="40">
        <f>IF(Txn!$B109="",0,Txn!$Q109)</f>
        <v>0</v>
      </c>
      <c r="J206" s="40">
        <f>IF(Txn!$B109="",0,Txn!$R109)</f>
        <v>0</v>
      </c>
      <c r="K206" s="41">
        <f>IF($A206="","",IFERROR(VALUE(MID($A206,6,2)),""))</f>
        <v>0</v>
      </c>
      <c r="L206" s="39">
        <f>IF(Txn!$K109="","","طرف مقابل — "&amp;Txn!$K109)</f>
        <v>0</v>
      </c>
      <c r="N206" s="42">
        <f>IF($D206="",0,COUNTIF(BankAccts,$D206))</f>
        <v>0</v>
      </c>
    </row>
    <row r="207" spans="1:14">
      <c r="A207" s="38">
        <f>IF(Txn!$B110="","",Txn!$B110)</f>
        <v>0</v>
      </c>
      <c r="B207" s="38">
        <f>IF(Txn!$B110="","",Txn!$C110)</f>
        <v>0</v>
      </c>
      <c r="C207" s="39">
        <f>IF(Txn!$B110="","","تراکنش بانکی")</f>
        <v>0</v>
      </c>
      <c r="D207" s="38">
        <f>IF(Txn!$B110="","",IF(Txn!$X110="","",Txn!$X110))</f>
        <v>0</v>
      </c>
      <c r="E207" s="39">
        <f>IF($D207="","",IFERROR(VLOOKUP($D207,AcctTbl,2,0),""))</f>
        <v>0</v>
      </c>
      <c r="F207" s="39">
        <f>IF($D207="","",IFERROR(VLOOKUP($D207,AcctTbl,3,0),""))</f>
        <v>0</v>
      </c>
      <c r="G207" s="39">
        <f>IF(Txn!$B110="","",Txn!$D110)</f>
        <v>0</v>
      </c>
      <c r="H207" s="38">
        <f>IF(Txn!$B110="","",Txn!$E110)</f>
        <v>0</v>
      </c>
      <c r="I207" s="40">
        <f>IF(Txn!$B110="",0,Txn!$O110)</f>
        <v>0</v>
      </c>
      <c r="J207" s="40">
        <f>IF(Txn!$B110="",0,Txn!$P110)</f>
        <v>0</v>
      </c>
      <c r="K207" s="41">
        <f>IF($A207="","",IFERROR(VALUE(MID($A207,6,2)),""))</f>
        <v>0</v>
      </c>
      <c r="L207" s="39">
        <f>IF(Txn!$K110="","",Txn!$K110)</f>
        <v>0</v>
      </c>
      <c r="N207" s="42">
        <f>IF($D207="",0,COUNTIF(BankAccts,$D207))</f>
        <v>0</v>
      </c>
    </row>
    <row r="208" spans="1:14">
      <c r="A208" s="38">
        <f>IF(Txn!$B110="","",Txn!$B110)</f>
        <v>0</v>
      </c>
      <c r="B208" s="38">
        <f>IF(Txn!$B110="","",Txn!$C110)</f>
        <v>0</v>
      </c>
      <c r="C208" s="39">
        <f>IF(Txn!$B110="","","تراکنش بانکی")</f>
        <v>0</v>
      </c>
      <c r="D208" s="38">
        <f>IF(Txn!$B110="","",IF(IF(Txn!$U110="TRF",Txn!$Y110,Txn!$Z110)="","",IF(Txn!$U110="TRF",Txn!$Y110,Txn!$Z110)))</f>
        <v>0</v>
      </c>
      <c r="E208" s="39">
        <f>IF($D208="","",IFERROR(VLOOKUP($D208,AcctTbl,2,0),""))</f>
        <v>0</v>
      </c>
      <c r="F208" s="39">
        <f>IF($D208="","",IFERROR(VLOOKUP($D208,AcctTbl,3,0),""))</f>
        <v>0</v>
      </c>
      <c r="G208" s="39">
        <f>IF(Txn!$B110="","",Txn!$D110)</f>
        <v>0</v>
      </c>
      <c r="H208" s="38">
        <f>IF(Txn!$B110="","",Txn!$E110)</f>
        <v>0</v>
      </c>
      <c r="I208" s="40">
        <f>IF(Txn!$B110="",0,Txn!$Q110)</f>
        <v>0</v>
      </c>
      <c r="J208" s="40">
        <f>IF(Txn!$B110="",0,Txn!$R110)</f>
        <v>0</v>
      </c>
      <c r="K208" s="41">
        <f>IF($A208="","",IFERROR(VALUE(MID($A208,6,2)),""))</f>
        <v>0</v>
      </c>
      <c r="L208" s="39">
        <f>IF(Txn!$K110="","","طرف مقابل — "&amp;Txn!$K110)</f>
        <v>0</v>
      </c>
      <c r="N208" s="42">
        <f>IF($D208="",0,COUNTIF(BankAccts,$D208))</f>
        <v>0</v>
      </c>
    </row>
    <row r="209" spans="1:14">
      <c r="A209" s="38">
        <f>IF(Txn!$B111="","",Txn!$B111)</f>
        <v>0</v>
      </c>
      <c r="B209" s="38">
        <f>IF(Txn!$B111="","",Txn!$C111)</f>
        <v>0</v>
      </c>
      <c r="C209" s="39">
        <f>IF(Txn!$B111="","","تراکنش بانکی")</f>
        <v>0</v>
      </c>
      <c r="D209" s="38">
        <f>IF(Txn!$B111="","",IF(Txn!$X111="","",Txn!$X111))</f>
        <v>0</v>
      </c>
      <c r="E209" s="39">
        <f>IF($D209="","",IFERROR(VLOOKUP($D209,AcctTbl,2,0),""))</f>
        <v>0</v>
      </c>
      <c r="F209" s="39">
        <f>IF($D209="","",IFERROR(VLOOKUP($D209,AcctTbl,3,0),""))</f>
        <v>0</v>
      </c>
      <c r="G209" s="39">
        <f>IF(Txn!$B111="","",Txn!$D111)</f>
        <v>0</v>
      </c>
      <c r="H209" s="38">
        <f>IF(Txn!$B111="","",Txn!$E111)</f>
        <v>0</v>
      </c>
      <c r="I209" s="40">
        <f>IF(Txn!$B111="",0,Txn!$O111)</f>
        <v>0</v>
      </c>
      <c r="J209" s="40">
        <f>IF(Txn!$B111="",0,Txn!$P111)</f>
        <v>0</v>
      </c>
      <c r="K209" s="41">
        <f>IF($A209="","",IFERROR(VALUE(MID($A209,6,2)),""))</f>
        <v>0</v>
      </c>
      <c r="L209" s="39">
        <f>IF(Txn!$K111="","",Txn!$K111)</f>
        <v>0</v>
      </c>
      <c r="N209" s="42">
        <f>IF($D209="",0,COUNTIF(BankAccts,$D209))</f>
        <v>0</v>
      </c>
    </row>
    <row r="210" spans="1:14">
      <c r="A210" s="38">
        <f>IF(Txn!$B111="","",Txn!$B111)</f>
        <v>0</v>
      </c>
      <c r="B210" s="38">
        <f>IF(Txn!$B111="","",Txn!$C111)</f>
        <v>0</v>
      </c>
      <c r="C210" s="39">
        <f>IF(Txn!$B111="","","تراکنش بانکی")</f>
        <v>0</v>
      </c>
      <c r="D210" s="38">
        <f>IF(Txn!$B111="","",IF(IF(Txn!$U111="TRF",Txn!$Y111,Txn!$Z111)="","",IF(Txn!$U111="TRF",Txn!$Y111,Txn!$Z111)))</f>
        <v>0</v>
      </c>
      <c r="E210" s="39">
        <f>IF($D210="","",IFERROR(VLOOKUP($D210,AcctTbl,2,0),""))</f>
        <v>0</v>
      </c>
      <c r="F210" s="39">
        <f>IF($D210="","",IFERROR(VLOOKUP($D210,AcctTbl,3,0),""))</f>
        <v>0</v>
      </c>
      <c r="G210" s="39">
        <f>IF(Txn!$B111="","",Txn!$D111)</f>
        <v>0</v>
      </c>
      <c r="H210" s="38">
        <f>IF(Txn!$B111="","",Txn!$E111)</f>
        <v>0</v>
      </c>
      <c r="I210" s="40">
        <f>IF(Txn!$B111="",0,Txn!$Q111)</f>
        <v>0</v>
      </c>
      <c r="J210" s="40">
        <f>IF(Txn!$B111="",0,Txn!$R111)</f>
        <v>0</v>
      </c>
      <c r="K210" s="41">
        <f>IF($A210="","",IFERROR(VALUE(MID($A210,6,2)),""))</f>
        <v>0</v>
      </c>
      <c r="L210" s="39">
        <f>IF(Txn!$K111="","","طرف مقابل — "&amp;Txn!$K111)</f>
        <v>0</v>
      </c>
      <c r="N210" s="42">
        <f>IF($D210="",0,COUNTIF(BankAccts,$D210))</f>
        <v>0</v>
      </c>
    </row>
    <row r="211" spans="1:14">
      <c r="A211" s="38">
        <f>IF(Txn!$B112="","",Txn!$B112)</f>
        <v>0</v>
      </c>
      <c r="B211" s="38">
        <f>IF(Txn!$B112="","",Txn!$C112)</f>
        <v>0</v>
      </c>
      <c r="C211" s="39">
        <f>IF(Txn!$B112="","","تراکنش بانکی")</f>
        <v>0</v>
      </c>
      <c r="D211" s="38">
        <f>IF(Txn!$B112="","",IF(Txn!$X112="","",Txn!$X112))</f>
        <v>0</v>
      </c>
      <c r="E211" s="39">
        <f>IF($D211="","",IFERROR(VLOOKUP($D211,AcctTbl,2,0),""))</f>
        <v>0</v>
      </c>
      <c r="F211" s="39">
        <f>IF($D211="","",IFERROR(VLOOKUP($D211,AcctTbl,3,0),""))</f>
        <v>0</v>
      </c>
      <c r="G211" s="39">
        <f>IF(Txn!$B112="","",Txn!$D112)</f>
        <v>0</v>
      </c>
      <c r="H211" s="38">
        <f>IF(Txn!$B112="","",Txn!$E112)</f>
        <v>0</v>
      </c>
      <c r="I211" s="40">
        <f>IF(Txn!$B112="",0,Txn!$O112)</f>
        <v>0</v>
      </c>
      <c r="J211" s="40">
        <f>IF(Txn!$B112="",0,Txn!$P112)</f>
        <v>0</v>
      </c>
      <c r="K211" s="41">
        <f>IF($A211="","",IFERROR(VALUE(MID($A211,6,2)),""))</f>
        <v>0</v>
      </c>
      <c r="L211" s="39">
        <f>IF(Txn!$K112="","",Txn!$K112)</f>
        <v>0</v>
      </c>
      <c r="N211" s="42">
        <f>IF($D211="",0,COUNTIF(BankAccts,$D211))</f>
        <v>0</v>
      </c>
    </row>
    <row r="212" spans="1:14">
      <c r="A212" s="38">
        <f>IF(Txn!$B112="","",Txn!$B112)</f>
        <v>0</v>
      </c>
      <c r="B212" s="38">
        <f>IF(Txn!$B112="","",Txn!$C112)</f>
        <v>0</v>
      </c>
      <c r="C212" s="39">
        <f>IF(Txn!$B112="","","تراکنش بانکی")</f>
        <v>0</v>
      </c>
      <c r="D212" s="38">
        <f>IF(Txn!$B112="","",IF(IF(Txn!$U112="TRF",Txn!$Y112,Txn!$Z112)="","",IF(Txn!$U112="TRF",Txn!$Y112,Txn!$Z112)))</f>
        <v>0</v>
      </c>
      <c r="E212" s="39">
        <f>IF($D212="","",IFERROR(VLOOKUP($D212,AcctTbl,2,0),""))</f>
        <v>0</v>
      </c>
      <c r="F212" s="39">
        <f>IF($D212="","",IFERROR(VLOOKUP($D212,AcctTbl,3,0),""))</f>
        <v>0</v>
      </c>
      <c r="G212" s="39">
        <f>IF(Txn!$B112="","",Txn!$D112)</f>
        <v>0</v>
      </c>
      <c r="H212" s="38">
        <f>IF(Txn!$B112="","",Txn!$E112)</f>
        <v>0</v>
      </c>
      <c r="I212" s="40">
        <f>IF(Txn!$B112="",0,Txn!$Q112)</f>
        <v>0</v>
      </c>
      <c r="J212" s="40">
        <f>IF(Txn!$B112="",0,Txn!$R112)</f>
        <v>0</v>
      </c>
      <c r="K212" s="41">
        <f>IF($A212="","",IFERROR(VALUE(MID($A212,6,2)),""))</f>
        <v>0</v>
      </c>
      <c r="L212" s="39">
        <f>IF(Txn!$K112="","","طرف مقابل — "&amp;Txn!$K112)</f>
        <v>0</v>
      </c>
      <c r="N212" s="42">
        <f>IF($D212="",0,COUNTIF(BankAccts,$D212))</f>
        <v>0</v>
      </c>
    </row>
    <row r="213" spans="1:14">
      <c r="A213" s="38">
        <f>IF(Txn!$B113="","",Txn!$B113)</f>
        <v>0</v>
      </c>
      <c r="B213" s="38">
        <f>IF(Txn!$B113="","",Txn!$C113)</f>
        <v>0</v>
      </c>
      <c r="C213" s="39">
        <f>IF(Txn!$B113="","","تراکنش بانکی")</f>
        <v>0</v>
      </c>
      <c r="D213" s="38">
        <f>IF(Txn!$B113="","",IF(Txn!$X113="","",Txn!$X113))</f>
        <v>0</v>
      </c>
      <c r="E213" s="39">
        <f>IF($D213="","",IFERROR(VLOOKUP($D213,AcctTbl,2,0),""))</f>
        <v>0</v>
      </c>
      <c r="F213" s="39">
        <f>IF($D213="","",IFERROR(VLOOKUP($D213,AcctTbl,3,0),""))</f>
        <v>0</v>
      </c>
      <c r="G213" s="39">
        <f>IF(Txn!$B113="","",Txn!$D113)</f>
        <v>0</v>
      </c>
      <c r="H213" s="38">
        <f>IF(Txn!$B113="","",Txn!$E113)</f>
        <v>0</v>
      </c>
      <c r="I213" s="40">
        <f>IF(Txn!$B113="",0,Txn!$O113)</f>
        <v>0</v>
      </c>
      <c r="J213" s="40">
        <f>IF(Txn!$B113="",0,Txn!$P113)</f>
        <v>0</v>
      </c>
      <c r="K213" s="41">
        <f>IF($A213="","",IFERROR(VALUE(MID($A213,6,2)),""))</f>
        <v>0</v>
      </c>
      <c r="L213" s="39">
        <f>IF(Txn!$K113="","",Txn!$K113)</f>
        <v>0</v>
      </c>
      <c r="N213" s="42">
        <f>IF($D213="",0,COUNTIF(BankAccts,$D213))</f>
        <v>0</v>
      </c>
    </row>
    <row r="214" spans="1:14">
      <c r="A214" s="38">
        <f>IF(Txn!$B113="","",Txn!$B113)</f>
        <v>0</v>
      </c>
      <c r="B214" s="38">
        <f>IF(Txn!$B113="","",Txn!$C113)</f>
        <v>0</v>
      </c>
      <c r="C214" s="39">
        <f>IF(Txn!$B113="","","تراکنش بانکی")</f>
        <v>0</v>
      </c>
      <c r="D214" s="38">
        <f>IF(Txn!$B113="","",IF(IF(Txn!$U113="TRF",Txn!$Y113,Txn!$Z113)="","",IF(Txn!$U113="TRF",Txn!$Y113,Txn!$Z113)))</f>
        <v>0</v>
      </c>
      <c r="E214" s="39">
        <f>IF($D214="","",IFERROR(VLOOKUP($D214,AcctTbl,2,0),""))</f>
        <v>0</v>
      </c>
      <c r="F214" s="39">
        <f>IF($D214="","",IFERROR(VLOOKUP($D214,AcctTbl,3,0),""))</f>
        <v>0</v>
      </c>
      <c r="G214" s="39">
        <f>IF(Txn!$B113="","",Txn!$D113)</f>
        <v>0</v>
      </c>
      <c r="H214" s="38">
        <f>IF(Txn!$B113="","",Txn!$E113)</f>
        <v>0</v>
      </c>
      <c r="I214" s="40">
        <f>IF(Txn!$B113="",0,Txn!$Q113)</f>
        <v>0</v>
      </c>
      <c r="J214" s="40">
        <f>IF(Txn!$B113="",0,Txn!$R113)</f>
        <v>0</v>
      </c>
      <c r="K214" s="41">
        <f>IF($A214="","",IFERROR(VALUE(MID($A214,6,2)),""))</f>
        <v>0</v>
      </c>
      <c r="L214" s="39">
        <f>IF(Txn!$K113="","","طرف مقابل — "&amp;Txn!$K113)</f>
        <v>0</v>
      </c>
      <c r="N214" s="42">
        <f>IF($D214="",0,COUNTIF(BankAccts,$D214))</f>
        <v>0</v>
      </c>
    </row>
    <row r="215" spans="1:14">
      <c r="A215" s="38">
        <f>IF(Txn!$B114="","",Txn!$B114)</f>
        <v>0</v>
      </c>
      <c r="B215" s="38">
        <f>IF(Txn!$B114="","",Txn!$C114)</f>
        <v>0</v>
      </c>
      <c r="C215" s="39">
        <f>IF(Txn!$B114="","","تراکنش بانکی")</f>
        <v>0</v>
      </c>
      <c r="D215" s="38">
        <f>IF(Txn!$B114="","",IF(Txn!$X114="","",Txn!$X114))</f>
        <v>0</v>
      </c>
      <c r="E215" s="39">
        <f>IF($D215="","",IFERROR(VLOOKUP($D215,AcctTbl,2,0),""))</f>
        <v>0</v>
      </c>
      <c r="F215" s="39">
        <f>IF($D215="","",IFERROR(VLOOKUP($D215,AcctTbl,3,0),""))</f>
        <v>0</v>
      </c>
      <c r="G215" s="39">
        <f>IF(Txn!$B114="","",Txn!$D114)</f>
        <v>0</v>
      </c>
      <c r="H215" s="38">
        <f>IF(Txn!$B114="","",Txn!$E114)</f>
        <v>0</v>
      </c>
      <c r="I215" s="40">
        <f>IF(Txn!$B114="",0,Txn!$O114)</f>
        <v>0</v>
      </c>
      <c r="J215" s="40">
        <f>IF(Txn!$B114="",0,Txn!$P114)</f>
        <v>0</v>
      </c>
      <c r="K215" s="41">
        <f>IF($A215="","",IFERROR(VALUE(MID($A215,6,2)),""))</f>
        <v>0</v>
      </c>
      <c r="L215" s="39">
        <f>IF(Txn!$K114="","",Txn!$K114)</f>
        <v>0</v>
      </c>
      <c r="N215" s="42">
        <f>IF($D215="",0,COUNTIF(BankAccts,$D215))</f>
        <v>0</v>
      </c>
    </row>
    <row r="216" spans="1:14">
      <c r="A216" s="38">
        <f>IF(Txn!$B114="","",Txn!$B114)</f>
        <v>0</v>
      </c>
      <c r="B216" s="38">
        <f>IF(Txn!$B114="","",Txn!$C114)</f>
        <v>0</v>
      </c>
      <c r="C216" s="39">
        <f>IF(Txn!$B114="","","تراکنش بانکی")</f>
        <v>0</v>
      </c>
      <c r="D216" s="38">
        <f>IF(Txn!$B114="","",IF(IF(Txn!$U114="TRF",Txn!$Y114,Txn!$Z114)="","",IF(Txn!$U114="TRF",Txn!$Y114,Txn!$Z114)))</f>
        <v>0</v>
      </c>
      <c r="E216" s="39">
        <f>IF($D216="","",IFERROR(VLOOKUP($D216,AcctTbl,2,0),""))</f>
        <v>0</v>
      </c>
      <c r="F216" s="39">
        <f>IF($D216="","",IFERROR(VLOOKUP($D216,AcctTbl,3,0),""))</f>
        <v>0</v>
      </c>
      <c r="G216" s="39">
        <f>IF(Txn!$B114="","",Txn!$D114)</f>
        <v>0</v>
      </c>
      <c r="H216" s="38">
        <f>IF(Txn!$B114="","",Txn!$E114)</f>
        <v>0</v>
      </c>
      <c r="I216" s="40">
        <f>IF(Txn!$B114="",0,Txn!$Q114)</f>
        <v>0</v>
      </c>
      <c r="J216" s="40">
        <f>IF(Txn!$B114="",0,Txn!$R114)</f>
        <v>0</v>
      </c>
      <c r="K216" s="41">
        <f>IF($A216="","",IFERROR(VALUE(MID($A216,6,2)),""))</f>
        <v>0</v>
      </c>
      <c r="L216" s="39">
        <f>IF(Txn!$K114="","","طرف مقابل — "&amp;Txn!$K114)</f>
        <v>0</v>
      </c>
      <c r="N216" s="42">
        <f>IF($D216="",0,COUNTIF(BankAccts,$D216))</f>
        <v>0</v>
      </c>
    </row>
    <row r="217" spans="1:14">
      <c r="A217" s="38">
        <f>IF(Txn!$B115="","",Txn!$B115)</f>
        <v>0</v>
      </c>
      <c r="B217" s="38">
        <f>IF(Txn!$B115="","",Txn!$C115)</f>
        <v>0</v>
      </c>
      <c r="C217" s="39">
        <f>IF(Txn!$B115="","","تراکنش بانکی")</f>
        <v>0</v>
      </c>
      <c r="D217" s="38">
        <f>IF(Txn!$B115="","",IF(Txn!$X115="","",Txn!$X115))</f>
        <v>0</v>
      </c>
      <c r="E217" s="39">
        <f>IF($D217="","",IFERROR(VLOOKUP($D217,AcctTbl,2,0),""))</f>
        <v>0</v>
      </c>
      <c r="F217" s="39">
        <f>IF($D217="","",IFERROR(VLOOKUP($D217,AcctTbl,3,0),""))</f>
        <v>0</v>
      </c>
      <c r="G217" s="39">
        <f>IF(Txn!$B115="","",Txn!$D115)</f>
        <v>0</v>
      </c>
      <c r="H217" s="38">
        <f>IF(Txn!$B115="","",Txn!$E115)</f>
        <v>0</v>
      </c>
      <c r="I217" s="40">
        <f>IF(Txn!$B115="",0,Txn!$O115)</f>
        <v>0</v>
      </c>
      <c r="J217" s="40">
        <f>IF(Txn!$B115="",0,Txn!$P115)</f>
        <v>0</v>
      </c>
      <c r="K217" s="41">
        <f>IF($A217="","",IFERROR(VALUE(MID($A217,6,2)),""))</f>
        <v>0</v>
      </c>
      <c r="L217" s="39">
        <f>IF(Txn!$K115="","",Txn!$K115)</f>
        <v>0</v>
      </c>
      <c r="N217" s="42">
        <f>IF($D217="",0,COUNTIF(BankAccts,$D217))</f>
        <v>0</v>
      </c>
    </row>
    <row r="218" spans="1:14">
      <c r="A218" s="38">
        <f>IF(Txn!$B115="","",Txn!$B115)</f>
        <v>0</v>
      </c>
      <c r="B218" s="38">
        <f>IF(Txn!$B115="","",Txn!$C115)</f>
        <v>0</v>
      </c>
      <c r="C218" s="39">
        <f>IF(Txn!$B115="","","تراکنش بانکی")</f>
        <v>0</v>
      </c>
      <c r="D218" s="38">
        <f>IF(Txn!$B115="","",IF(IF(Txn!$U115="TRF",Txn!$Y115,Txn!$Z115)="","",IF(Txn!$U115="TRF",Txn!$Y115,Txn!$Z115)))</f>
        <v>0</v>
      </c>
      <c r="E218" s="39">
        <f>IF($D218="","",IFERROR(VLOOKUP($D218,AcctTbl,2,0),""))</f>
        <v>0</v>
      </c>
      <c r="F218" s="39">
        <f>IF($D218="","",IFERROR(VLOOKUP($D218,AcctTbl,3,0),""))</f>
        <v>0</v>
      </c>
      <c r="G218" s="39">
        <f>IF(Txn!$B115="","",Txn!$D115)</f>
        <v>0</v>
      </c>
      <c r="H218" s="38">
        <f>IF(Txn!$B115="","",Txn!$E115)</f>
        <v>0</v>
      </c>
      <c r="I218" s="40">
        <f>IF(Txn!$B115="",0,Txn!$Q115)</f>
        <v>0</v>
      </c>
      <c r="J218" s="40">
        <f>IF(Txn!$B115="",0,Txn!$R115)</f>
        <v>0</v>
      </c>
      <c r="K218" s="41">
        <f>IF($A218="","",IFERROR(VALUE(MID($A218,6,2)),""))</f>
        <v>0</v>
      </c>
      <c r="L218" s="39">
        <f>IF(Txn!$K115="","","طرف مقابل — "&amp;Txn!$K115)</f>
        <v>0</v>
      </c>
      <c r="N218" s="42">
        <f>IF($D218="",0,COUNTIF(BankAccts,$D218))</f>
        <v>0</v>
      </c>
    </row>
    <row r="219" spans="1:14">
      <c r="A219" s="38">
        <f>IF(Txn!$B116="","",Txn!$B116)</f>
        <v>0</v>
      </c>
      <c r="B219" s="38">
        <f>IF(Txn!$B116="","",Txn!$C116)</f>
        <v>0</v>
      </c>
      <c r="C219" s="39">
        <f>IF(Txn!$B116="","","تراکنش بانکی")</f>
        <v>0</v>
      </c>
      <c r="D219" s="38">
        <f>IF(Txn!$B116="","",IF(Txn!$X116="","",Txn!$X116))</f>
        <v>0</v>
      </c>
      <c r="E219" s="39">
        <f>IF($D219="","",IFERROR(VLOOKUP($D219,AcctTbl,2,0),""))</f>
        <v>0</v>
      </c>
      <c r="F219" s="39">
        <f>IF($D219="","",IFERROR(VLOOKUP($D219,AcctTbl,3,0),""))</f>
        <v>0</v>
      </c>
      <c r="G219" s="39">
        <f>IF(Txn!$B116="","",Txn!$D116)</f>
        <v>0</v>
      </c>
      <c r="H219" s="38">
        <f>IF(Txn!$B116="","",Txn!$E116)</f>
        <v>0</v>
      </c>
      <c r="I219" s="40">
        <f>IF(Txn!$B116="",0,Txn!$O116)</f>
        <v>0</v>
      </c>
      <c r="J219" s="40">
        <f>IF(Txn!$B116="",0,Txn!$P116)</f>
        <v>0</v>
      </c>
      <c r="K219" s="41">
        <f>IF($A219="","",IFERROR(VALUE(MID($A219,6,2)),""))</f>
        <v>0</v>
      </c>
      <c r="L219" s="39">
        <f>IF(Txn!$K116="","",Txn!$K116)</f>
        <v>0</v>
      </c>
      <c r="N219" s="42">
        <f>IF($D219="",0,COUNTIF(BankAccts,$D219))</f>
        <v>0</v>
      </c>
    </row>
    <row r="220" spans="1:14">
      <c r="A220" s="38">
        <f>IF(Txn!$B116="","",Txn!$B116)</f>
        <v>0</v>
      </c>
      <c r="B220" s="38">
        <f>IF(Txn!$B116="","",Txn!$C116)</f>
        <v>0</v>
      </c>
      <c r="C220" s="39">
        <f>IF(Txn!$B116="","","تراکنش بانکی")</f>
        <v>0</v>
      </c>
      <c r="D220" s="38">
        <f>IF(Txn!$B116="","",IF(IF(Txn!$U116="TRF",Txn!$Y116,Txn!$Z116)="","",IF(Txn!$U116="TRF",Txn!$Y116,Txn!$Z116)))</f>
        <v>0</v>
      </c>
      <c r="E220" s="39">
        <f>IF($D220="","",IFERROR(VLOOKUP($D220,AcctTbl,2,0),""))</f>
        <v>0</v>
      </c>
      <c r="F220" s="39">
        <f>IF($D220="","",IFERROR(VLOOKUP($D220,AcctTbl,3,0),""))</f>
        <v>0</v>
      </c>
      <c r="G220" s="39">
        <f>IF(Txn!$B116="","",Txn!$D116)</f>
        <v>0</v>
      </c>
      <c r="H220" s="38">
        <f>IF(Txn!$B116="","",Txn!$E116)</f>
        <v>0</v>
      </c>
      <c r="I220" s="40">
        <f>IF(Txn!$B116="",0,Txn!$Q116)</f>
        <v>0</v>
      </c>
      <c r="J220" s="40">
        <f>IF(Txn!$B116="",0,Txn!$R116)</f>
        <v>0</v>
      </c>
      <c r="K220" s="41">
        <f>IF($A220="","",IFERROR(VALUE(MID($A220,6,2)),""))</f>
        <v>0</v>
      </c>
      <c r="L220" s="39">
        <f>IF(Txn!$K116="","","طرف مقابل — "&amp;Txn!$K116)</f>
        <v>0</v>
      </c>
      <c r="N220" s="42">
        <f>IF($D220="",0,COUNTIF(BankAccts,$D220))</f>
        <v>0</v>
      </c>
    </row>
    <row r="221" spans="1:14">
      <c r="A221" s="38">
        <f>IF(Txn!$B117="","",Txn!$B117)</f>
        <v>0</v>
      </c>
      <c r="B221" s="38">
        <f>IF(Txn!$B117="","",Txn!$C117)</f>
        <v>0</v>
      </c>
      <c r="C221" s="39">
        <f>IF(Txn!$B117="","","تراکنش بانکی")</f>
        <v>0</v>
      </c>
      <c r="D221" s="38">
        <f>IF(Txn!$B117="","",IF(Txn!$X117="","",Txn!$X117))</f>
        <v>0</v>
      </c>
      <c r="E221" s="39">
        <f>IF($D221="","",IFERROR(VLOOKUP($D221,AcctTbl,2,0),""))</f>
        <v>0</v>
      </c>
      <c r="F221" s="39">
        <f>IF($D221="","",IFERROR(VLOOKUP($D221,AcctTbl,3,0),""))</f>
        <v>0</v>
      </c>
      <c r="G221" s="39">
        <f>IF(Txn!$B117="","",Txn!$D117)</f>
        <v>0</v>
      </c>
      <c r="H221" s="38">
        <f>IF(Txn!$B117="","",Txn!$E117)</f>
        <v>0</v>
      </c>
      <c r="I221" s="40">
        <f>IF(Txn!$B117="",0,Txn!$O117)</f>
        <v>0</v>
      </c>
      <c r="J221" s="40">
        <f>IF(Txn!$B117="",0,Txn!$P117)</f>
        <v>0</v>
      </c>
      <c r="K221" s="41">
        <f>IF($A221="","",IFERROR(VALUE(MID($A221,6,2)),""))</f>
        <v>0</v>
      </c>
      <c r="L221" s="39">
        <f>IF(Txn!$K117="","",Txn!$K117)</f>
        <v>0</v>
      </c>
      <c r="N221" s="42">
        <f>IF($D221="",0,COUNTIF(BankAccts,$D221))</f>
        <v>0</v>
      </c>
    </row>
    <row r="222" spans="1:14">
      <c r="A222" s="38">
        <f>IF(Txn!$B117="","",Txn!$B117)</f>
        <v>0</v>
      </c>
      <c r="B222" s="38">
        <f>IF(Txn!$B117="","",Txn!$C117)</f>
        <v>0</v>
      </c>
      <c r="C222" s="39">
        <f>IF(Txn!$B117="","","تراکنش بانکی")</f>
        <v>0</v>
      </c>
      <c r="D222" s="38">
        <f>IF(Txn!$B117="","",IF(IF(Txn!$U117="TRF",Txn!$Y117,Txn!$Z117)="","",IF(Txn!$U117="TRF",Txn!$Y117,Txn!$Z117)))</f>
        <v>0</v>
      </c>
      <c r="E222" s="39">
        <f>IF($D222="","",IFERROR(VLOOKUP($D222,AcctTbl,2,0),""))</f>
        <v>0</v>
      </c>
      <c r="F222" s="39">
        <f>IF($D222="","",IFERROR(VLOOKUP($D222,AcctTbl,3,0),""))</f>
        <v>0</v>
      </c>
      <c r="G222" s="39">
        <f>IF(Txn!$B117="","",Txn!$D117)</f>
        <v>0</v>
      </c>
      <c r="H222" s="38">
        <f>IF(Txn!$B117="","",Txn!$E117)</f>
        <v>0</v>
      </c>
      <c r="I222" s="40">
        <f>IF(Txn!$B117="",0,Txn!$Q117)</f>
        <v>0</v>
      </c>
      <c r="J222" s="40">
        <f>IF(Txn!$B117="",0,Txn!$R117)</f>
        <v>0</v>
      </c>
      <c r="K222" s="41">
        <f>IF($A222="","",IFERROR(VALUE(MID($A222,6,2)),""))</f>
        <v>0</v>
      </c>
      <c r="L222" s="39">
        <f>IF(Txn!$K117="","","طرف مقابل — "&amp;Txn!$K117)</f>
        <v>0</v>
      </c>
      <c r="N222" s="42">
        <f>IF($D222="",0,COUNTIF(BankAccts,$D222))</f>
        <v>0</v>
      </c>
    </row>
    <row r="223" spans="1:14">
      <c r="A223" s="38">
        <f>IF(Txn!$B118="","",Txn!$B118)</f>
        <v>0</v>
      </c>
      <c r="B223" s="38">
        <f>IF(Txn!$B118="","",Txn!$C118)</f>
        <v>0</v>
      </c>
      <c r="C223" s="39">
        <f>IF(Txn!$B118="","","تراکنش بانکی")</f>
        <v>0</v>
      </c>
      <c r="D223" s="38">
        <f>IF(Txn!$B118="","",IF(Txn!$X118="","",Txn!$X118))</f>
        <v>0</v>
      </c>
      <c r="E223" s="39">
        <f>IF($D223="","",IFERROR(VLOOKUP($D223,AcctTbl,2,0),""))</f>
        <v>0</v>
      </c>
      <c r="F223" s="39">
        <f>IF($D223="","",IFERROR(VLOOKUP($D223,AcctTbl,3,0),""))</f>
        <v>0</v>
      </c>
      <c r="G223" s="39">
        <f>IF(Txn!$B118="","",Txn!$D118)</f>
        <v>0</v>
      </c>
      <c r="H223" s="38">
        <f>IF(Txn!$B118="","",Txn!$E118)</f>
        <v>0</v>
      </c>
      <c r="I223" s="40">
        <f>IF(Txn!$B118="",0,Txn!$O118)</f>
        <v>0</v>
      </c>
      <c r="J223" s="40">
        <f>IF(Txn!$B118="",0,Txn!$P118)</f>
        <v>0</v>
      </c>
      <c r="K223" s="41">
        <f>IF($A223="","",IFERROR(VALUE(MID($A223,6,2)),""))</f>
        <v>0</v>
      </c>
      <c r="L223" s="39">
        <f>IF(Txn!$K118="","",Txn!$K118)</f>
        <v>0</v>
      </c>
      <c r="N223" s="42">
        <f>IF($D223="",0,COUNTIF(BankAccts,$D223))</f>
        <v>0</v>
      </c>
    </row>
    <row r="224" spans="1:14">
      <c r="A224" s="38">
        <f>IF(Txn!$B118="","",Txn!$B118)</f>
        <v>0</v>
      </c>
      <c r="B224" s="38">
        <f>IF(Txn!$B118="","",Txn!$C118)</f>
        <v>0</v>
      </c>
      <c r="C224" s="39">
        <f>IF(Txn!$B118="","","تراکنش بانکی")</f>
        <v>0</v>
      </c>
      <c r="D224" s="38">
        <f>IF(Txn!$B118="","",IF(IF(Txn!$U118="TRF",Txn!$Y118,Txn!$Z118)="","",IF(Txn!$U118="TRF",Txn!$Y118,Txn!$Z118)))</f>
        <v>0</v>
      </c>
      <c r="E224" s="39">
        <f>IF($D224="","",IFERROR(VLOOKUP($D224,AcctTbl,2,0),""))</f>
        <v>0</v>
      </c>
      <c r="F224" s="39">
        <f>IF($D224="","",IFERROR(VLOOKUP($D224,AcctTbl,3,0),""))</f>
        <v>0</v>
      </c>
      <c r="G224" s="39">
        <f>IF(Txn!$B118="","",Txn!$D118)</f>
        <v>0</v>
      </c>
      <c r="H224" s="38">
        <f>IF(Txn!$B118="","",Txn!$E118)</f>
        <v>0</v>
      </c>
      <c r="I224" s="40">
        <f>IF(Txn!$B118="",0,Txn!$Q118)</f>
        <v>0</v>
      </c>
      <c r="J224" s="40">
        <f>IF(Txn!$B118="",0,Txn!$R118)</f>
        <v>0</v>
      </c>
      <c r="K224" s="41">
        <f>IF($A224="","",IFERROR(VALUE(MID($A224,6,2)),""))</f>
        <v>0</v>
      </c>
      <c r="L224" s="39">
        <f>IF(Txn!$K118="","","طرف مقابل — "&amp;Txn!$K118)</f>
        <v>0</v>
      </c>
      <c r="N224" s="42">
        <f>IF($D224="",0,COUNTIF(BankAccts,$D224))</f>
        <v>0</v>
      </c>
    </row>
    <row r="225" spans="1:14">
      <c r="A225" s="38">
        <f>IF(Txn!$B119="","",Txn!$B119)</f>
        <v>0</v>
      </c>
      <c r="B225" s="38">
        <f>IF(Txn!$B119="","",Txn!$C119)</f>
        <v>0</v>
      </c>
      <c r="C225" s="39">
        <f>IF(Txn!$B119="","","تراکنش بانکی")</f>
        <v>0</v>
      </c>
      <c r="D225" s="38">
        <f>IF(Txn!$B119="","",IF(Txn!$X119="","",Txn!$X119))</f>
        <v>0</v>
      </c>
      <c r="E225" s="39">
        <f>IF($D225="","",IFERROR(VLOOKUP($D225,AcctTbl,2,0),""))</f>
        <v>0</v>
      </c>
      <c r="F225" s="39">
        <f>IF($D225="","",IFERROR(VLOOKUP($D225,AcctTbl,3,0),""))</f>
        <v>0</v>
      </c>
      <c r="G225" s="39">
        <f>IF(Txn!$B119="","",Txn!$D119)</f>
        <v>0</v>
      </c>
      <c r="H225" s="38">
        <f>IF(Txn!$B119="","",Txn!$E119)</f>
        <v>0</v>
      </c>
      <c r="I225" s="40">
        <f>IF(Txn!$B119="",0,Txn!$O119)</f>
        <v>0</v>
      </c>
      <c r="J225" s="40">
        <f>IF(Txn!$B119="",0,Txn!$P119)</f>
        <v>0</v>
      </c>
      <c r="K225" s="41">
        <f>IF($A225="","",IFERROR(VALUE(MID($A225,6,2)),""))</f>
        <v>0</v>
      </c>
      <c r="L225" s="39">
        <f>IF(Txn!$K119="","",Txn!$K119)</f>
        <v>0</v>
      </c>
      <c r="N225" s="42">
        <f>IF($D225="",0,COUNTIF(BankAccts,$D225))</f>
        <v>0</v>
      </c>
    </row>
    <row r="226" spans="1:14">
      <c r="A226" s="38">
        <f>IF(Txn!$B119="","",Txn!$B119)</f>
        <v>0</v>
      </c>
      <c r="B226" s="38">
        <f>IF(Txn!$B119="","",Txn!$C119)</f>
        <v>0</v>
      </c>
      <c r="C226" s="39">
        <f>IF(Txn!$B119="","","تراکنش بانکی")</f>
        <v>0</v>
      </c>
      <c r="D226" s="38">
        <f>IF(Txn!$B119="","",IF(IF(Txn!$U119="TRF",Txn!$Y119,Txn!$Z119)="","",IF(Txn!$U119="TRF",Txn!$Y119,Txn!$Z119)))</f>
        <v>0</v>
      </c>
      <c r="E226" s="39">
        <f>IF($D226="","",IFERROR(VLOOKUP($D226,AcctTbl,2,0),""))</f>
        <v>0</v>
      </c>
      <c r="F226" s="39">
        <f>IF($D226="","",IFERROR(VLOOKUP($D226,AcctTbl,3,0),""))</f>
        <v>0</v>
      </c>
      <c r="G226" s="39">
        <f>IF(Txn!$B119="","",Txn!$D119)</f>
        <v>0</v>
      </c>
      <c r="H226" s="38">
        <f>IF(Txn!$B119="","",Txn!$E119)</f>
        <v>0</v>
      </c>
      <c r="I226" s="40">
        <f>IF(Txn!$B119="",0,Txn!$Q119)</f>
        <v>0</v>
      </c>
      <c r="J226" s="40">
        <f>IF(Txn!$B119="",0,Txn!$R119)</f>
        <v>0</v>
      </c>
      <c r="K226" s="41">
        <f>IF($A226="","",IFERROR(VALUE(MID($A226,6,2)),""))</f>
        <v>0</v>
      </c>
      <c r="L226" s="39">
        <f>IF(Txn!$K119="","","طرف مقابل — "&amp;Txn!$K119)</f>
        <v>0</v>
      </c>
      <c r="N226" s="42">
        <f>IF($D226="",0,COUNTIF(BankAccts,$D226))</f>
        <v>0</v>
      </c>
    </row>
    <row r="227" spans="1:14">
      <c r="A227" s="38">
        <f>IF(Txn!$B120="","",Txn!$B120)</f>
        <v>0</v>
      </c>
      <c r="B227" s="38">
        <f>IF(Txn!$B120="","",Txn!$C120)</f>
        <v>0</v>
      </c>
      <c r="C227" s="39">
        <f>IF(Txn!$B120="","","تراکنش بانکی")</f>
        <v>0</v>
      </c>
      <c r="D227" s="38">
        <f>IF(Txn!$B120="","",IF(Txn!$X120="","",Txn!$X120))</f>
        <v>0</v>
      </c>
      <c r="E227" s="39">
        <f>IF($D227="","",IFERROR(VLOOKUP($D227,AcctTbl,2,0),""))</f>
        <v>0</v>
      </c>
      <c r="F227" s="39">
        <f>IF($D227="","",IFERROR(VLOOKUP($D227,AcctTbl,3,0),""))</f>
        <v>0</v>
      </c>
      <c r="G227" s="39">
        <f>IF(Txn!$B120="","",Txn!$D120)</f>
        <v>0</v>
      </c>
      <c r="H227" s="38">
        <f>IF(Txn!$B120="","",Txn!$E120)</f>
        <v>0</v>
      </c>
      <c r="I227" s="40">
        <f>IF(Txn!$B120="",0,Txn!$O120)</f>
        <v>0</v>
      </c>
      <c r="J227" s="40">
        <f>IF(Txn!$B120="",0,Txn!$P120)</f>
        <v>0</v>
      </c>
      <c r="K227" s="41">
        <f>IF($A227="","",IFERROR(VALUE(MID($A227,6,2)),""))</f>
        <v>0</v>
      </c>
      <c r="L227" s="39">
        <f>IF(Txn!$K120="","",Txn!$K120)</f>
        <v>0</v>
      </c>
      <c r="N227" s="42">
        <f>IF($D227="",0,COUNTIF(BankAccts,$D227))</f>
        <v>0</v>
      </c>
    </row>
    <row r="228" spans="1:14">
      <c r="A228" s="38">
        <f>IF(Txn!$B120="","",Txn!$B120)</f>
        <v>0</v>
      </c>
      <c r="B228" s="38">
        <f>IF(Txn!$B120="","",Txn!$C120)</f>
        <v>0</v>
      </c>
      <c r="C228" s="39">
        <f>IF(Txn!$B120="","","تراکنش بانکی")</f>
        <v>0</v>
      </c>
      <c r="D228" s="38">
        <f>IF(Txn!$B120="","",IF(IF(Txn!$U120="TRF",Txn!$Y120,Txn!$Z120)="","",IF(Txn!$U120="TRF",Txn!$Y120,Txn!$Z120)))</f>
        <v>0</v>
      </c>
      <c r="E228" s="39">
        <f>IF($D228="","",IFERROR(VLOOKUP($D228,AcctTbl,2,0),""))</f>
        <v>0</v>
      </c>
      <c r="F228" s="39">
        <f>IF($D228="","",IFERROR(VLOOKUP($D228,AcctTbl,3,0),""))</f>
        <v>0</v>
      </c>
      <c r="G228" s="39">
        <f>IF(Txn!$B120="","",Txn!$D120)</f>
        <v>0</v>
      </c>
      <c r="H228" s="38">
        <f>IF(Txn!$B120="","",Txn!$E120)</f>
        <v>0</v>
      </c>
      <c r="I228" s="40">
        <f>IF(Txn!$B120="",0,Txn!$Q120)</f>
        <v>0</v>
      </c>
      <c r="J228" s="40">
        <f>IF(Txn!$B120="",0,Txn!$R120)</f>
        <v>0</v>
      </c>
      <c r="K228" s="41">
        <f>IF($A228="","",IFERROR(VALUE(MID($A228,6,2)),""))</f>
        <v>0</v>
      </c>
      <c r="L228" s="39">
        <f>IF(Txn!$K120="","","طرف مقابل — "&amp;Txn!$K120)</f>
        <v>0</v>
      </c>
      <c r="N228" s="42">
        <f>IF($D228="",0,COUNTIF(BankAccts,$D228))</f>
        <v>0</v>
      </c>
    </row>
    <row r="229" spans="1:14">
      <c r="A229" s="38">
        <f>IF(Txn!$B121="","",Txn!$B121)</f>
        <v>0</v>
      </c>
      <c r="B229" s="38">
        <f>IF(Txn!$B121="","",Txn!$C121)</f>
        <v>0</v>
      </c>
      <c r="C229" s="39">
        <f>IF(Txn!$B121="","","تراکنش بانکی")</f>
        <v>0</v>
      </c>
      <c r="D229" s="38">
        <f>IF(Txn!$B121="","",IF(Txn!$X121="","",Txn!$X121))</f>
        <v>0</v>
      </c>
      <c r="E229" s="39">
        <f>IF($D229="","",IFERROR(VLOOKUP($D229,AcctTbl,2,0),""))</f>
        <v>0</v>
      </c>
      <c r="F229" s="39">
        <f>IF($D229="","",IFERROR(VLOOKUP($D229,AcctTbl,3,0),""))</f>
        <v>0</v>
      </c>
      <c r="G229" s="39">
        <f>IF(Txn!$B121="","",Txn!$D121)</f>
        <v>0</v>
      </c>
      <c r="H229" s="38">
        <f>IF(Txn!$B121="","",Txn!$E121)</f>
        <v>0</v>
      </c>
      <c r="I229" s="40">
        <f>IF(Txn!$B121="",0,Txn!$O121)</f>
        <v>0</v>
      </c>
      <c r="J229" s="40">
        <f>IF(Txn!$B121="",0,Txn!$P121)</f>
        <v>0</v>
      </c>
      <c r="K229" s="41">
        <f>IF($A229="","",IFERROR(VALUE(MID($A229,6,2)),""))</f>
        <v>0</v>
      </c>
      <c r="L229" s="39">
        <f>IF(Txn!$K121="","",Txn!$K121)</f>
        <v>0</v>
      </c>
      <c r="N229" s="42">
        <f>IF($D229="",0,COUNTIF(BankAccts,$D229))</f>
        <v>0</v>
      </c>
    </row>
    <row r="230" spans="1:14">
      <c r="A230" s="38">
        <f>IF(Txn!$B121="","",Txn!$B121)</f>
        <v>0</v>
      </c>
      <c r="B230" s="38">
        <f>IF(Txn!$B121="","",Txn!$C121)</f>
        <v>0</v>
      </c>
      <c r="C230" s="39">
        <f>IF(Txn!$B121="","","تراکنش بانکی")</f>
        <v>0</v>
      </c>
      <c r="D230" s="38">
        <f>IF(Txn!$B121="","",IF(IF(Txn!$U121="TRF",Txn!$Y121,Txn!$Z121)="","",IF(Txn!$U121="TRF",Txn!$Y121,Txn!$Z121)))</f>
        <v>0</v>
      </c>
      <c r="E230" s="39">
        <f>IF($D230="","",IFERROR(VLOOKUP($D230,AcctTbl,2,0),""))</f>
        <v>0</v>
      </c>
      <c r="F230" s="39">
        <f>IF($D230="","",IFERROR(VLOOKUP($D230,AcctTbl,3,0),""))</f>
        <v>0</v>
      </c>
      <c r="G230" s="39">
        <f>IF(Txn!$B121="","",Txn!$D121)</f>
        <v>0</v>
      </c>
      <c r="H230" s="38">
        <f>IF(Txn!$B121="","",Txn!$E121)</f>
        <v>0</v>
      </c>
      <c r="I230" s="40">
        <f>IF(Txn!$B121="",0,Txn!$Q121)</f>
        <v>0</v>
      </c>
      <c r="J230" s="40">
        <f>IF(Txn!$B121="",0,Txn!$R121)</f>
        <v>0</v>
      </c>
      <c r="K230" s="41">
        <f>IF($A230="","",IFERROR(VALUE(MID($A230,6,2)),""))</f>
        <v>0</v>
      </c>
      <c r="L230" s="39">
        <f>IF(Txn!$K121="","","طرف مقابل — "&amp;Txn!$K121)</f>
        <v>0</v>
      </c>
      <c r="N230" s="42">
        <f>IF($D230="",0,COUNTIF(BankAccts,$D230))</f>
        <v>0</v>
      </c>
    </row>
    <row r="231" spans="1:14">
      <c r="A231" s="38">
        <f>IF(Txn!$B122="","",Txn!$B122)</f>
        <v>0</v>
      </c>
      <c r="B231" s="38">
        <f>IF(Txn!$B122="","",Txn!$C122)</f>
        <v>0</v>
      </c>
      <c r="C231" s="39">
        <f>IF(Txn!$B122="","","تراکنش بانکی")</f>
        <v>0</v>
      </c>
      <c r="D231" s="38">
        <f>IF(Txn!$B122="","",IF(Txn!$X122="","",Txn!$X122))</f>
        <v>0</v>
      </c>
      <c r="E231" s="39">
        <f>IF($D231="","",IFERROR(VLOOKUP($D231,AcctTbl,2,0),""))</f>
        <v>0</v>
      </c>
      <c r="F231" s="39">
        <f>IF($D231="","",IFERROR(VLOOKUP($D231,AcctTbl,3,0),""))</f>
        <v>0</v>
      </c>
      <c r="G231" s="39">
        <f>IF(Txn!$B122="","",Txn!$D122)</f>
        <v>0</v>
      </c>
      <c r="H231" s="38">
        <f>IF(Txn!$B122="","",Txn!$E122)</f>
        <v>0</v>
      </c>
      <c r="I231" s="40">
        <f>IF(Txn!$B122="",0,Txn!$O122)</f>
        <v>0</v>
      </c>
      <c r="J231" s="40">
        <f>IF(Txn!$B122="",0,Txn!$P122)</f>
        <v>0</v>
      </c>
      <c r="K231" s="41">
        <f>IF($A231="","",IFERROR(VALUE(MID($A231,6,2)),""))</f>
        <v>0</v>
      </c>
      <c r="L231" s="39">
        <f>IF(Txn!$K122="","",Txn!$K122)</f>
        <v>0</v>
      </c>
      <c r="N231" s="42">
        <f>IF($D231="",0,COUNTIF(BankAccts,$D231))</f>
        <v>0</v>
      </c>
    </row>
    <row r="232" spans="1:14">
      <c r="A232" s="38">
        <f>IF(Txn!$B122="","",Txn!$B122)</f>
        <v>0</v>
      </c>
      <c r="B232" s="38">
        <f>IF(Txn!$B122="","",Txn!$C122)</f>
        <v>0</v>
      </c>
      <c r="C232" s="39">
        <f>IF(Txn!$B122="","","تراکنش بانکی")</f>
        <v>0</v>
      </c>
      <c r="D232" s="38">
        <f>IF(Txn!$B122="","",IF(IF(Txn!$U122="TRF",Txn!$Y122,Txn!$Z122)="","",IF(Txn!$U122="TRF",Txn!$Y122,Txn!$Z122)))</f>
        <v>0</v>
      </c>
      <c r="E232" s="39">
        <f>IF($D232="","",IFERROR(VLOOKUP($D232,AcctTbl,2,0),""))</f>
        <v>0</v>
      </c>
      <c r="F232" s="39">
        <f>IF($D232="","",IFERROR(VLOOKUP($D232,AcctTbl,3,0),""))</f>
        <v>0</v>
      </c>
      <c r="G232" s="39">
        <f>IF(Txn!$B122="","",Txn!$D122)</f>
        <v>0</v>
      </c>
      <c r="H232" s="38">
        <f>IF(Txn!$B122="","",Txn!$E122)</f>
        <v>0</v>
      </c>
      <c r="I232" s="40">
        <f>IF(Txn!$B122="",0,Txn!$Q122)</f>
        <v>0</v>
      </c>
      <c r="J232" s="40">
        <f>IF(Txn!$B122="",0,Txn!$R122)</f>
        <v>0</v>
      </c>
      <c r="K232" s="41">
        <f>IF($A232="","",IFERROR(VALUE(MID($A232,6,2)),""))</f>
        <v>0</v>
      </c>
      <c r="L232" s="39">
        <f>IF(Txn!$K122="","","طرف مقابل — "&amp;Txn!$K122)</f>
        <v>0</v>
      </c>
      <c r="N232" s="42">
        <f>IF($D232="",0,COUNTIF(BankAccts,$D232))</f>
        <v>0</v>
      </c>
    </row>
    <row r="233" spans="1:14">
      <c r="A233" s="38">
        <f>IF(Txn!$B123="","",Txn!$B123)</f>
        <v>0</v>
      </c>
      <c r="B233" s="38">
        <f>IF(Txn!$B123="","",Txn!$C123)</f>
        <v>0</v>
      </c>
      <c r="C233" s="39">
        <f>IF(Txn!$B123="","","تراکنش بانکی")</f>
        <v>0</v>
      </c>
      <c r="D233" s="38">
        <f>IF(Txn!$B123="","",IF(Txn!$X123="","",Txn!$X123))</f>
        <v>0</v>
      </c>
      <c r="E233" s="39">
        <f>IF($D233="","",IFERROR(VLOOKUP($D233,AcctTbl,2,0),""))</f>
        <v>0</v>
      </c>
      <c r="F233" s="39">
        <f>IF($D233="","",IFERROR(VLOOKUP($D233,AcctTbl,3,0),""))</f>
        <v>0</v>
      </c>
      <c r="G233" s="39">
        <f>IF(Txn!$B123="","",Txn!$D123)</f>
        <v>0</v>
      </c>
      <c r="H233" s="38">
        <f>IF(Txn!$B123="","",Txn!$E123)</f>
        <v>0</v>
      </c>
      <c r="I233" s="40">
        <f>IF(Txn!$B123="",0,Txn!$O123)</f>
        <v>0</v>
      </c>
      <c r="J233" s="40">
        <f>IF(Txn!$B123="",0,Txn!$P123)</f>
        <v>0</v>
      </c>
      <c r="K233" s="41">
        <f>IF($A233="","",IFERROR(VALUE(MID($A233,6,2)),""))</f>
        <v>0</v>
      </c>
      <c r="L233" s="39">
        <f>IF(Txn!$K123="","",Txn!$K123)</f>
        <v>0</v>
      </c>
      <c r="N233" s="42">
        <f>IF($D233="",0,COUNTIF(BankAccts,$D233))</f>
        <v>0</v>
      </c>
    </row>
    <row r="234" spans="1:14">
      <c r="A234" s="38">
        <f>IF(Txn!$B123="","",Txn!$B123)</f>
        <v>0</v>
      </c>
      <c r="B234" s="38">
        <f>IF(Txn!$B123="","",Txn!$C123)</f>
        <v>0</v>
      </c>
      <c r="C234" s="39">
        <f>IF(Txn!$B123="","","تراکنش بانکی")</f>
        <v>0</v>
      </c>
      <c r="D234" s="38">
        <f>IF(Txn!$B123="","",IF(IF(Txn!$U123="TRF",Txn!$Y123,Txn!$Z123)="","",IF(Txn!$U123="TRF",Txn!$Y123,Txn!$Z123)))</f>
        <v>0</v>
      </c>
      <c r="E234" s="39">
        <f>IF($D234="","",IFERROR(VLOOKUP($D234,AcctTbl,2,0),""))</f>
        <v>0</v>
      </c>
      <c r="F234" s="39">
        <f>IF($D234="","",IFERROR(VLOOKUP($D234,AcctTbl,3,0),""))</f>
        <v>0</v>
      </c>
      <c r="G234" s="39">
        <f>IF(Txn!$B123="","",Txn!$D123)</f>
        <v>0</v>
      </c>
      <c r="H234" s="38">
        <f>IF(Txn!$B123="","",Txn!$E123)</f>
        <v>0</v>
      </c>
      <c r="I234" s="40">
        <f>IF(Txn!$B123="",0,Txn!$Q123)</f>
        <v>0</v>
      </c>
      <c r="J234" s="40">
        <f>IF(Txn!$B123="",0,Txn!$R123)</f>
        <v>0</v>
      </c>
      <c r="K234" s="41">
        <f>IF($A234="","",IFERROR(VALUE(MID($A234,6,2)),""))</f>
        <v>0</v>
      </c>
      <c r="L234" s="39">
        <f>IF(Txn!$K123="","","طرف مقابل — "&amp;Txn!$K123)</f>
        <v>0</v>
      </c>
      <c r="N234" s="42">
        <f>IF($D234="",0,COUNTIF(BankAccts,$D234))</f>
        <v>0</v>
      </c>
    </row>
    <row r="235" spans="1:14">
      <c r="A235" s="38">
        <f>IF(Txn!$B124="","",Txn!$B124)</f>
        <v>0</v>
      </c>
      <c r="B235" s="38">
        <f>IF(Txn!$B124="","",Txn!$C124)</f>
        <v>0</v>
      </c>
      <c r="C235" s="39">
        <f>IF(Txn!$B124="","","تراکنش بانکی")</f>
        <v>0</v>
      </c>
      <c r="D235" s="38">
        <f>IF(Txn!$B124="","",IF(Txn!$X124="","",Txn!$X124))</f>
        <v>0</v>
      </c>
      <c r="E235" s="39">
        <f>IF($D235="","",IFERROR(VLOOKUP($D235,AcctTbl,2,0),""))</f>
        <v>0</v>
      </c>
      <c r="F235" s="39">
        <f>IF($D235="","",IFERROR(VLOOKUP($D235,AcctTbl,3,0),""))</f>
        <v>0</v>
      </c>
      <c r="G235" s="39">
        <f>IF(Txn!$B124="","",Txn!$D124)</f>
        <v>0</v>
      </c>
      <c r="H235" s="38">
        <f>IF(Txn!$B124="","",Txn!$E124)</f>
        <v>0</v>
      </c>
      <c r="I235" s="40">
        <f>IF(Txn!$B124="",0,Txn!$O124)</f>
        <v>0</v>
      </c>
      <c r="J235" s="40">
        <f>IF(Txn!$B124="",0,Txn!$P124)</f>
        <v>0</v>
      </c>
      <c r="K235" s="41">
        <f>IF($A235="","",IFERROR(VALUE(MID($A235,6,2)),""))</f>
        <v>0</v>
      </c>
      <c r="L235" s="39">
        <f>IF(Txn!$K124="","",Txn!$K124)</f>
        <v>0</v>
      </c>
      <c r="N235" s="42">
        <f>IF($D235="",0,COUNTIF(BankAccts,$D235))</f>
        <v>0</v>
      </c>
    </row>
    <row r="236" spans="1:14">
      <c r="A236" s="38">
        <f>IF(Txn!$B124="","",Txn!$B124)</f>
        <v>0</v>
      </c>
      <c r="B236" s="38">
        <f>IF(Txn!$B124="","",Txn!$C124)</f>
        <v>0</v>
      </c>
      <c r="C236" s="39">
        <f>IF(Txn!$B124="","","تراکنش بانکی")</f>
        <v>0</v>
      </c>
      <c r="D236" s="38">
        <f>IF(Txn!$B124="","",IF(IF(Txn!$U124="TRF",Txn!$Y124,Txn!$Z124)="","",IF(Txn!$U124="TRF",Txn!$Y124,Txn!$Z124)))</f>
        <v>0</v>
      </c>
      <c r="E236" s="39">
        <f>IF($D236="","",IFERROR(VLOOKUP($D236,AcctTbl,2,0),""))</f>
        <v>0</v>
      </c>
      <c r="F236" s="39">
        <f>IF($D236="","",IFERROR(VLOOKUP($D236,AcctTbl,3,0),""))</f>
        <v>0</v>
      </c>
      <c r="G236" s="39">
        <f>IF(Txn!$B124="","",Txn!$D124)</f>
        <v>0</v>
      </c>
      <c r="H236" s="38">
        <f>IF(Txn!$B124="","",Txn!$E124)</f>
        <v>0</v>
      </c>
      <c r="I236" s="40">
        <f>IF(Txn!$B124="",0,Txn!$Q124)</f>
        <v>0</v>
      </c>
      <c r="J236" s="40">
        <f>IF(Txn!$B124="",0,Txn!$R124)</f>
        <v>0</v>
      </c>
      <c r="K236" s="41">
        <f>IF($A236="","",IFERROR(VALUE(MID($A236,6,2)),""))</f>
        <v>0</v>
      </c>
      <c r="L236" s="39">
        <f>IF(Txn!$K124="","","طرف مقابل — "&amp;Txn!$K124)</f>
        <v>0</v>
      </c>
      <c r="N236" s="42">
        <f>IF($D236="",0,COUNTIF(BankAccts,$D236))</f>
        <v>0</v>
      </c>
    </row>
    <row r="237" spans="1:14">
      <c r="A237" s="38">
        <f>IF(Txn!$B125="","",Txn!$B125)</f>
        <v>0</v>
      </c>
      <c r="B237" s="38">
        <f>IF(Txn!$B125="","",Txn!$C125)</f>
        <v>0</v>
      </c>
      <c r="C237" s="39">
        <f>IF(Txn!$B125="","","تراکنش بانکی")</f>
        <v>0</v>
      </c>
      <c r="D237" s="38">
        <f>IF(Txn!$B125="","",IF(Txn!$X125="","",Txn!$X125))</f>
        <v>0</v>
      </c>
      <c r="E237" s="39">
        <f>IF($D237="","",IFERROR(VLOOKUP($D237,AcctTbl,2,0),""))</f>
        <v>0</v>
      </c>
      <c r="F237" s="39">
        <f>IF($D237="","",IFERROR(VLOOKUP($D237,AcctTbl,3,0),""))</f>
        <v>0</v>
      </c>
      <c r="G237" s="39">
        <f>IF(Txn!$B125="","",Txn!$D125)</f>
        <v>0</v>
      </c>
      <c r="H237" s="38">
        <f>IF(Txn!$B125="","",Txn!$E125)</f>
        <v>0</v>
      </c>
      <c r="I237" s="40">
        <f>IF(Txn!$B125="",0,Txn!$O125)</f>
        <v>0</v>
      </c>
      <c r="J237" s="40">
        <f>IF(Txn!$B125="",0,Txn!$P125)</f>
        <v>0</v>
      </c>
      <c r="K237" s="41">
        <f>IF($A237="","",IFERROR(VALUE(MID($A237,6,2)),""))</f>
        <v>0</v>
      </c>
      <c r="L237" s="39">
        <f>IF(Txn!$K125="","",Txn!$K125)</f>
        <v>0</v>
      </c>
      <c r="N237" s="42">
        <f>IF($D237="",0,COUNTIF(BankAccts,$D237))</f>
        <v>0</v>
      </c>
    </row>
    <row r="238" spans="1:14">
      <c r="A238" s="38">
        <f>IF(Txn!$B125="","",Txn!$B125)</f>
        <v>0</v>
      </c>
      <c r="B238" s="38">
        <f>IF(Txn!$B125="","",Txn!$C125)</f>
        <v>0</v>
      </c>
      <c r="C238" s="39">
        <f>IF(Txn!$B125="","","تراکنش بانکی")</f>
        <v>0</v>
      </c>
      <c r="D238" s="38">
        <f>IF(Txn!$B125="","",IF(IF(Txn!$U125="TRF",Txn!$Y125,Txn!$Z125)="","",IF(Txn!$U125="TRF",Txn!$Y125,Txn!$Z125)))</f>
        <v>0</v>
      </c>
      <c r="E238" s="39">
        <f>IF($D238="","",IFERROR(VLOOKUP($D238,AcctTbl,2,0),""))</f>
        <v>0</v>
      </c>
      <c r="F238" s="39">
        <f>IF($D238="","",IFERROR(VLOOKUP($D238,AcctTbl,3,0),""))</f>
        <v>0</v>
      </c>
      <c r="G238" s="39">
        <f>IF(Txn!$B125="","",Txn!$D125)</f>
        <v>0</v>
      </c>
      <c r="H238" s="38">
        <f>IF(Txn!$B125="","",Txn!$E125)</f>
        <v>0</v>
      </c>
      <c r="I238" s="40">
        <f>IF(Txn!$B125="",0,Txn!$Q125)</f>
        <v>0</v>
      </c>
      <c r="J238" s="40">
        <f>IF(Txn!$B125="",0,Txn!$R125)</f>
        <v>0</v>
      </c>
      <c r="K238" s="41">
        <f>IF($A238="","",IFERROR(VALUE(MID($A238,6,2)),""))</f>
        <v>0</v>
      </c>
      <c r="L238" s="39">
        <f>IF(Txn!$K125="","","طرف مقابل — "&amp;Txn!$K125)</f>
        <v>0</v>
      </c>
      <c r="N238" s="42">
        <f>IF($D238="",0,COUNTIF(BankAccts,$D238))</f>
        <v>0</v>
      </c>
    </row>
    <row r="239" spans="1:14">
      <c r="A239" s="38">
        <f>IF(Txn!$B126="","",Txn!$B126)</f>
        <v>0</v>
      </c>
      <c r="B239" s="38">
        <f>IF(Txn!$B126="","",Txn!$C126)</f>
        <v>0</v>
      </c>
      <c r="C239" s="39">
        <f>IF(Txn!$B126="","","تراکنش بانکی")</f>
        <v>0</v>
      </c>
      <c r="D239" s="38">
        <f>IF(Txn!$B126="","",IF(Txn!$X126="","",Txn!$X126))</f>
        <v>0</v>
      </c>
      <c r="E239" s="39">
        <f>IF($D239="","",IFERROR(VLOOKUP($D239,AcctTbl,2,0),""))</f>
        <v>0</v>
      </c>
      <c r="F239" s="39">
        <f>IF($D239="","",IFERROR(VLOOKUP($D239,AcctTbl,3,0),""))</f>
        <v>0</v>
      </c>
      <c r="G239" s="39">
        <f>IF(Txn!$B126="","",Txn!$D126)</f>
        <v>0</v>
      </c>
      <c r="H239" s="38">
        <f>IF(Txn!$B126="","",Txn!$E126)</f>
        <v>0</v>
      </c>
      <c r="I239" s="40">
        <f>IF(Txn!$B126="",0,Txn!$O126)</f>
        <v>0</v>
      </c>
      <c r="J239" s="40">
        <f>IF(Txn!$B126="",0,Txn!$P126)</f>
        <v>0</v>
      </c>
      <c r="K239" s="41">
        <f>IF($A239="","",IFERROR(VALUE(MID($A239,6,2)),""))</f>
        <v>0</v>
      </c>
      <c r="L239" s="39">
        <f>IF(Txn!$K126="","",Txn!$K126)</f>
        <v>0</v>
      </c>
      <c r="N239" s="42">
        <f>IF($D239="",0,COUNTIF(BankAccts,$D239))</f>
        <v>0</v>
      </c>
    </row>
    <row r="240" spans="1:14">
      <c r="A240" s="38">
        <f>IF(Txn!$B126="","",Txn!$B126)</f>
        <v>0</v>
      </c>
      <c r="B240" s="38">
        <f>IF(Txn!$B126="","",Txn!$C126)</f>
        <v>0</v>
      </c>
      <c r="C240" s="39">
        <f>IF(Txn!$B126="","","تراکنش بانکی")</f>
        <v>0</v>
      </c>
      <c r="D240" s="38">
        <f>IF(Txn!$B126="","",IF(IF(Txn!$U126="TRF",Txn!$Y126,Txn!$Z126)="","",IF(Txn!$U126="TRF",Txn!$Y126,Txn!$Z126)))</f>
        <v>0</v>
      </c>
      <c r="E240" s="39">
        <f>IF($D240="","",IFERROR(VLOOKUP($D240,AcctTbl,2,0),""))</f>
        <v>0</v>
      </c>
      <c r="F240" s="39">
        <f>IF($D240="","",IFERROR(VLOOKUP($D240,AcctTbl,3,0),""))</f>
        <v>0</v>
      </c>
      <c r="G240" s="39">
        <f>IF(Txn!$B126="","",Txn!$D126)</f>
        <v>0</v>
      </c>
      <c r="H240" s="38">
        <f>IF(Txn!$B126="","",Txn!$E126)</f>
        <v>0</v>
      </c>
      <c r="I240" s="40">
        <f>IF(Txn!$B126="",0,Txn!$Q126)</f>
        <v>0</v>
      </c>
      <c r="J240" s="40">
        <f>IF(Txn!$B126="",0,Txn!$R126)</f>
        <v>0</v>
      </c>
      <c r="K240" s="41">
        <f>IF($A240="","",IFERROR(VALUE(MID($A240,6,2)),""))</f>
        <v>0</v>
      </c>
      <c r="L240" s="39">
        <f>IF(Txn!$K126="","","طرف مقابل — "&amp;Txn!$K126)</f>
        <v>0</v>
      </c>
      <c r="N240" s="42">
        <f>IF($D240="",0,COUNTIF(BankAccts,$D240))</f>
        <v>0</v>
      </c>
    </row>
    <row r="241" spans="1:14">
      <c r="A241" s="38">
        <f>IF(Txn!$B127="","",Txn!$B127)</f>
        <v>0</v>
      </c>
      <c r="B241" s="38">
        <f>IF(Txn!$B127="","",Txn!$C127)</f>
        <v>0</v>
      </c>
      <c r="C241" s="39">
        <f>IF(Txn!$B127="","","تراکنش بانکی")</f>
        <v>0</v>
      </c>
      <c r="D241" s="38">
        <f>IF(Txn!$B127="","",IF(Txn!$X127="","",Txn!$X127))</f>
        <v>0</v>
      </c>
      <c r="E241" s="39">
        <f>IF($D241="","",IFERROR(VLOOKUP($D241,AcctTbl,2,0),""))</f>
        <v>0</v>
      </c>
      <c r="F241" s="39">
        <f>IF($D241="","",IFERROR(VLOOKUP($D241,AcctTbl,3,0),""))</f>
        <v>0</v>
      </c>
      <c r="G241" s="39">
        <f>IF(Txn!$B127="","",Txn!$D127)</f>
        <v>0</v>
      </c>
      <c r="H241" s="38">
        <f>IF(Txn!$B127="","",Txn!$E127)</f>
        <v>0</v>
      </c>
      <c r="I241" s="40">
        <f>IF(Txn!$B127="",0,Txn!$O127)</f>
        <v>0</v>
      </c>
      <c r="J241" s="40">
        <f>IF(Txn!$B127="",0,Txn!$P127)</f>
        <v>0</v>
      </c>
      <c r="K241" s="41">
        <f>IF($A241="","",IFERROR(VALUE(MID($A241,6,2)),""))</f>
        <v>0</v>
      </c>
      <c r="L241" s="39">
        <f>IF(Txn!$K127="","",Txn!$K127)</f>
        <v>0</v>
      </c>
      <c r="N241" s="42">
        <f>IF($D241="",0,COUNTIF(BankAccts,$D241))</f>
        <v>0</v>
      </c>
    </row>
    <row r="242" spans="1:14">
      <c r="A242" s="38">
        <f>IF(Txn!$B127="","",Txn!$B127)</f>
        <v>0</v>
      </c>
      <c r="B242" s="38">
        <f>IF(Txn!$B127="","",Txn!$C127)</f>
        <v>0</v>
      </c>
      <c r="C242" s="39">
        <f>IF(Txn!$B127="","","تراکنش بانکی")</f>
        <v>0</v>
      </c>
      <c r="D242" s="38">
        <f>IF(Txn!$B127="","",IF(IF(Txn!$U127="TRF",Txn!$Y127,Txn!$Z127)="","",IF(Txn!$U127="TRF",Txn!$Y127,Txn!$Z127)))</f>
        <v>0</v>
      </c>
      <c r="E242" s="39">
        <f>IF($D242="","",IFERROR(VLOOKUP($D242,AcctTbl,2,0),""))</f>
        <v>0</v>
      </c>
      <c r="F242" s="39">
        <f>IF($D242="","",IFERROR(VLOOKUP($D242,AcctTbl,3,0),""))</f>
        <v>0</v>
      </c>
      <c r="G242" s="39">
        <f>IF(Txn!$B127="","",Txn!$D127)</f>
        <v>0</v>
      </c>
      <c r="H242" s="38">
        <f>IF(Txn!$B127="","",Txn!$E127)</f>
        <v>0</v>
      </c>
      <c r="I242" s="40">
        <f>IF(Txn!$B127="",0,Txn!$Q127)</f>
        <v>0</v>
      </c>
      <c r="J242" s="40">
        <f>IF(Txn!$B127="",0,Txn!$R127)</f>
        <v>0</v>
      </c>
      <c r="K242" s="41">
        <f>IF($A242="","",IFERROR(VALUE(MID($A242,6,2)),""))</f>
        <v>0</v>
      </c>
      <c r="L242" s="39">
        <f>IF(Txn!$K127="","","طرف مقابل — "&amp;Txn!$K127)</f>
        <v>0</v>
      </c>
      <c r="N242" s="42">
        <f>IF($D242="",0,COUNTIF(BankAccts,$D242))</f>
        <v>0</v>
      </c>
    </row>
    <row r="243" spans="1:14">
      <c r="A243" s="38">
        <f>IF(Txn!$B128="","",Txn!$B128)</f>
        <v>0</v>
      </c>
      <c r="B243" s="38">
        <f>IF(Txn!$B128="","",Txn!$C128)</f>
        <v>0</v>
      </c>
      <c r="C243" s="39">
        <f>IF(Txn!$B128="","","تراکنش بانکی")</f>
        <v>0</v>
      </c>
      <c r="D243" s="38">
        <f>IF(Txn!$B128="","",IF(Txn!$X128="","",Txn!$X128))</f>
        <v>0</v>
      </c>
      <c r="E243" s="39">
        <f>IF($D243="","",IFERROR(VLOOKUP($D243,AcctTbl,2,0),""))</f>
        <v>0</v>
      </c>
      <c r="F243" s="39">
        <f>IF($D243="","",IFERROR(VLOOKUP($D243,AcctTbl,3,0),""))</f>
        <v>0</v>
      </c>
      <c r="G243" s="39">
        <f>IF(Txn!$B128="","",Txn!$D128)</f>
        <v>0</v>
      </c>
      <c r="H243" s="38">
        <f>IF(Txn!$B128="","",Txn!$E128)</f>
        <v>0</v>
      </c>
      <c r="I243" s="40">
        <f>IF(Txn!$B128="",0,Txn!$O128)</f>
        <v>0</v>
      </c>
      <c r="J243" s="40">
        <f>IF(Txn!$B128="",0,Txn!$P128)</f>
        <v>0</v>
      </c>
      <c r="K243" s="41">
        <f>IF($A243="","",IFERROR(VALUE(MID($A243,6,2)),""))</f>
        <v>0</v>
      </c>
      <c r="L243" s="39">
        <f>IF(Txn!$K128="","",Txn!$K128)</f>
        <v>0</v>
      </c>
      <c r="N243" s="42">
        <f>IF($D243="",0,COUNTIF(BankAccts,$D243))</f>
        <v>0</v>
      </c>
    </row>
    <row r="244" spans="1:14">
      <c r="A244" s="38">
        <f>IF(Txn!$B128="","",Txn!$B128)</f>
        <v>0</v>
      </c>
      <c r="B244" s="38">
        <f>IF(Txn!$B128="","",Txn!$C128)</f>
        <v>0</v>
      </c>
      <c r="C244" s="39">
        <f>IF(Txn!$B128="","","تراکنش بانکی")</f>
        <v>0</v>
      </c>
      <c r="D244" s="38">
        <f>IF(Txn!$B128="","",IF(IF(Txn!$U128="TRF",Txn!$Y128,Txn!$Z128)="","",IF(Txn!$U128="TRF",Txn!$Y128,Txn!$Z128)))</f>
        <v>0</v>
      </c>
      <c r="E244" s="39">
        <f>IF($D244="","",IFERROR(VLOOKUP($D244,AcctTbl,2,0),""))</f>
        <v>0</v>
      </c>
      <c r="F244" s="39">
        <f>IF($D244="","",IFERROR(VLOOKUP($D244,AcctTbl,3,0),""))</f>
        <v>0</v>
      </c>
      <c r="G244" s="39">
        <f>IF(Txn!$B128="","",Txn!$D128)</f>
        <v>0</v>
      </c>
      <c r="H244" s="38">
        <f>IF(Txn!$B128="","",Txn!$E128)</f>
        <v>0</v>
      </c>
      <c r="I244" s="40">
        <f>IF(Txn!$B128="",0,Txn!$Q128)</f>
        <v>0</v>
      </c>
      <c r="J244" s="40">
        <f>IF(Txn!$B128="",0,Txn!$R128)</f>
        <v>0</v>
      </c>
      <c r="K244" s="41">
        <f>IF($A244="","",IFERROR(VALUE(MID($A244,6,2)),""))</f>
        <v>0</v>
      </c>
      <c r="L244" s="39">
        <f>IF(Txn!$K128="","","طرف مقابل — "&amp;Txn!$K128)</f>
        <v>0</v>
      </c>
      <c r="N244" s="42">
        <f>IF($D244="",0,COUNTIF(BankAccts,$D244))</f>
        <v>0</v>
      </c>
    </row>
    <row r="245" spans="1:14">
      <c r="A245" s="38">
        <f>IF(Txn!$B129="","",Txn!$B129)</f>
        <v>0</v>
      </c>
      <c r="B245" s="38">
        <f>IF(Txn!$B129="","",Txn!$C129)</f>
        <v>0</v>
      </c>
      <c r="C245" s="39">
        <f>IF(Txn!$B129="","","تراکنش بانکی")</f>
        <v>0</v>
      </c>
      <c r="D245" s="38">
        <f>IF(Txn!$B129="","",IF(Txn!$X129="","",Txn!$X129))</f>
        <v>0</v>
      </c>
      <c r="E245" s="39">
        <f>IF($D245="","",IFERROR(VLOOKUP($D245,AcctTbl,2,0),""))</f>
        <v>0</v>
      </c>
      <c r="F245" s="39">
        <f>IF($D245="","",IFERROR(VLOOKUP($D245,AcctTbl,3,0),""))</f>
        <v>0</v>
      </c>
      <c r="G245" s="39">
        <f>IF(Txn!$B129="","",Txn!$D129)</f>
        <v>0</v>
      </c>
      <c r="H245" s="38">
        <f>IF(Txn!$B129="","",Txn!$E129)</f>
        <v>0</v>
      </c>
      <c r="I245" s="40">
        <f>IF(Txn!$B129="",0,Txn!$O129)</f>
        <v>0</v>
      </c>
      <c r="J245" s="40">
        <f>IF(Txn!$B129="",0,Txn!$P129)</f>
        <v>0</v>
      </c>
      <c r="K245" s="41">
        <f>IF($A245="","",IFERROR(VALUE(MID($A245,6,2)),""))</f>
        <v>0</v>
      </c>
      <c r="L245" s="39">
        <f>IF(Txn!$K129="","",Txn!$K129)</f>
        <v>0</v>
      </c>
      <c r="N245" s="42">
        <f>IF($D245="",0,COUNTIF(BankAccts,$D245))</f>
        <v>0</v>
      </c>
    </row>
    <row r="246" spans="1:14">
      <c r="A246" s="38">
        <f>IF(Txn!$B129="","",Txn!$B129)</f>
        <v>0</v>
      </c>
      <c r="B246" s="38">
        <f>IF(Txn!$B129="","",Txn!$C129)</f>
        <v>0</v>
      </c>
      <c r="C246" s="39">
        <f>IF(Txn!$B129="","","تراکنش بانکی")</f>
        <v>0</v>
      </c>
      <c r="D246" s="38">
        <f>IF(Txn!$B129="","",IF(IF(Txn!$U129="TRF",Txn!$Y129,Txn!$Z129)="","",IF(Txn!$U129="TRF",Txn!$Y129,Txn!$Z129)))</f>
        <v>0</v>
      </c>
      <c r="E246" s="39">
        <f>IF($D246="","",IFERROR(VLOOKUP($D246,AcctTbl,2,0),""))</f>
        <v>0</v>
      </c>
      <c r="F246" s="39">
        <f>IF($D246="","",IFERROR(VLOOKUP($D246,AcctTbl,3,0),""))</f>
        <v>0</v>
      </c>
      <c r="G246" s="39">
        <f>IF(Txn!$B129="","",Txn!$D129)</f>
        <v>0</v>
      </c>
      <c r="H246" s="38">
        <f>IF(Txn!$B129="","",Txn!$E129)</f>
        <v>0</v>
      </c>
      <c r="I246" s="40">
        <f>IF(Txn!$B129="",0,Txn!$Q129)</f>
        <v>0</v>
      </c>
      <c r="J246" s="40">
        <f>IF(Txn!$B129="",0,Txn!$R129)</f>
        <v>0</v>
      </c>
      <c r="K246" s="41">
        <f>IF($A246="","",IFERROR(VALUE(MID($A246,6,2)),""))</f>
        <v>0</v>
      </c>
      <c r="L246" s="39">
        <f>IF(Txn!$K129="","","طرف مقابل — "&amp;Txn!$K129)</f>
        <v>0</v>
      </c>
      <c r="N246" s="42">
        <f>IF($D246="",0,COUNTIF(BankAccts,$D246))</f>
        <v>0</v>
      </c>
    </row>
    <row r="247" spans="1:14">
      <c r="A247" s="38">
        <f>IF(Txn!$B130="","",Txn!$B130)</f>
        <v>0</v>
      </c>
      <c r="B247" s="38">
        <f>IF(Txn!$B130="","",Txn!$C130)</f>
        <v>0</v>
      </c>
      <c r="C247" s="39">
        <f>IF(Txn!$B130="","","تراکنش بانکی")</f>
        <v>0</v>
      </c>
      <c r="D247" s="38">
        <f>IF(Txn!$B130="","",IF(Txn!$X130="","",Txn!$X130))</f>
        <v>0</v>
      </c>
      <c r="E247" s="39">
        <f>IF($D247="","",IFERROR(VLOOKUP($D247,AcctTbl,2,0),""))</f>
        <v>0</v>
      </c>
      <c r="F247" s="39">
        <f>IF($D247="","",IFERROR(VLOOKUP($D247,AcctTbl,3,0),""))</f>
        <v>0</v>
      </c>
      <c r="G247" s="39">
        <f>IF(Txn!$B130="","",Txn!$D130)</f>
        <v>0</v>
      </c>
      <c r="H247" s="38">
        <f>IF(Txn!$B130="","",Txn!$E130)</f>
        <v>0</v>
      </c>
      <c r="I247" s="40">
        <f>IF(Txn!$B130="",0,Txn!$O130)</f>
        <v>0</v>
      </c>
      <c r="J247" s="40">
        <f>IF(Txn!$B130="",0,Txn!$P130)</f>
        <v>0</v>
      </c>
      <c r="K247" s="41">
        <f>IF($A247="","",IFERROR(VALUE(MID($A247,6,2)),""))</f>
        <v>0</v>
      </c>
      <c r="L247" s="39">
        <f>IF(Txn!$K130="","",Txn!$K130)</f>
        <v>0</v>
      </c>
      <c r="N247" s="42">
        <f>IF($D247="",0,COUNTIF(BankAccts,$D247))</f>
        <v>0</v>
      </c>
    </row>
    <row r="248" spans="1:14">
      <c r="A248" s="38">
        <f>IF(Txn!$B130="","",Txn!$B130)</f>
        <v>0</v>
      </c>
      <c r="B248" s="38">
        <f>IF(Txn!$B130="","",Txn!$C130)</f>
        <v>0</v>
      </c>
      <c r="C248" s="39">
        <f>IF(Txn!$B130="","","تراکنش بانکی")</f>
        <v>0</v>
      </c>
      <c r="D248" s="38">
        <f>IF(Txn!$B130="","",IF(IF(Txn!$U130="TRF",Txn!$Y130,Txn!$Z130)="","",IF(Txn!$U130="TRF",Txn!$Y130,Txn!$Z130)))</f>
        <v>0</v>
      </c>
      <c r="E248" s="39">
        <f>IF($D248="","",IFERROR(VLOOKUP($D248,AcctTbl,2,0),""))</f>
        <v>0</v>
      </c>
      <c r="F248" s="39">
        <f>IF($D248="","",IFERROR(VLOOKUP($D248,AcctTbl,3,0),""))</f>
        <v>0</v>
      </c>
      <c r="G248" s="39">
        <f>IF(Txn!$B130="","",Txn!$D130)</f>
        <v>0</v>
      </c>
      <c r="H248" s="38">
        <f>IF(Txn!$B130="","",Txn!$E130)</f>
        <v>0</v>
      </c>
      <c r="I248" s="40">
        <f>IF(Txn!$B130="",0,Txn!$Q130)</f>
        <v>0</v>
      </c>
      <c r="J248" s="40">
        <f>IF(Txn!$B130="",0,Txn!$R130)</f>
        <v>0</v>
      </c>
      <c r="K248" s="41">
        <f>IF($A248="","",IFERROR(VALUE(MID($A248,6,2)),""))</f>
        <v>0</v>
      </c>
      <c r="L248" s="39">
        <f>IF(Txn!$K130="","","طرف مقابل — "&amp;Txn!$K130)</f>
        <v>0</v>
      </c>
      <c r="N248" s="42">
        <f>IF($D248="",0,COUNTIF(BankAccts,$D248))</f>
        <v>0</v>
      </c>
    </row>
    <row r="249" spans="1:14">
      <c r="A249" s="38">
        <f>IF(Txn!$B131="","",Txn!$B131)</f>
        <v>0</v>
      </c>
      <c r="B249" s="38">
        <f>IF(Txn!$B131="","",Txn!$C131)</f>
        <v>0</v>
      </c>
      <c r="C249" s="39">
        <f>IF(Txn!$B131="","","تراکنش بانکی")</f>
        <v>0</v>
      </c>
      <c r="D249" s="38">
        <f>IF(Txn!$B131="","",IF(Txn!$X131="","",Txn!$X131))</f>
        <v>0</v>
      </c>
      <c r="E249" s="39">
        <f>IF($D249="","",IFERROR(VLOOKUP($D249,AcctTbl,2,0),""))</f>
        <v>0</v>
      </c>
      <c r="F249" s="39">
        <f>IF($D249="","",IFERROR(VLOOKUP($D249,AcctTbl,3,0),""))</f>
        <v>0</v>
      </c>
      <c r="G249" s="39">
        <f>IF(Txn!$B131="","",Txn!$D131)</f>
        <v>0</v>
      </c>
      <c r="H249" s="38">
        <f>IF(Txn!$B131="","",Txn!$E131)</f>
        <v>0</v>
      </c>
      <c r="I249" s="40">
        <f>IF(Txn!$B131="",0,Txn!$O131)</f>
        <v>0</v>
      </c>
      <c r="J249" s="40">
        <f>IF(Txn!$B131="",0,Txn!$P131)</f>
        <v>0</v>
      </c>
      <c r="K249" s="41">
        <f>IF($A249="","",IFERROR(VALUE(MID($A249,6,2)),""))</f>
        <v>0</v>
      </c>
      <c r="L249" s="39">
        <f>IF(Txn!$K131="","",Txn!$K131)</f>
        <v>0</v>
      </c>
      <c r="N249" s="42">
        <f>IF($D249="",0,COUNTIF(BankAccts,$D249))</f>
        <v>0</v>
      </c>
    </row>
    <row r="250" spans="1:14">
      <c r="A250" s="38">
        <f>IF(Txn!$B131="","",Txn!$B131)</f>
        <v>0</v>
      </c>
      <c r="B250" s="38">
        <f>IF(Txn!$B131="","",Txn!$C131)</f>
        <v>0</v>
      </c>
      <c r="C250" s="39">
        <f>IF(Txn!$B131="","","تراکنش بانکی")</f>
        <v>0</v>
      </c>
      <c r="D250" s="38">
        <f>IF(Txn!$B131="","",IF(IF(Txn!$U131="TRF",Txn!$Y131,Txn!$Z131)="","",IF(Txn!$U131="TRF",Txn!$Y131,Txn!$Z131)))</f>
        <v>0</v>
      </c>
      <c r="E250" s="39">
        <f>IF($D250="","",IFERROR(VLOOKUP($D250,AcctTbl,2,0),""))</f>
        <v>0</v>
      </c>
      <c r="F250" s="39">
        <f>IF($D250="","",IFERROR(VLOOKUP($D250,AcctTbl,3,0),""))</f>
        <v>0</v>
      </c>
      <c r="G250" s="39">
        <f>IF(Txn!$B131="","",Txn!$D131)</f>
        <v>0</v>
      </c>
      <c r="H250" s="38">
        <f>IF(Txn!$B131="","",Txn!$E131)</f>
        <v>0</v>
      </c>
      <c r="I250" s="40">
        <f>IF(Txn!$B131="",0,Txn!$Q131)</f>
        <v>0</v>
      </c>
      <c r="J250" s="40">
        <f>IF(Txn!$B131="",0,Txn!$R131)</f>
        <v>0</v>
      </c>
      <c r="K250" s="41">
        <f>IF($A250="","",IFERROR(VALUE(MID($A250,6,2)),""))</f>
        <v>0</v>
      </c>
      <c r="L250" s="39">
        <f>IF(Txn!$K131="","","طرف مقابل — "&amp;Txn!$K131)</f>
        <v>0</v>
      </c>
      <c r="N250" s="42">
        <f>IF($D250="",0,COUNTIF(BankAccts,$D250))</f>
        <v>0</v>
      </c>
    </row>
    <row r="251" spans="1:14">
      <c r="A251" s="38">
        <f>IF(Txn!$B132="","",Txn!$B132)</f>
        <v>0</v>
      </c>
      <c r="B251" s="38">
        <f>IF(Txn!$B132="","",Txn!$C132)</f>
        <v>0</v>
      </c>
      <c r="C251" s="39">
        <f>IF(Txn!$B132="","","تراکنش بانکی")</f>
        <v>0</v>
      </c>
      <c r="D251" s="38">
        <f>IF(Txn!$B132="","",IF(Txn!$X132="","",Txn!$X132))</f>
        <v>0</v>
      </c>
      <c r="E251" s="39">
        <f>IF($D251="","",IFERROR(VLOOKUP($D251,AcctTbl,2,0),""))</f>
        <v>0</v>
      </c>
      <c r="F251" s="39">
        <f>IF($D251="","",IFERROR(VLOOKUP($D251,AcctTbl,3,0),""))</f>
        <v>0</v>
      </c>
      <c r="G251" s="39">
        <f>IF(Txn!$B132="","",Txn!$D132)</f>
        <v>0</v>
      </c>
      <c r="H251" s="38">
        <f>IF(Txn!$B132="","",Txn!$E132)</f>
        <v>0</v>
      </c>
      <c r="I251" s="40">
        <f>IF(Txn!$B132="",0,Txn!$O132)</f>
        <v>0</v>
      </c>
      <c r="J251" s="40">
        <f>IF(Txn!$B132="",0,Txn!$P132)</f>
        <v>0</v>
      </c>
      <c r="K251" s="41">
        <f>IF($A251="","",IFERROR(VALUE(MID($A251,6,2)),""))</f>
        <v>0</v>
      </c>
      <c r="L251" s="39">
        <f>IF(Txn!$K132="","",Txn!$K132)</f>
        <v>0</v>
      </c>
      <c r="N251" s="42">
        <f>IF($D251="",0,COUNTIF(BankAccts,$D251))</f>
        <v>0</v>
      </c>
    </row>
    <row r="252" spans="1:14">
      <c r="A252" s="38">
        <f>IF(Txn!$B132="","",Txn!$B132)</f>
        <v>0</v>
      </c>
      <c r="B252" s="38">
        <f>IF(Txn!$B132="","",Txn!$C132)</f>
        <v>0</v>
      </c>
      <c r="C252" s="39">
        <f>IF(Txn!$B132="","","تراکنش بانکی")</f>
        <v>0</v>
      </c>
      <c r="D252" s="38">
        <f>IF(Txn!$B132="","",IF(IF(Txn!$U132="TRF",Txn!$Y132,Txn!$Z132)="","",IF(Txn!$U132="TRF",Txn!$Y132,Txn!$Z132)))</f>
        <v>0</v>
      </c>
      <c r="E252" s="39">
        <f>IF($D252="","",IFERROR(VLOOKUP($D252,AcctTbl,2,0),""))</f>
        <v>0</v>
      </c>
      <c r="F252" s="39">
        <f>IF($D252="","",IFERROR(VLOOKUP($D252,AcctTbl,3,0),""))</f>
        <v>0</v>
      </c>
      <c r="G252" s="39">
        <f>IF(Txn!$B132="","",Txn!$D132)</f>
        <v>0</v>
      </c>
      <c r="H252" s="38">
        <f>IF(Txn!$B132="","",Txn!$E132)</f>
        <v>0</v>
      </c>
      <c r="I252" s="40">
        <f>IF(Txn!$B132="",0,Txn!$Q132)</f>
        <v>0</v>
      </c>
      <c r="J252" s="40">
        <f>IF(Txn!$B132="",0,Txn!$R132)</f>
        <v>0</v>
      </c>
      <c r="K252" s="41">
        <f>IF($A252="","",IFERROR(VALUE(MID($A252,6,2)),""))</f>
        <v>0</v>
      </c>
      <c r="L252" s="39">
        <f>IF(Txn!$K132="","","طرف مقابل — "&amp;Txn!$K132)</f>
        <v>0</v>
      </c>
      <c r="N252" s="42">
        <f>IF($D252="",0,COUNTIF(BankAccts,$D252))</f>
        <v>0</v>
      </c>
    </row>
    <row r="253" spans="1:14">
      <c r="A253" s="38">
        <f>IF(Txn!$B133="","",Txn!$B133)</f>
        <v>0</v>
      </c>
      <c r="B253" s="38">
        <f>IF(Txn!$B133="","",Txn!$C133)</f>
        <v>0</v>
      </c>
      <c r="C253" s="39">
        <f>IF(Txn!$B133="","","تراکنش بانکی")</f>
        <v>0</v>
      </c>
      <c r="D253" s="38">
        <f>IF(Txn!$B133="","",IF(Txn!$X133="","",Txn!$X133))</f>
        <v>0</v>
      </c>
      <c r="E253" s="39">
        <f>IF($D253="","",IFERROR(VLOOKUP($D253,AcctTbl,2,0),""))</f>
        <v>0</v>
      </c>
      <c r="F253" s="39">
        <f>IF($D253="","",IFERROR(VLOOKUP($D253,AcctTbl,3,0),""))</f>
        <v>0</v>
      </c>
      <c r="G253" s="39">
        <f>IF(Txn!$B133="","",Txn!$D133)</f>
        <v>0</v>
      </c>
      <c r="H253" s="38">
        <f>IF(Txn!$B133="","",Txn!$E133)</f>
        <v>0</v>
      </c>
      <c r="I253" s="40">
        <f>IF(Txn!$B133="",0,Txn!$O133)</f>
        <v>0</v>
      </c>
      <c r="J253" s="40">
        <f>IF(Txn!$B133="",0,Txn!$P133)</f>
        <v>0</v>
      </c>
      <c r="K253" s="41">
        <f>IF($A253="","",IFERROR(VALUE(MID($A253,6,2)),""))</f>
        <v>0</v>
      </c>
      <c r="L253" s="39">
        <f>IF(Txn!$K133="","",Txn!$K133)</f>
        <v>0</v>
      </c>
      <c r="N253" s="42">
        <f>IF($D253="",0,COUNTIF(BankAccts,$D253))</f>
        <v>0</v>
      </c>
    </row>
    <row r="254" spans="1:14">
      <c r="A254" s="38">
        <f>IF(Txn!$B133="","",Txn!$B133)</f>
        <v>0</v>
      </c>
      <c r="B254" s="38">
        <f>IF(Txn!$B133="","",Txn!$C133)</f>
        <v>0</v>
      </c>
      <c r="C254" s="39">
        <f>IF(Txn!$B133="","","تراکنش بانکی")</f>
        <v>0</v>
      </c>
      <c r="D254" s="38">
        <f>IF(Txn!$B133="","",IF(IF(Txn!$U133="TRF",Txn!$Y133,Txn!$Z133)="","",IF(Txn!$U133="TRF",Txn!$Y133,Txn!$Z133)))</f>
        <v>0</v>
      </c>
      <c r="E254" s="39">
        <f>IF($D254="","",IFERROR(VLOOKUP($D254,AcctTbl,2,0),""))</f>
        <v>0</v>
      </c>
      <c r="F254" s="39">
        <f>IF($D254="","",IFERROR(VLOOKUP($D254,AcctTbl,3,0),""))</f>
        <v>0</v>
      </c>
      <c r="G254" s="39">
        <f>IF(Txn!$B133="","",Txn!$D133)</f>
        <v>0</v>
      </c>
      <c r="H254" s="38">
        <f>IF(Txn!$B133="","",Txn!$E133)</f>
        <v>0</v>
      </c>
      <c r="I254" s="40">
        <f>IF(Txn!$B133="",0,Txn!$Q133)</f>
        <v>0</v>
      </c>
      <c r="J254" s="40">
        <f>IF(Txn!$B133="",0,Txn!$R133)</f>
        <v>0</v>
      </c>
      <c r="K254" s="41">
        <f>IF($A254="","",IFERROR(VALUE(MID($A254,6,2)),""))</f>
        <v>0</v>
      </c>
      <c r="L254" s="39">
        <f>IF(Txn!$K133="","","طرف مقابل — "&amp;Txn!$K133)</f>
        <v>0</v>
      </c>
      <c r="N254" s="42">
        <f>IF($D254="",0,COUNTIF(BankAccts,$D254))</f>
        <v>0</v>
      </c>
    </row>
    <row r="255" spans="1:14">
      <c r="A255" s="38">
        <f>IF(Txn!$B134="","",Txn!$B134)</f>
        <v>0</v>
      </c>
      <c r="B255" s="38">
        <f>IF(Txn!$B134="","",Txn!$C134)</f>
        <v>0</v>
      </c>
      <c r="C255" s="39">
        <f>IF(Txn!$B134="","","تراکنش بانکی")</f>
        <v>0</v>
      </c>
      <c r="D255" s="38">
        <f>IF(Txn!$B134="","",IF(Txn!$X134="","",Txn!$X134))</f>
        <v>0</v>
      </c>
      <c r="E255" s="39">
        <f>IF($D255="","",IFERROR(VLOOKUP($D255,AcctTbl,2,0),""))</f>
        <v>0</v>
      </c>
      <c r="F255" s="39">
        <f>IF($D255="","",IFERROR(VLOOKUP($D255,AcctTbl,3,0),""))</f>
        <v>0</v>
      </c>
      <c r="G255" s="39">
        <f>IF(Txn!$B134="","",Txn!$D134)</f>
        <v>0</v>
      </c>
      <c r="H255" s="38">
        <f>IF(Txn!$B134="","",Txn!$E134)</f>
        <v>0</v>
      </c>
      <c r="I255" s="40">
        <f>IF(Txn!$B134="",0,Txn!$O134)</f>
        <v>0</v>
      </c>
      <c r="J255" s="40">
        <f>IF(Txn!$B134="",0,Txn!$P134)</f>
        <v>0</v>
      </c>
      <c r="K255" s="41">
        <f>IF($A255="","",IFERROR(VALUE(MID($A255,6,2)),""))</f>
        <v>0</v>
      </c>
      <c r="L255" s="39">
        <f>IF(Txn!$K134="","",Txn!$K134)</f>
        <v>0</v>
      </c>
      <c r="N255" s="42">
        <f>IF($D255="",0,COUNTIF(BankAccts,$D255))</f>
        <v>0</v>
      </c>
    </row>
    <row r="256" spans="1:14">
      <c r="A256" s="38">
        <f>IF(Txn!$B134="","",Txn!$B134)</f>
        <v>0</v>
      </c>
      <c r="B256" s="38">
        <f>IF(Txn!$B134="","",Txn!$C134)</f>
        <v>0</v>
      </c>
      <c r="C256" s="39">
        <f>IF(Txn!$B134="","","تراکنش بانکی")</f>
        <v>0</v>
      </c>
      <c r="D256" s="38">
        <f>IF(Txn!$B134="","",IF(IF(Txn!$U134="TRF",Txn!$Y134,Txn!$Z134)="","",IF(Txn!$U134="TRF",Txn!$Y134,Txn!$Z134)))</f>
        <v>0</v>
      </c>
      <c r="E256" s="39">
        <f>IF($D256="","",IFERROR(VLOOKUP($D256,AcctTbl,2,0),""))</f>
        <v>0</v>
      </c>
      <c r="F256" s="39">
        <f>IF($D256="","",IFERROR(VLOOKUP($D256,AcctTbl,3,0),""))</f>
        <v>0</v>
      </c>
      <c r="G256" s="39">
        <f>IF(Txn!$B134="","",Txn!$D134)</f>
        <v>0</v>
      </c>
      <c r="H256" s="38">
        <f>IF(Txn!$B134="","",Txn!$E134)</f>
        <v>0</v>
      </c>
      <c r="I256" s="40">
        <f>IF(Txn!$B134="",0,Txn!$Q134)</f>
        <v>0</v>
      </c>
      <c r="J256" s="40">
        <f>IF(Txn!$B134="",0,Txn!$R134)</f>
        <v>0</v>
      </c>
      <c r="K256" s="41">
        <f>IF($A256="","",IFERROR(VALUE(MID($A256,6,2)),""))</f>
        <v>0</v>
      </c>
      <c r="L256" s="39">
        <f>IF(Txn!$K134="","","طرف مقابل — "&amp;Txn!$K134)</f>
        <v>0</v>
      </c>
      <c r="N256" s="42">
        <f>IF($D256="",0,COUNTIF(BankAccts,$D256))</f>
        <v>0</v>
      </c>
    </row>
    <row r="257" spans="1:14">
      <c r="A257" s="38">
        <f>IF(Txn!$B135="","",Txn!$B135)</f>
        <v>0</v>
      </c>
      <c r="B257" s="38">
        <f>IF(Txn!$B135="","",Txn!$C135)</f>
        <v>0</v>
      </c>
      <c r="C257" s="39">
        <f>IF(Txn!$B135="","","تراکنش بانکی")</f>
        <v>0</v>
      </c>
      <c r="D257" s="38">
        <f>IF(Txn!$B135="","",IF(Txn!$X135="","",Txn!$X135))</f>
        <v>0</v>
      </c>
      <c r="E257" s="39">
        <f>IF($D257="","",IFERROR(VLOOKUP($D257,AcctTbl,2,0),""))</f>
        <v>0</v>
      </c>
      <c r="F257" s="39">
        <f>IF($D257="","",IFERROR(VLOOKUP($D257,AcctTbl,3,0),""))</f>
        <v>0</v>
      </c>
      <c r="G257" s="39">
        <f>IF(Txn!$B135="","",Txn!$D135)</f>
        <v>0</v>
      </c>
      <c r="H257" s="38">
        <f>IF(Txn!$B135="","",Txn!$E135)</f>
        <v>0</v>
      </c>
      <c r="I257" s="40">
        <f>IF(Txn!$B135="",0,Txn!$O135)</f>
        <v>0</v>
      </c>
      <c r="J257" s="40">
        <f>IF(Txn!$B135="",0,Txn!$P135)</f>
        <v>0</v>
      </c>
      <c r="K257" s="41">
        <f>IF($A257="","",IFERROR(VALUE(MID($A257,6,2)),""))</f>
        <v>0</v>
      </c>
      <c r="L257" s="39">
        <f>IF(Txn!$K135="","",Txn!$K135)</f>
        <v>0</v>
      </c>
      <c r="N257" s="42">
        <f>IF($D257="",0,COUNTIF(BankAccts,$D257))</f>
        <v>0</v>
      </c>
    </row>
    <row r="258" spans="1:14">
      <c r="A258" s="38">
        <f>IF(Txn!$B135="","",Txn!$B135)</f>
        <v>0</v>
      </c>
      <c r="B258" s="38">
        <f>IF(Txn!$B135="","",Txn!$C135)</f>
        <v>0</v>
      </c>
      <c r="C258" s="39">
        <f>IF(Txn!$B135="","","تراکنش بانکی")</f>
        <v>0</v>
      </c>
      <c r="D258" s="38">
        <f>IF(Txn!$B135="","",IF(IF(Txn!$U135="TRF",Txn!$Y135,Txn!$Z135)="","",IF(Txn!$U135="TRF",Txn!$Y135,Txn!$Z135)))</f>
        <v>0</v>
      </c>
      <c r="E258" s="39">
        <f>IF($D258="","",IFERROR(VLOOKUP($D258,AcctTbl,2,0),""))</f>
        <v>0</v>
      </c>
      <c r="F258" s="39">
        <f>IF($D258="","",IFERROR(VLOOKUP($D258,AcctTbl,3,0),""))</f>
        <v>0</v>
      </c>
      <c r="G258" s="39">
        <f>IF(Txn!$B135="","",Txn!$D135)</f>
        <v>0</v>
      </c>
      <c r="H258" s="38">
        <f>IF(Txn!$B135="","",Txn!$E135)</f>
        <v>0</v>
      </c>
      <c r="I258" s="40">
        <f>IF(Txn!$B135="",0,Txn!$Q135)</f>
        <v>0</v>
      </c>
      <c r="J258" s="40">
        <f>IF(Txn!$B135="",0,Txn!$R135)</f>
        <v>0</v>
      </c>
      <c r="K258" s="41">
        <f>IF($A258="","",IFERROR(VALUE(MID($A258,6,2)),""))</f>
        <v>0</v>
      </c>
      <c r="L258" s="39">
        <f>IF(Txn!$K135="","","طرف مقابل — "&amp;Txn!$K135)</f>
        <v>0</v>
      </c>
      <c r="N258" s="42">
        <f>IF($D258="",0,COUNTIF(BankAccts,$D258))</f>
        <v>0</v>
      </c>
    </row>
    <row r="259" spans="1:14">
      <c r="A259" s="38">
        <f>IF(Txn!$B136="","",Txn!$B136)</f>
        <v>0</v>
      </c>
      <c r="B259" s="38">
        <f>IF(Txn!$B136="","",Txn!$C136)</f>
        <v>0</v>
      </c>
      <c r="C259" s="39">
        <f>IF(Txn!$B136="","","تراکنش بانکی")</f>
        <v>0</v>
      </c>
      <c r="D259" s="38">
        <f>IF(Txn!$B136="","",IF(Txn!$X136="","",Txn!$X136))</f>
        <v>0</v>
      </c>
      <c r="E259" s="39">
        <f>IF($D259="","",IFERROR(VLOOKUP($D259,AcctTbl,2,0),""))</f>
        <v>0</v>
      </c>
      <c r="F259" s="39">
        <f>IF($D259="","",IFERROR(VLOOKUP($D259,AcctTbl,3,0),""))</f>
        <v>0</v>
      </c>
      <c r="G259" s="39">
        <f>IF(Txn!$B136="","",Txn!$D136)</f>
        <v>0</v>
      </c>
      <c r="H259" s="38">
        <f>IF(Txn!$B136="","",Txn!$E136)</f>
        <v>0</v>
      </c>
      <c r="I259" s="40">
        <f>IF(Txn!$B136="",0,Txn!$O136)</f>
        <v>0</v>
      </c>
      <c r="J259" s="40">
        <f>IF(Txn!$B136="",0,Txn!$P136)</f>
        <v>0</v>
      </c>
      <c r="K259" s="41">
        <f>IF($A259="","",IFERROR(VALUE(MID($A259,6,2)),""))</f>
        <v>0</v>
      </c>
      <c r="L259" s="39">
        <f>IF(Txn!$K136="","",Txn!$K136)</f>
        <v>0</v>
      </c>
      <c r="N259" s="42">
        <f>IF($D259="",0,COUNTIF(BankAccts,$D259))</f>
        <v>0</v>
      </c>
    </row>
    <row r="260" spans="1:14">
      <c r="A260" s="38">
        <f>IF(Txn!$B136="","",Txn!$B136)</f>
        <v>0</v>
      </c>
      <c r="B260" s="38">
        <f>IF(Txn!$B136="","",Txn!$C136)</f>
        <v>0</v>
      </c>
      <c r="C260" s="39">
        <f>IF(Txn!$B136="","","تراکنش بانکی")</f>
        <v>0</v>
      </c>
      <c r="D260" s="38">
        <f>IF(Txn!$B136="","",IF(IF(Txn!$U136="TRF",Txn!$Y136,Txn!$Z136)="","",IF(Txn!$U136="TRF",Txn!$Y136,Txn!$Z136)))</f>
        <v>0</v>
      </c>
      <c r="E260" s="39">
        <f>IF($D260="","",IFERROR(VLOOKUP($D260,AcctTbl,2,0),""))</f>
        <v>0</v>
      </c>
      <c r="F260" s="39">
        <f>IF($D260="","",IFERROR(VLOOKUP($D260,AcctTbl,3,0),""))</f>
        <v>0</v>
      </c>
      <c r="G260" s="39">
        <f>IF(Txn!$B136="","",Txn!$D136)</f>
        <v>0</v>
      </c>
      <c r="H260" s="38">
        <f>IF(Txn!$B136="","",Txn!$E136)</f>
        <v>0</v>
      </c>
      <c r="I260" s="40">
        <f>IF(Txn!$B136="",0,Txn!$Q136)</f>
        <v>0</v>
      </c>
      <c r="J260" s="40">
        <f>IF(Txn!$B136="",0,Txn!$R136)</f>
        <v>0</v>
      </c>
      <c r="K260" s="41">
        <f>IF($A260="","",IFERROR(VALUE(MID($A260,6,2)),""))</f>
        <v>0</v>
      </c>
      <c r="L260" s="39">
        <f>IF(Txn!$K136="","","طرف مقابل — "&amp;Txn!$K136)</f>
        <v>0</v>
      </c>
      <c r="N260" s="42">
        <f>IF($D260="",0,COUNTIF(BankAccts,$D260))</f>
        <v>0</v>
      </c>
    </row>
    <row r="261" spans="1:14">
      <c r="A261" s="38">
        <f>IF(Txn!$B137="","",Txn!$B137)</f>
        <v>0</v>
      </c>
      <c r="B261" s="38">
        <f>IF(Txn!$B137="","",Txn!$C137)</f>
        <v>0</v>
      </c>
      <c r="C261" s="39">
        <f>IF(Txn!$B137="","","تراکنش بانکی")</f>
        <v>0</v>
      </c>
      <c r="D261" s="38">
        <f>IF(Txn!$B137="","",IF(Txn!$X137="","",Txn!$X137))</f>
        <v>0</v>
      </c>
      <c r="E261" s="39">
        <f>IF($D261="","",IFERROR(VLOOKUP($D261,AcctTbl,2,0),""))</f>
        <v>0</v>
      </c>
      <c r="F261" s="39">
        <f>IF($D261="","",IFERROR(VLOOKUP($D261,AcctTbl,3,0),""))</f>
        <v>0</v>
      </c>
      <c r="G261" s="39">
        <f>IF(Txn!$B137="","",Txn!$D137)</f>
        <v>0</v>
      </c>
      <c r="H261" s="38">
        <f>IF(Txn!$B137="","",Txn!$E137)</f>
        <v>0</v>
      </c>
      <c r="I261" s="40">
        <f>IF(Txn!$B137="",0,Txn!$O137)</f>
        <v>0</v>
      </c>
      <c r="J261" s="40">
        <f>IF(Txn!$B137="",0,Txn!$P137)</f>
        <v>0</v>
      </c>
      <c r="K261" s="41">
        <f>IF($A261="","",IFERROR(VALUE(MID($A261,6,2)),""))</f>
        <v>0</v>
      </c>
      <c r="L261" s="39">
        <f>IF(Txn!$K137="","",Txn!$K137)</f>
        <v>0</v>
      </c>
      <c r="N261" s="42">
        <f>IF($D261="",0,COUNTIF(BankAccts,$D261))</f>
        <v>0</v>
      </c>
    </row>
    <row r="262" spans="1:14">
      <c r="A262" s="38">
        <f>IF(Txn!$B137="","",Txn!$B137)</f>
        <v>0</v>
      </c>
      <c r="B262" s="38">
        <f>IF(Txn!$B137="","",Txn!$C137)</f>
        <v>0</v>
      </c>
      <c r="C262" s="39">
        <f>IF(Txn!$B137="","","تراکنش بانکی")</f>
        <v>0</v>
      </c>
      <c r="D262" s="38">
        <f>IF(Txn!$B137="","",IF(IF(Txn!$U137="TRF",Txn!$Y137,Txn!$Z137)="","",IF(Txn!$U137="TRF",Txn!$Y137,Txn!$Z137)))</f>
        <v>0</v>
      </c>
      <c r="E262" s="39">
        <f>IF($D262="","",IFERROR(VLOOKUP($D262,AcctTbl,2,0),""))</f>
        <v>0</v>
      </c>
      <c r="F262" s="39">
        <f>IF($D262="","",IFERROR(VLOOKUP($D262,AcctTbl,3,0),""))</f>
        <v>0</v>
      </c>
      <c r="G262" s="39">
        <f>IF(Txn!$B137="","",Txn!$D137)</f>
        <v>0</v>
      </c>
      <c r="H262" s="38">
        <f>IF(Txn!$B137="","",Txn!$E137)</f>
        <v>0</v>
      </c>
      <c r="I262" s="40">
        <f>IF(Txn!$B137="",0,Txn!$Q137)</f>
        <v>0</v>
      </c>
      <c r="J262" s="40">
        <f>IF(Txn!$B137="",0,Txn!$R137)</f>
        <v>0</v>
      </c>
      <c r="K262" s="41">
        <f>IF($A262="","",IFERROR(VALUE(MID($A262,6,2)),""))</f>
        <v>0</v>
      </c>
      <c r="L262" s="39">
        <f>IF(Txn!$K137="","","طرف مقابل — "&amp;Txn!$K137)</f>
        <v>0</v>
      </c>
      <c r="N262" s="42">
        <f>IF($D262="",0,COUNTIF(BankAccts,$D262))</f>
        <v>0</v>
      </c>
    </row>
    <row r="263" spans="1:14">
      <c r="A263" s="38">
        <f>IF(Txn!$B138="","",Txn!$B138)</f>
        <v>0</v>
      </c>
      <c r="B263" s="38">
        <f>IF(Txn!$B138="","",Txn!$C138)</f>
        <v>0</v>
      </c>
      <c r="C263" s="39">
        <f>IF(Txn!$B138="","","تراکنش بانکی")</f>
        <v>0</v>
      </c>
      <c r="D263" s="38">
        <f>IF(Txn!$B138="","",IF(Txn!$X138="","",Txn!$X138))</f>
        <v>0</v>
      </c>
      <c r="E263" s="39">
        <f>IF($D263="","",IFERROR(VLOOKUP($D263,AcctTbl,2,0),""))</f>
        <v>0</v>
      </c>
      <c r="F263" s="39">
        <f>IF($D263="","",IFERROR(VLOOKUP($D263,AcctTbl,3,0),""))</f>
        <v>0</v>
      </c>
      <c r="G263" s="39">
        <f>IF(Txn!$B138="","",Txn!$D138)</f>
        <v>0</v>
      </c>
      <c r="H263" s="38">
        <f>IF(Txn!$B138="","",Txn!$E138)</f>
        <v>0</v>
      </c>
      <c r="I263" s="40">
        <f>IF(Txn!$B138="",0,Txn!$O138)</f>
        <v>0</v>
      </c>
      <c r="J263" s="40">
        <f>IF(Txn!$B138="",0,Txn!$P138)</f>
        <v>0</v>
      </c>
      <c r="K263" s="41">
        <f>IF($A263="","",IFERROR(VALUE(MID($A263,6,2)),""))</f>
        <v>0</v>
      </c>
      <c r="L263" s="39">
        <f>IF(Txn!$K138="","",Txn!$K138)</f>
        <v>0</v>
      </c>
      <c r="N263" s="42">
        <f>IF($D263="",0,COUNTIF(BankAccts,$D263))</f>
        <v>0</v>
      </c>
    </row>
    <row r="264" spans="1:14">
      <c r="A264" s="38">
        <f>IF(Txn!$B138="","",Txn!$B138)</f>
        <v>0</v>
      </c>
      <c r="B264" s="38">
        <f>IF(Txn!$B138="","",Txn!$C138)</f>
        <v>0</v>
      </c>
      <c r="C264" s="39">
        <f>IF(Txn!$B138="","","تراکنش بانکی")</f>
        <v>0</v>
      </c>
      <c r="D264" s="38">
        <f>IF(Txn!$B138="","",IF(IF(Txn!$U138="TRF",Txn!$Y138,Txn!$Z138)="","",IF(Txn!$U138="TRF",Txn!$Y138,Txn!$Z138)))</f>
        <v>0</v>
      </c>
      <c r="E264" s="39">
        <f>IF($D264="","",IFERROR(VLOOKUP($D264,AcctTbl,2,0),""))</f>
        <v>0</v>
      </c>
      <c r="F264" s="39">
        <f>IF($D264="","",IFERROR(VLOOKUP($D264,AcctTbl,3,0),""))</f>
        <v>0</v>
      </c>
      <c r="G264" s="39">
        <f>IF(Txn!$B138="","",Txn!$D138)</f>
        <v>0</v>
      </c>
      <c r="H264" s="38">
        <f>IF(Txn!$B138="","",Txn!$E138)</f>
        <v>0</v>
      </c>
      <c r="I264" s="40">
        <f>IF(Txn!$B138="",0,Txn!$Q138)</f>
        <v>0</v>
      </c>
      <c r="J264" s="40">
        <f>IF(Txn!$B138="",0,Txn!$R138)</f>
        <v>0</v>
      </c>
      <c r="K264" s="41">
        <f>IF($A264="","",IFERROR(VALUE(MID($A264,6,2)),""))</f>
        <v>0</v>
      </c>
      <c r="L264" s="39">
        <f>IF(Txn!$K138="","","طرف مقابل — "&amp;Txn!$K138)</f>
        <v>0</v>
      </c>
      <c r="N264" s="42">
        <f>IF($D264="",0,COUNTIF(BankAccts,$D264))</f>
        <v>0</v>
      </c>
    </row>
    <row r="265" spans="1:14">
      <c r="A265" s="38">
        <f>IF(Txn!$B139="","",Txn!$B139)</f>
        <v>0</v>
      </c>
      <c r="B265" s="38">
        <f>IF(Txn!$B139="","",Txn!$C139)</f>
        <v>0</v>
      </c>
      <c r="C265" s="39">
        <f>IF(Txn!$B139="","","تراکنش بانکی")</f>
        <v>0</v>
      </c>
      <c r="D265" s="38">
        <f>IF(Txn!$B139="","",IF(Txn!$X139="","",Txn!$X139))</f>
        <v>0</v>
      </c>
      <c r="E265" s="39">
        <f>IF($D265="","",IFERROR(VLOOKUP($D265,AcctTbl,2,0),""))</f>
        <v>0</v>
      </c>
      <c r="F265" s="39">
        <f>IF($D265="","",IFERROR(VLOOKUP($D265,AcctTbl,3,0),""))</f>
        <v>0</v>
      </c>
      <c r="G265" s="39">
        <f>IF(Txn!$B139="","",Txn!$D139)</f>
        <v>0</v>
      </c>
      <c r="H265" s="38">
        <f>IF(Txn!$B139="","",Txn!$E139)</f>
        <v>0</v>
      </c>
      <c r="I265" s="40">
        <f>IF(Txn!$B139="",0,Txn!$O139)</f>
        <v>0</v>
      </c>
      <c r="J265" s="40">
        <f>IF(Txn!$B139="",0,Txn!$P139)</f>
        <v>0</v>
      </c>
      <c r="K265" s="41">
        <f>IF($A265="","",IFERROR(VALUE(MID($A265,6,2)),""))</f>
        <v>0</v>
      </c>
      <c r="L265" s="39">
        <f>IF(Txn!$K139="","",Txn!$K139)</f>
        <v>0</v>
      </c>
      <c r="N265" s="42">
        <f>IF($D265="",0,COUNTIF(BankAccts,$D265))</f>
        <v>0</v>
      </c>
    </row>
    <row r="266" spans="1:14">
      <c r="A266" s="38">
        <f>IF(Txn!$B139="","",Txn!$B139)</f>
        <v>0</v>
      </c>
      <c r="B266" s="38">
        <f>IF(Txn!$B139="","",Txn!$C139)</f>
        <v>0</v>
      </c>
      <c r="C266" s="39">
        <f>IF(Txn!$B139="","","تراکنش بانکی")</f>
        <v>0</v>
      </c>
      <c r="D266" s="38">
        <f>IF(Txn!$B139="","",IF(IF(Txn!$U139="TRF",Txn!$Y139,Txn!$Z139)="","",IF(Txn!$U139="TRF",Txn!$Y139,Txn!$Z139)))</f>
        <v>0</v>
      </c>
      <c r="E266" s="39">
        <f>IF($D266="","",IFERROR(VLOOKUP($D266,AcctTbl,2,0),""))</f>
        <v>0</v>
      </c>
      <c r="F266" s="39">
        <f>IF($D266="","",IFERROR(VLOOKUP($D266,AcctTbl,3,0),""))</f>
        <v>0</v>
      </c>
      <c r="G266" s="39">
        <f>IF(Txn!$B139="","",Txn!$D139)</f>
        <v>0</v>
      </c>
      <c r="H266" s="38">
        <f>IF(Txn!$B139="","",Txn!$E139)</f>
        <v>0</v>
      </c>
      <c r="I266" s="40">
        <f>IF(Txn!$B139="",0,Txn!$Q139)</f>
        <v>0</v>
      </c>
      <c r="J266" s="40">
        <f>IF(Txn!$B139="",0,Txn!$R139)</f>
        <v>0</v>
      </c>
      <c r="K266" s="41">
        <f>IF($A266="","",IFERROR(VALUE(MID($A266,6,2)),""))</f>
        <v>0</v>
      </c>
      <c r="L266" s="39">
        <f>IF(Txn!$K139="","","طرف مقابل — "&amp;Txn!$K139)</f>
        <v>0</v>
      </c>
      <c r="N266" s="42">
        <f>IF($D266="",0,COUNTIF(BankAccts,$D266))</f>
        <v>0</v>
      </c>
    </row>
    <row r="267" spans="1:14">
      <c r="A267" s="38">
        <f>IF(Txn!$B140="","",Txn!$B140)</f>
        <v>0</v>
      </c>
      <c r="B267" s="38">
        <f>IF(Txn!$B140="","",Txn!$C140)</f>
        <v>0</v>
      </c>
      <c r="C267" s="39">
        <f>IF(Txn!$B140="","","تراکنش بانکی")</f>
        <v>0</v>
      </c>
      <c r="D267" s="38">
        <f>IF(Txn!$B140="","",IF(Txn!$X140="","",Txn!$X140))</f>
        <v>0</v>
      </c>
      <c r="E267" s="39">
        <f>IF($D267="","",IFERROR(VLOOKUP($D267,AcctTbl,2,0),""))</f>
        <v>0</v>
      </c>
      <c r="F267" s="39">
        <f>IF($D267="","",IFERROR(VLOOKUP($D267,AcctTbl,3,0),""))</f>
        <v>0</v>
      </c>
      <c r="G267" s="39">
        <f>IF(Txn!$B140="","",Txn!$D140)</f>
        <v>0</v>
      </c>
      <c r="H267" s="38">
        <f>IF(Txn!$B140="","",Txn!$E140)</f>
        <v>0</v>
      </c>
      <c r="I267" s="40">
        <f>IF(Txn!$B140="",0,Txn!$O140)</f>
        <v>0</v>
      </c>
      <c r="J267" s="40">
        <f>IF(Txn!$B140="",0,Txn!$P140)</f>
        <v>0</v>
      </c>
      <c r="K267" s="41">
        <f>IF($A267="","",IFERROR(VALUE(MID($A267,6,2)),""))</f>
        <v>0</v>
      </c>
      <c r="L267" s="39">
        <f>IF(Txn!$K140="","",Txn!$K140)</f>
        <v>0</v>
      </c>
      <c r="N267" s="42">
        <f>IF($D267="",0,COUNTIF(BankAccts,$D267))</f>
        <v>0</v>
      </c>
    </row>
    <row r="268" spans="1:14">
      <c r="A268" s="38">
        <f>IF(Txn!$B140="","",Txn!$B140)</f>
        <v>0</v>
      </c>
      <c r="B268" s="38">
        <f>IF(Txn!$B140="","",Txn!$C140)</f>
        <v>0</v>
      </c>
      <c r="C268" s="39">
        <f>IF(Txn!$B140="","","تراکنش بانکی")</f>
        <v>0</v>
      </c>
      <c r="D268" s="38">
        <f>IF(Txn!$B140="","",IF(IF(Txn!$U140="TRF",Txn!$Y140,Txn!$Z140)="","",IF(Txn!$U140="TRF",Txn!$Y140,Txn!$Z140)))</f>
        <v>0</v>
      </c>
      <c r="E268" s="39">
        <f>IF($D268="","",IFERROR(VLOOKUP($D268,AcctTbl,2,0),""))</f>
        <v>0</v>
      </c>
      <c r="F268" s="39">
        <f>IF($D268="","",IFERROR(VLOOKUP($D268,AcctTbl,3,0),""))</f>
        <v>0</v>
      </c>
      <c r="G268" s="39">
        <f>IF(Txn!$B140="","",Txn!$D140)</f>
        <v>0</v>
      </c>
      <c r="H268" s="38">
        <f>IF(Txn!$B140="","",Txn!$E140)</f>
        <v>0</v>
      </c>
      <c r="I268" s="40">
        <f>IF(Txn!$B140="",0,Txn!$Q140)</f>
        <v>0</v>
      </c>
      <c r="J268" s="40">
        <f>IF(Txn!$B140="",0,Txn!$R140)</f>
        <v>0</v>
      </c>
      <c r="K268" s="41">
        <f>IF($A268="","",IFERROR(VALUE(MID($A268,6,2)),""))</f>
        <v>0</v>
      </c>
      <c r="L268" s="39">
        <f>IF(Txn!$K140="","","طرف مقابل — "&amp;Txn!$K140)</f>
        <v>0</v>
      </c>
      <c r="N268" s="42">
        <f>IF($D268="",0,COUNTIF(BankAccts,$D268))</f>
        <v>0</v>
      </c>
    </row>
    <row r="269" spans="1:14">
      <c r="A269" s="38">
        <f>IF(Txn!$B141="","",Txn!$B141)</f>
        <v>0</v>
      </c>
      <c r="B269" s="38">
        <f>IF(Txn!$B141="","",Txn!$C141)</f>
        <v>0</v>
      </c>
      <c r="C269" s="39">
        <f>IF(Txn!$B141="","","تراکنش بانکی")</f>
        <v>0</v>
      </c>
      <c r="D269" s="38">
        <f>IF(Txn!$B141="","",IF(Txn!$X141="","",Txn!$X141))</f>
        <v>0</v>
      </c>
      <c r="E269" s="39">
        <f>IF($D269="","",IFERROR(VLOOKUP($D269,AcctTbl,2,0),""))</f>
        <v>0</v>
      </c>
      <c r="F269" s="39">
        <f>IF($D269="","",IFERROR(VLOOKUP($D269,AcctTbl,3,0),""))</f>
        <v>0</v>
      </c>
      <c r="G269" s="39">
        <f>IF(Txn!$B141="","",Txn!$D141)</f>
        <v>0</v>
      </c>
      <c r="H269" s="38">
        <f>IF(Txn!$B141="","",Txn!$E141)</f>
        <v>0</v>
      </c>
      <c r="I269" s="40">
        <f>IF(Txn!$B141="",0,Txn!$O141)</f>
        <v>0</v>
      </c>
      <c r="J269" s="40">
        <f>IF(Txn!$B141="",0,Txn!$P141)</f>
        <v>0</v>
      </c>
      <c r="K269" s="41">
        <f>IF($A269="","",IFERROR(VALUE(MID($A269,6,2)),""))</f>
        <v>0</v>
      </c>
      <c r="L269" s="39">
        <f>IF(Txn!$K141="","",Txn!$K141)</f>
        <v>0</v>
      </c>
      <c r="N269" s="42">
        <f>IF($D269="",0,COUNTIF(BankAccts,$D269))</f>
        <v>0</v>
      </c>
    </row>
    <row r="270" spans="1:14">
      <c r="A270" s="38">
        <f>IF(Txn!$B141="","",Txn!$B141)</f>
        <v>0</v>
      </c>
      <c r="B270" s="38">
        <f>IF(Txn!$B141="","",Txn!$C141)</f>
        <v>0</v>
      </c>
      <c r="C270" s="39">
        <f>IF(Txn!$B141="","","تراکنش بانکی")</f>
        <v>0</v>
      </c>
      <c r="D270" s="38">
        <f>IF(Txn!$B141="","",IF(IF(Txn!$U141="TRF",Txn!$Y141,Txn!$Z141)="","",IF(Txn!$U141="TRF",Txn!$Y141,Txn!$Z141)))</f>
        <v>0</v>
      </c>
      <c r="E270" s="39">
        <f>IF($D270="","",IFERROR(VLOOKUP($D270,AcctTbl,2,0),""))</f>
        <v>0</v>
      </c>
      <c r="F270" s="39">
        <f>IF($D270="","",IFERROR(VLOOKUP($D270,AcctTbl,3,0),""))</f>
        <v>0</v>
      </c>
      <c r="G270" s="39">
        <f>IF(Txn!$B141="","",Txn!$D141)</f>
        <v>0</v>
      </c>
      <c r="H270" s="38">
        <f>IF(Txn!$B141="","",Txn!$E141)</f>
        <v>0</v>
      </c>
      <c r="I270" s="40">
        <f>IF(Txn!$B141="",0,Txn!$Q141)</f>
        <v>0</v>
      </c>
      <c r="J270" s="40">
        <f>IF(Txn!$B141="",0,Txn!$R141)</f>
        <v>0</v>
      </c>
      <c r="K270" s="41">
        <f>IF($A270="","",IFERROR(VALUE(MID($A270,6,2)),""))</f>
        <v>0</v>
      </c>
      <c r="L270" s="39">
        <f>IF(Txn!$K141="","","طرف مقابل — "&amp;Txn!$K141)</f>
        <v>0</v>
      </c>
      <c r="N270" s="42">
        <f>IF($D270="",0,COUNTIF(BankAccts,$D270))</f>
        <v>0</v>
      </c>
    </row>
    <row r="271" spans="1:14">
      <c r="A271" s="38">
        <f>IF(Txn!$B142="","",Txn!$B142)</f>
        <v>0</v>
      </c>
      <c r="B271" s="38">
        <f>IF(Txn!$B142="","",Txn!$C142)</f>
        <v>0</v>
      </c>
      <c r="C271" s="39">
        <f>IF(Txn!$B142="","","تراکنش بانکی")</f>
        <v>0</v>
      </c>
      <c r="D271" s="38">
        <f>IF(Txn!$B142="","",IF(Txn!$X142="","",Txn!$X142))</f>
        <v>0</v>
      </c>
      <c r="E271" s="39">
        <f>IF($D271="","",IFERROR(VLOOKUP($D271,AcctTbl,2,0),""))</f>
        <v>0</v>
      </c>
      <c r="F271" s="39">
        <f>IF($D271="","",IFERROR(VLOOKUP($D271,AcctTbl,3,0),""))</f>
        <v>0</v>
      </c>
      <c r="G271" s="39">
        <f>IF(Txn!$B142="","",Txn!$D142)</f>
        <v>0</v>
      </c>
      <c r="H271" s="38">
        <f>IF(Txn!$B142="","",Txn!$E142)</f>
        <v>0</v>
      </c>
      <c r="I271" s="40">
        <f>IF(Txn!$B142="",0,Txn!$O142)</f>
        <v>0</v>
      </c>
      <c r="J271" s="40">
        <f>IF(Txn!$B142="",0,Txn!$P142)</f>
        <v>0</v>
      </c>
      <c r="K271" s="41">
        <f>IF($A271="","",IFERROR(VALUE(MID($A271,6,2)),""))</f>
        <v>0</v>
      </c>
      <c r="L271" s="39">
        <f>IF(Txn!$K142="","",Txn!$K142)</f>
        <v>0</v>
      </c>
      <c r="N271" s="42">
        <f>IF($D271="",0,COUNTIF(BankAccts,$D271))</f>
        <v>0</v>
      </c>
    </row>
    <row r="272" spans="1:14">
      <c r="A272" s="38">
        <f>IF(Txn!$B142="","",Txn!$B142)</f>
        <v>0</v>
      </c>
      <c r="B272" s="38">
        <f>IF(Txn!$B142="","",Txn!$C142)</f>
        <v>0</v>
      </c>
      <c r="C272" s="39">
        <f>IF(Txn!$B142="","","تراکنش بانکی")</f>
        <v>0</v>
      </c>
      <c r="D272" s="38">
        <f>IF(Txn!$B142="","",IF(IF(Txn!$U142="TRF",Txn!$Y142,Txn!$Z142)="","",IF(Txn!$U142="TRF",Txn!$Y142,Txn!$Z142)))</f>
        <v>0</v>
      </c>
      <c r="E272" s="39">
        <f>IF($D272="","",IFERROR(VLOOKUP($D272,AcctTbl,2,0),""))</f>
        <v>0</v>
      </c>
      <c r="F272" s="39">
        <f>IF($D272="","",IFERROR(VLOOKUP($D272,AcctTbl,3,0),""))</f>
        <v>0</v>
      </c>
      <c r="G272" s="39">
        <f>IF(Txn!$B142="","",Txn!$D142)</f>
        <v>0</v>
      </c>
      <c r="H272" s="38">
        <f>IF(Txn!$B142="","",Txn!$E142)</f>
        <v>0</v>
      </c>
      <c r="I272" s="40">
        <f>IF(Txn!$B142="",0,Txn!$Q142)</f>
        <v>0</v>
      </c>
      <c r="J272" s="40">
        <f>IF(Txn!$B142="",0,Txn!$R142)</f>
        <v>0</v>
      </c>
      <c r="K272" s="41">
        <f>IF($A272="","",IFERROR(VALUE(MID($A272,6,2)),""))</f>
        <v>0</v>
      </c>
      <c r="L272" s="39">
        <f>IF(Txn!$K142="","","طرف مقابل — "&amp;Txn!$K142)</f>
        <v>0</v>
      </c>
      <c r="N272" s="42">
        <f>IF($D272="",0,COUNTIF(BankAccts,$D272))</f>
        <v>0</v>
      </c>
    </row>
    <row r="273" spans="1:14">
      <c r="A273" s="38">
        <f>IF(Txn!$B143="","",Txn!$B143)</f>
        <v>0</v>
      </c>
      <c r="B273" s="38">
        <f>IF(Txn!$B143="","",Txn!$C143)</f>
        <v>0</v>
      </c>
      <c r="C273" s="39">
        <f>IF(Txn!$B143="","","تراکنش بانکی")</f>
        <v>0</v>
      </c>
      <c r="D273" s="38">
        <f>IF(Txn!$B143="","",IF(Txn!$X143="","",Txn!$X143))</f>
        <v>0</v>
      </c>
      <c r="E273" s="39">
        <f>IF($D273="","",IFERROR(VLOOKUP($D273,AcctTbl,2,0),""))</f>
        <v>0</v>
      </c>
      <c r="F273" s="39">
        <f>IF($D273="","",IFERROR(VLOOKUP($D273,AcctTbl,3,0),""))</f>
        <v>0</v>
      </c>
      <c r="G273" s="39">
        <f>IF(Txn!$B143="","",Txn!$D143)</f>
        <v>0</v>
      </c>
      <c r="H273" s="38">
        <f>IF(Txn!$B143="","",Txn!$E143)</f>
        <v>0</v>
      </c>
      <c r="I273" s="40">
        <f>IF(Txn!$B143="",0,Txn!$O143)</f>
        <v>0</v>
      </c>
      <c r="J273" s="40">
        <f>IF(Txn!$B143="",0,Txn!$P143)</f>
        <v>0</v>
      </c>
      <c r="K273" s="41">
        <f>IF($A273="","",IFERROR(VALUE(MID($A273,6,2)),""))</f>
        <v>0</v>
      </c>
      <c r="L273" s="39">
        <f>IF(Txn!$K143="","",Txn!$K143)</f>
        <v>0</v>
      </c>
      <c r="N273" s="42">
        <f>IF($D273="",0,COUNTIF(BankAccts,$D273))</f>
        <v>0</v>
      </c>
    </row>
    <row r="274" spans="1:14">
      <c r="A274" s="38">
        <f>IF(Txn!$B143="","",Txn!$B143)</f>
        <v>0</v>
      </c>
      <c r="B274" s="38">
        <f>IF(Txn!$B143="","",Txn!$C143)</f>
        <v>0</v>
      </c>
      <c r="C274" s="39">
        <f>IF(Txn!$B143="","","تراکنش بانکی")</f>
        <v>0</v>
      </c>
      <c r="D274" s="38">
        <f>IF(Txn!$B143="","",IF(IF(Txn!$U143="TRF",Txn!$Y143,Txn!$Z143)="","",IF(Txn!$U143="TRF",Txn!$Y143,Txn!$Z143)))</f>
        <v>0</v>
      </c>
      <c r="E274" s="39">
        <f>IF($D274="","",IFERROR(VLOOKUP($D274,AcctTbl,2,0),""))</f>
        <v>0</v>
      </c>
      <c r="F274" s="39">
        <f>IF($D274="","",IFERROR(VLOOKUP($D274,AcctTbl,3,0),""))</f>
        <v>0</v>
      </c>
      <c r="G274" s="39">
        <f>IF(Txn!$B143="","",Txn!$D143)</f>
        <v>0</v>
      </c>
      <c r="H274" s="38">
        <f>IF(Txn!$B143="","",Txn!$E143)</f>
        <v>0</v>
      </c>
      <c r="I274" s="40">
        <f>IF(Txn!$B143="",0,Txn!$Q143)</f>
        <v>0</v>
      </c>
      <c r="J274" s="40">
        <f>IF(Txn!$B143="",0,Txn!$R143)</f>
        <v>0</v>
      </c>
      <c r="K274" s="41">
        <f>IF($A274="","",IFERROR(VALUE(MID($A274,6,2)),""))</f>
        <v>0</v>
      </c>
      <c r="L274" s="39">
        <f>IF(Txn!$K143="","","طرف مقابل — "&amp;Txn!$K143)</f>
        <v>0</v>
      </c>
      <c r="N274" s="42">
        <f>IF($D274="",0,COUNTIF(BankAccts,$D274))</f>
        <v>0</v>
      </c>
    </row>
    <row r="275" spans="1:14">
      <c r="A275" s="38">
        <f>IF(Txn!$B144="","",Txn!$B144)</f>
        <v>0</v>
      </c>
      <c r="B275" s="38">
        <f>IF(Txn!$B144="","",Txn!$C144)</f>
        <v>0</v>
      </c>
      <c r="C275" s="39">
        <f>IF(Txn!$B144="","","تراکنش بانکی")</f>
        <v>0</v>
      </c>
      <c r="D275" s="38">
        <f>IF(Txn!$B144="","",IF(Txn!$X144="","",Txn!$X144))</f>
        <v>0</v>
      </c>
      <c r="E275" s="39">
        <f>IF($D275="","",IFERROR(VLOOKUP($D275,AcctTbl,2,0),""))</f>
        <v>0</v>
      </c>
      <c r="F275" s="39">
        <f>IF($D275="","",IFERROR(VLOOKUP($D275,AcctTbl,3,0),""))</f>
        <v>0</v>
      </c>
      <c r="G275" s="39">
        <f>IF(Txn!$B144="","",Txn!$D144)</f>
        <v>0</v>
      </c>
      <c r="H275" s="38">
        <f>IF(Txn!$B144="","",Txn!$E144)</f>
        <v>0</v>
      </c>
      <c r="I275" s="40">
        <f>IF(Txn!$B144="",0,Txn!$O144)</f>
        <v>0</v>
      </c>
      <c r="J275" s="40">
        <f>IF(Txn!$B144="",0,Txn!$P144)</f>
        <v>0</v>
      </c>
      <c r="K275" s="41">
        <f>IF($A275="","",IFERROR(VALUE(MID($A275,6,2)),""))</f>
        <v>0</v>
      </c>
      <c r="L275" s="39">
        <f>IF(Txn!$K144="","",Txn!$K144)</f>
        <v>0</v>
      </c>
      <c r="N275" s="42">
        <f>IF($D275="",0,COUNTIF(BankAccts,$D275))</f>
        <v>0</v>
      </c>
    </row>
    <row r="276" spans="1:14">
      <c r="A276" s="38">
        <f>IF(Txn!$B144="","",Txn!$B144)</f>
        <v>0</v>
      </c>
      <c r="B276" s="38">
        <f>IF(Txn!$B144="","",Txn!$C144)</f>
        <v>0</v>
      </c>
      <c r="C276" s="39">
        <f>IF(Txn!$B144="","","تراکنش بانکی")</f>
        <v>0</v>
      </c>
      <c r="D276" s="38">
        <f>IF(Txn!$B144="","",IF(IF(Txn!$U144="TRF",Txn!$Y144,Txn!$Z144)="","",IF(Txn!$U144="TRF",Txn!$Y144,Txn!$Z144)))</f>
        <v>0</v>
      </c>
      <c r="E276" s="39">
        <f>IF($D276="","",IFERROR(VLOOKUP($D276,AcctTbl,2,0),""))</f>
        <v>0</v>
      </c>
      <c r="F276" s="39">
        <f>IF($D276="","",IFERROR(VLOOKUP($D276,AcctTbl,3,0),""))</f>
        <v>0</v>
      </c>
      <c r="G276" s="39">
        <f>IF(Txn!$B144="","",Txn!$D144)</f>
        <v>0</v>
      </c>
      <c r="H276" s="38">
        <f>IF(Txn!$B144="","",Txn!$E144)</f>
        <v>0</v>
      </c>
      <c r="I276" s="40">
        <f>IF(Txn!$B144="",0,Txn!$Q144)</f>
        <v>0</v>
      </c>
      <c r="J276" s="40">
        <f>IF(Txn!$B144="",0,Txn!$R144)</f>
        <v>0</v>
      </c>
      <c r="K276" s="41">
        <f>IF($A276="","",IFERROR(VALUE(MID($A276,6,2)),""))</f>
        <v>0</v>
      </c>
      <c r="L276" s="39">
        <f>IF(Txn!$K144="","","طرف مقابل — "&amp;Txn!$K144)</f>
        <v>0</v>
      </c>
      <c r="N276" s="42">
        <f>IF($D276="",0,COUNTIF(BankAccts,$D276))</f>
        <v>0</v>
      </c>
    </row>
    <row r="277" spans="1:14">
      <c r="A277" s="38">
        <f>IF(Txn!$B145="","",Txn!$B145)</f>
        <v>0</v>
      </c>
      <c r="B277" s="38">
        <f>IF(Txn!$B145="","",Txn!$C145)</f>
        <v>0</v>
      </c>
      <c r="C277" s="39">
        <f>IF(Txn!$B145="","","تراکنش بانکی")</f>
        <v>0</v>
      </c>
      <c r="D277" s="38">
        <f>IF(Txn!$B145="","",IF(Txn!$X145="","",Txn!$X145))</f>
        <v>0</v>
      </c>
      <c r="E277" s="39">
        <f>IF($D277="","",IFERROR(VLOOKUP($D277,AcctTbl,2,0),""))</f>
        <v>0</v>
      </c>
      <c r="F277" s="39">
        <f>IF($D277="","",IFERROR(VLOOKUP($D277,AcctTbl,3,0),""))</f>
        <v>0</v>
      </c>
      <c r="G277" s="39">
        <f>IF(Txn!$B145="","",Txn!$D145)</f>
        <v>0</v>
      </c>
      <c r="H277" s="38">
        <f>IF(Txn!$B145="","",Txn!$E145)</f>
        <v>0</v>
      </c>
      <c r="I277" s="40">
        <f>IF(Txn!$B145="",0,Txn!$O145)</f>
        <v>0</v>
      </c>
      <c r="J277" s="40">
        <f>IF(Txn!$B145="",0,Txn!$P145)</f>
        <v>0</v>
      </c>
      <c r="K277" s="41">
        <f>IF($A277="","",IFERROR(VALUE(MID($A277,6,2)),""))</f>
        <v>0</v>
      </c>
      <c r="L277" s="39">
        <f>IF(Txn!$K145="","",Txn!$K145)</f>
        <v>0</v>
      </c>
      <c r="N277" s="42">
        <f>IF($D277="",0,COUNTIF(BankAccts,$D277))</f>
        <v>0</v>
      </c>
    </row>
    <row r="278" spans="1:14">
      <c r="A278" s="38">
        <f>IF(Txn!$B145="","",Txn!$B145)</f>
        <v>0</v>
      </c>
      <c r="B278" s="38">
        <f>IF(Txn!$B145="","",Txn!$C145)</f>
        <v>0</v>
      </c>
      <c r="C278" s="39">
        <f>IF(Txn!$B145="","","تراکنش بانکی")</f>
        <v>0</v>
      </c>
      <c r="D278" s="38">
        <f>IF(Txn!$B145="","",IF(IF(Txn!$U145="TRF",Txn!$Y145,Txn!$Z145)="","",IF(Txn!$U145="TRF",Txn!$Y145,Txn!$Z145)))</f>
        <v>0</v>
      </c>
      <c r="E278" s="39">
        <f>IF($D278="","",IFERROR(VLOOKUP($D278,AcctTbl,2,0),""))</f>
        <v>0</v>
      </c>
      <c r="F278" s="39">
        <f>IF($D278="","",IFERROR(VLOOKUP($D278,AcctTbl,3,0),""))</f>
        <v>0</v>
      </c>
      <c r="G278" s="39">
        <f>IF(Txn!$B145="","",Txn!$D145)</f>
        <v>0</v>
      </c>
      <c r="H278" s="38">
        <f>IF(Txn!$B145="","",Txn!$E145)</f>
        <v>0</v>
      </c>
      <c r="I278" s="40">
        <f>IF(Txn!$B145="",0,Txn!$Q145)</f>
        <v>0</v>
      </c>
      <c r="J278" s="40">
        <f>IF(Txn!$B145="",0,Txn!$R145)</f>
        <v>0</v>
      </c>
      <c r="K278" s="41">
        <f>IF($A278="","",IFERROR(VALUE(MID($A278,6,2)),""))</f>
        <v>0</v>
      </c>
      <c r="L278" s="39">
        <f>IF(Txn!$K145="","","طرف مقابل — "&amp;Txn!$K145)</f>
        <v>0</v>
      </c>
      <c r="N278" s="42">
        <f>IF($D278="",0,COUNTIF(BankAccts,$D278))</f>
        <v>0</v>
      </c>
    </row>
    <row r="279" spans="1:14">
      <c r="A279" s="38">
        <f>IF(Txn!$B146="","",Txn!$B146)</f>
        <v>0</v>
      </c>
      <c r="B279" s="38">
        <f>IF(Txn!$B146="","",Txn!$C146)</f>
        <v>0</v>
      </c>
      <c r="C279" s="39">
        <f>IF(Txn!$B146="","","تراکنش بانکی")</f>
        <v>0</v>
      </c>
      <c r="D279" s="38">
        <f>IF(Txn!$B146="","",IF(Txn!$X146="","",Txn!$X146))</f>
        <v>0</v>
      </c>
      <c r="E279" s="39">
        <f>IF($D279="","",IFERROR(VLOOKUP($D279,AcctTbl,2,0),""))</f>
        <v>0</v>
      </c>
      <c r="F279" s="39">
        <f>IF($D279="","",IFERROR(VLOOKUP($D279,AcctTbl,3,0),""))</f>
        <v>0</v>
      </c>
      <c r="G279" s="39">
        <f>IF(Txn!$B146="","",Txn!$D146)</f>
        <v>0</v>
      </c>
      <c r="H279" s="38">
        <f>IF(Txn!$B146="","",Txn!$E146)</f>
        <v>0</v>
      </c>
      <c r="I279" s="40">
        <f>IF(Txn!$B146="",0,Txn!$O146)</f>
        <v>0</v>
      </c>
      <c r="J279" s="40">
        <f>IF(Txn!$B146="",0,Txn!$P146)</f>
        <v>0</v>
      </c>
      <c r="K279" s="41">
        <f>IF($A279="","",IFERROR(VALUE(MID($A279,6,2)),""))</f>
        <v>0</v>
      </c>
      <c r="L279" s="39">
        <f>IF(Txn!$K146="","",Txn!$K146)</f>
        <v>0</v>
      </c>
      <c r="N279" s="42">
        <f>IF($D279="",0,COUNTIF(BankAccts,$D279))</f>
        <v>0</v>
      </c>
    </row>
    <row r="280" spans="1:14">
      <c r="A280" s="38">
        <f>IF(Txn!$B146="","",Txn!$B146)</f>
        <v>0</v>
      </c>
      <c r="B280" s="38">
        <f>IF(Txn!$B146="","",Txn!$C146)</f>
        <v>0</v>
      </c>
      <c r="C280" s="39">
        <f>IF(Txn!$B146="","","تراکنش بانکی")</f>
        <v>0</v>
      </c>
      <c r="D280" s="38">
        <f>IF(Txn!$B146="","",IF(IF(Txn!$U146="TRF",Txn!$Y146,Txn!$Z146)="","",IF(Txn!$U146="TRF",Txn!$Y146,Txn!$Z146)))</f>
        <v>0</v>
      </c>
      <c r="E280" s="39">
        <f>IF($D280="","",IFERROR(VLOOKUP($D280,AcctTbl,2,0),""))</f>
        <v>0</v>
      </c>
      <c r="F280" s="39">
        <f>IF($D280="","",IFERROR(VLOOKUP($D280,AcctTbl,3,0),""))</f>
        <v>0</v>
      </c>
      <c r="G280" s="39">
        <f>IF(Txn!$B146="","",Txn!$D146)</f>
        <v>0</v>
      </c>
      <c r="H280" s="38">
        <f>IF(Txn!$B146="","",Txn!$E146)</f>
        <v>0</v>
      </c>
      <c r="I280" s="40">
        <f>IF(Txn!$B146="",0,Txn!$Q146)</f>
        <v>0</v>
      </c>
      <c r="J280" s="40">
        <f>IF(Txn!$B146="",0,Txn!$R146)</f>
        <v>0</v>
      </c>
      <c r="K280" s="41">
        <f>IF($A280="","",IFERROR(VALUE(MID($A280,6,2)),""))</f>
        <v>0</v>
      </c>
      <c r="L280" s="39">
        <f>IF(Txn!$K146="","","طرف مقابل — "&amp;Txn!$K146)</f>
        <v>0</v>
      </c>
      <c r="N280" s="42">
        <f>IF($D280="",0,COUNTIF(BankAccts,$D280))</f>
        <v>0</v>
      </c>
    </row>
    <row r="281" spans="1:14">
      <c r="A281" s="38">
        <f>IF(Txn!$B147="","",Txn!$B147)</f>
        <v>0</v>
      </c>
      <c r="B281" s="38">
        <f>IF(Txn!$B147="","",Txn!$C147)</f>
        <v>0</v>
      </c>
      <c r="C281" s="39">
        <f>IF(Txn!$B147="","","تراکنش بانکی")</f>
        <v>0</v>
      </c>
      <c r="D281" s="38">
        <f>IF(Txn!$B147="","",IF(Txn!$X147="","",Txn!$X147))</f>
        <v>0</v>
      </c>
      <c r="E281" s="39">
        <f>IF($D281="","",IFERROR(VLOOKUP($D281,AcctTbl,2,0),""))</f>
        <v>0</v>
      </c>
      <c r="F281" s="39">
        <f>IF($D281="","",IFERROR(VLOOKUP($D281,AcctTbl,3,0),""))</f>
        <v>0</v>
      </c>
      <c r="G281" s="39">
        <f>IF(Txn!$B147="","",Txn!$D147)</f>
        <v>0</v>
      </c>
      <c r="H281" s="38">
        <f>IF(Txn!$B147="","",Txn!$E147)</f>
        <v>0</v>
      </c>
      <c r="I281" s="40">
        <f>IF(Txn!$B147="",0,Txn!$O147)</f>
        <v>0</v>
      </c>
      <c r="J281" s="40">
        <f>IF(Txn!$B147="",0,Txn!$P147)</f>
        <v>0</v>
      </c>
      <c r="K281" s="41">
        <f>IF($A281="","",IFERROR(VALUE(MID($A281,6,2)),""))</f>
        <v>0</v>
      </c>
      <c r="L281" s="39">
        <f>IF(Txn!$K147="","",Txn!$K147)</f>
        <v>0</v>
      </c>
      <c r="N281" s="42">
        <f>IF($D281="",0,COUNTIF(BankAccts,$D281))</f>
        <v>0</v>
      </c>
    </row>
    <row r="282" spans="1:14">
      <c r="A282" s="38">
        <f>IF(Txn!$B147="","",Txn!$B147)</f>
        <v>0</v>
      </c>
      <c r="B282" s="38">
        <f>IF(Txn!$B147="","",Txn!$C147)</f>
        <v>0</v>
      </c>
      <c r="C282" s="39">
        <f>IF(Txn!$B147="","","تراکنش بانکی")</f>
        <v>0</v>
      </c>
      <c r="D282" s="38">
        <f>IF(Txn!$B147="","",IF(IF(Txn!$U147="TRF",Txn!$Y147,Txn!$Z147)="","",IF(Txn!$U147="TRF",Txn!$Y147,Txn!$Z147)))</f>
        <v>0</v>
      </c>
      <c r="E282" s="39">
        <f>IF($D282="","",IFERROR(VLOOKUP($D282,AcctTbl,2,0),""))</f>
        <v>0</v>
      </c>
      <c r="F282" s="39">
        <f>IF($D282="","",IFERROR(VLOOKUP($D282,AcctTbl,3,0),""))</f>
        <v>0</v>
      </c>
      <c r="G282" s="39">
        <f>IF(Txn!$B147="","",Txn!$D147)</f>
        <v>0</v>
      </c>
      <c r="H282" s="38">
        <f>IF(Txn!$B147="","",Txn!$E147)</f>
        <v>0</v>
      </c>
      <c r="I282" s="40">
        <f>IF(Txn!$B147="",0,Txn!$Q147)</f>
        <v>0</v>
      </c>
      <c r="J282" s="40">
        <f>IF(Txn!$B147="",0,Txn!$R147)</f>
        <v>0</v>
      </c>
      <c r="K282" s="41">
        <f>IF($A282="","",IFERROR(VALUE(MID($A282,6,2)),""))</f>
        <v>0</v>
      </c>
      <c r="L282" s="39">
        <f>IF(Txn!$K147="","","طرف مقابل — "&amp;Txn!$K147)</f>
        <v>0</v>
      </c>
      <c r="N282" s="42">
        <f>IF($D282="",0,COUNTIF(BankAccts,$D282))</f>
        <v>0</v>
      </c>
    </row>
    <row r="283" spans="1:14">
      <c r="A283" s="38">
        <f>IF(Txn!$B148="","",Txn!$B148)</f>
        <v>0</v>
      </c>
      <c r="B283" s="38">
        <f>IF(Txn!$B148="","",Txn!$C148)</f>
        <v>0</v>
      </c>
      <c r="C283" s="39">
        <f>IF(Txn!$B148="","","تراکنش بانکی")</f>
        <v>0</v>
      </c>
      <c r="D283" s="38">
        <f>IF(Txn!$B148="","",IF(Txn!$X148="","",Txn!$X148))</f>
        <v>0</v>
      </c>
      <c r="E283" s="39">
        <f>IF($D283="","",IFERROR(VLOOKUP($D283,AcctTbl,2,0),""))</f>
        <v>0</v>
      </c>
      <c r="F283" s="39">
        <f>IF($D283="","",IFERROR(VLOOKUP($D283,AcctTbl,3,0),""))</f>
        <v>0</v>
      </c>
      <c r="G283" s="39">
        <f>IF(Txn!$B148="","",Txn!$D148)</f>
        <v>0</v>
      </c>
      <c r="H283" s="38">
        <f>IF(Txn!$B148="","",Txn!$E148)</f>
        <v>0</v>
      </c>
      <c r="I283" s="40">
        <f>IF(Txn!$B148="",0,Txn!$O148)</f>
        <v>0</v>
      </c>
      <c r="J283" s="40">
        <f>IF(Txn!$B148="",0,Txn!$P148)</f>
        <v>0</v>
      </c>
      <c r="K283" s="41">
        <f>IF($A283="","",IFERROR(VALUE(MID($A283,6,2)),""))</f>
        <v>0</v>
      </c>
      <c r="L283" s="39">
        <f>IF(Txn!$K148="","",Txn!$K148)</f>
        <v>0</v>
      </c>
      <c r="N283" s="42">
        <f>IF($D283="",0,COUNTIF(BankAccts,$D283))</f>
        <v>0</v>
      </c>
    </row>
    <row r="284" spans="1:14">
      <c r="A284" s="38">
        <f>IF(Txn!$B148="","",Txn!$B148)</f>
        <v>0</v>
      </c>
      <c r="B284" s="38">
        <f>IF(Txn!$B148="","",Txn!$C148)</f>
        <v>0</v>
      </c>
      <c r="C284" s="39">
        <f>IF(Txn!$B148="","","تراکنش بانکی")</f>
        <v>0</v>
      </c>
      <c r="D284" s="38">
        <f>IF(Txn!$B148="","",IF(IF(Txn!$U148="TRF",Txn!$Y148,Txn!$Z148)="","",IF(Txn!$U148="TRF",Txn!$Y148,Txn!$Z148)))</f>
        <v>0</v>
      </c>
      <c r="E284" s="39">
        <f>IF($D284="","",IFERROR(VLOOKUP($D284,AcctTbl,2,0),""))</f>
        <v>0</v>
      </c>
      <c r="F284" s="39">
        <f>IF($D284="","",IFERROR(VLOOKUP($D284,AcctTbl,3,0),""))</f>
        <v>0</v>
      </c>
      <c r="G284" s="39">
        <f>IF(Txn!$B148="","",Txn!$D148)</f>
        <v>0</v>
      </c>
      <c r="H284" s="38">
        <f>IF(Txn!$B148="","",Txn!$E148)</f>
        <v>0</v>
      </c>
      <c r="I284" s="40">
        <f>IF(Txn!$B148="",0,Txn!$Q148)</f>
        <v>0</v>
      </c>
      <c r="J284" s="40">
        <f>IF(Txn!$B148="",0,Txn!$R148)</f>
        <v>0</v>
      </c>
      <c r="K284" s="41">
        <f>IF($A284="","",IFERROR(VALUE(MID($A284,6,2)),""))</f>
        <v>0</v>
      </c>
      <c r="L284" s="39">
        <f>IF(Txn!$K148="","","طرف مقابل — "&amp;Txn!$K148)</f>
        <v>0</v>
      </c>
      <c r="N284" s="42">
        <f>IF($D284="",0,COUNTIF(BankAccts,$D284))</f>
        <v>0</v>
      </c>
    </row>
    <row r="285" spans="1:14">
      <c r="A285" s="38">
        <f>IF(Txn!$B149="","",Txn!$B149)</f>
        <v>0</v>
      </c>
      <c r="B285" s="38">
        <f>IF(Txn!$B149="","",Txn!$C149)</f>
        <v>0</v>
      </c>
      <c r="C285" s="39">
        <f>IF(Txn!$B149="","","تراکنش بانکی")</f>
        <v>0</v>
      </c>
      <c r="D285" s="38">
        <f>IF(Txn!$B149="","",IF(Txn!$X149="","",Txn!$X149))</f>
        <v>0</v>
      </c>
      <c r="E285" s="39">
        <f>IF($D285="","",IFERROR(VLOOKUP($D285,AcctTbl,2,0),""))</f>
        <v>0</v>
      </c>
      <c r="F285" s="39">
        <f>IF($D285="","",IFERROR(VLOOKUP($D285,AcctTbl,3,0),""))</f>
        <v>0</v>
      </c>
      <c r="G285" s="39">
        <f>IF(Txn!$B149="","",Txn!$D149)</f>
        <v>0</v>
      </c>
      <c r="H285" s="38">
        <f>IF(Txn!$B149="","",Txn!$E149)</f>
        <v>0</v>
      </c>
      <c r="I285" s="40">
        <f>IF(Txn!$B149="",0,Txn!$O149)</f>
        <v>0</v>
      </c>
      <c r="J285" s="40">
        <f>IF(Txn!$B149="",0,Txn!$P149)</f>
        <v>0</v>
      </c>
      <c r="K285" s="41">
        <f>IF($A285="","",IFERROR(VALUE(MID($A285,6,2)),""))</f>
        <v>0</v>
      </c>
      <c r="L285" s="39">
        <f>IF(Txn!$K149="","",Txn!$K149)</f>
        <v>0</v>
      </c>
      <c r="N285" s="42">
        <f>IF($D285="",0,COUNTIF(BankAccts,$D285))</f>
        <v>0</v>
      </c>
    </row>
    <row r="286" spans="1:14">
      <c r="A286" s="38">
        <f>IF(Txn!$B149="","",Txn!$B149)</f>
        <v>0</v>
      </c>
      <c r="B286" s="38">
        <f>IF(Txn!$B149="","",Txn!$C149)</f>
        <v>0</v>
      </c>
      <c r="C286" s="39">
        <f>IF(Txn!$B149="","","تراکنش بانکی")</f>
        <v>0</v>
      </c>
      <c r="D286" s="38">
        <f>IF(Txn!$B149="","",IF(IF(Txn!$U149="TRF",Txn!$Y149,Txn!$Z149)="","",IF(Txn!$U149="TRF",Txn!$Y149,Txn!$Z149)))</f>
        <v>0</v>
      </c>
      <c r="E286" s="39">
        <f>IF($D286="","",IFERROR(VLOOKUP($D286,AcctTbl,2,0),""))</f>
        <v>0</v>
      </c>
      <c r="F286" s="39">
        <f>IF($D286="","",IFERROR(VLOOKUP($D286,AcctTbl,3,0),""))</f>
        <v>0</v>
      </c>
      <c r="G286" s="39">
        <f>IF(Txn!$B149="","",Txn!$D149)</f>
        <v>0</v>
      </c>
      <c r="H286" s="38">
        <f>IF(Txn!$B149="","",Txn!$E149)</f>
        <v>0</v>
      </c>
      <c r="I286" s="40">
        <f>IF(Txn!$B149="",0,Txn!$Q149)</f>
        <v>0</v>
      </c>
      <c r="J286" s="40">
        <f>IF(Txn!$B149="",0,Txn!$R149)</f>
        <v>0</v>
      </c>
      <c r="K286" s="41">
        <f>IF($A286="","",IFERROR(VALUE(MID($A286,6,2)),""))</f>
        <v>0</v>
      </c>
      <c r="L286" s="39">
        <f>IF(Txn!$K149="","","طرف مقابل — "&amp;Txn!$K149)</f>
        <v>0</v>
      </c>
      <c r="N286" s="42">
        <f>IF($D286="",0,COUNTIF(BankAccts,$D286))</f>
        <v>0</v>
      </c>
    </row>
    <row r="287" spans="1:14">
      <c r="A287" s="38">
        <f>IF(Txn!$B150="","",Txn!$B150)</f>
        <v>0</v>
      </c>
      <c r="B287" s="38">
        <f>IF(Txn!$B150="","",Txn!$C150)</f>
        <v>0</v>
      </c>
      <c r="C287" s="39">
        <f>IF(Txn!$B150="","","تراکنش بانکی")</f>
        <v>0</v>
      </c>
      <c r="D287" s="38">
        <f>IF(Txn!$B150="","",IF(Txn!$X150="","",Txn!$X150))</f>
        <v>0</v>
      </c>
      <c r="E287" s="39">
        <f>IF($D287="","",IFERROR(VLOOKUP($D287,AcctTbl,2,0),""))</f>
        <v>0</v>
      </c>
      <c r="F287" s="39">
        <f>IF($D287="","",IFERROR(VLOOKUP($D287,AcctTbl,3,0),""))</f>
        <v>0</v>
      </c>
      <c r="G287" s="39">
        <f>IF(Txn!$B150="","",Txn!$D150)</f>
        <v>0</v>
      </c>
      <c r="H287" s="38">
        <f>IF(Txn!$B150="","",Txn!$E150)</f>
        <v>0</v>
      </c>
      <c r="I287" s="40">
        <f>IF(Txn!$B150="",0,Txn!$O150)</f>
        <v>0</v>
      </c>
      <c r="J287" s="40">
        <f>IF(Txn!$B150="",0,Txn!$P150)</f>
        <v>0</v>
      </c>
      <c r="K287" s="41">
        <f>IF($A287="","",IFERROR(VALUE(MID($A287,6,2)),""))</f>
        <v>0</v>
      </c>
      <c r="L287" s="39">
        <f>IF(Txn!$K150="","",Txn!$K150)</f>
        <v>0</v>
      </c>
      <c r="N287" s="42">
        <f>IF($D287="",0,COUNTIF(BankAccts,$D287))</f>
        <v>0</v>
      </c>
    </row>
    <row r="288" spans="1:14">
      <c r="A288" s="38">
        <f>IF(Txn!$B150="","",Txn!$B150)</f>
        <v>0</v>
      </c>
      <c r="B288" s="38">
        <f>IF(Txn!$B150="","",Txn!$C150)</f>
        <v>0</v>
      </c>
      <c r="C288" s="39">
        <f>IF(Txn!$B150="","","تراکنش بانکی")</f>
        <v>0</v>
      </c>
      <c r="D288" s="38">
        <f>IF(Txn!$B150="","",IF(IF(Txn!$U150="TRF",Txn!$Y150,Txn!$Z150)="","",IF(Txn!$U150="TRF",Txn!$Y150,Txn!$Z150)))</f>
        <v>0</v>
      </c>
      <c r="E288" s="39">
        <f>IF($D288="","",IFERROR(VLOOKUP($D288,AcctTbl,2,0),""))</f>
        <v>0</v>
      </c>
      <c r="F288" s="39">
        <f>IF($D288="","",IFERROR(VLOOKUP($D288,AcctTbl,3,0),""))</f>
        <v>0</v>
      </c>
      <c r="G288" s="39">
        <f>IF(Txn!$B150="","",Txn!$D150)</f>
        <v>0</v>
      </c>
      <c r="H288" s="38">
        <f>IF(Txn!$B150="","",Txn!$E150)</f>
        <v>0</v>
      </c>
      <c r="I288" s="40">
        <f>IF(Txn!$B150="",0,Txn!$Q150)</f>
        <v>0</v>
      </c>
      <c r="J288" s="40">
        <f>IF(Txn!$B150="",0,Txn!$R150)</f>
        <v>0</v>
      </c>
      <c r="K288" s="41">
        <f>IF($A288="","",IFERROR(VALUE(MID($A288,6,2)),""))</f>
        <v>0</v>
      </c>
      <c r="L288" s="39">
        <f>IF(Txn!$K150="","","طرف مقابل — "&amp;Txn!$K150)</f>
        <v>0</v>
      </c>
      <c r="N288" s="42">
        <f>IF($D288="",0,COUNTIF(BankAccts,$D288))</f>
        <v>0</v>
      </c>
    </row>
    <row r="289" spans="1:14">
      <c r="A289" s="38">
        <f>IF(Txn!$B151="","",Txn!$B151)</f>
        <v>0</v>
      </c>
      <c r="B289" s="38">
        <f>IF(Txn!$B151="","",Txn!$C151)</f>
        <v>0</v>
      </c>
      <c r="C289" s="39">
        <f>IF(Txn!$B151="","","تراکنش بانکی")</f>
        <v>0</v>
      </c>
      <c r="D289" s="38">
        <f>IF(Txn!$B151="","",IF(Txn!$X151="","",Txn!$X151))</f>
        <v>0</v>
      </c>
      <c r="E289" s="39">
        <f>IF($D289="","",IFERROR(VLOOKUP($D289,AcctTbl,2,0),""))</f>
        <v>0</v>
      </c>
      <c r="F289" s="39">
        <f>IF($D289="","",IFERROR(VLOOKUP($D289,AcctTbl,3,0),""))</f>
        <v>0</v>
      </c>
      <c r="G289" s="39">
        <f>IF(Txn!$B151="","",Txn!$D151)</f>
        <v>0</v>
      </c>
      <c r="H289" s="38">
        <f>IF(Txn!$B151="","",Txn!$E151)</f>
        <v>0</v>
      </c>
      <c r="I289" s="40">
        <f>IF(Txn!$B151="",0,Txn!$O151)</f>
        <v>0</v>
      </c>
      <c r="J289" s="40">
        <f>IF(Txn!$B151="",0,Txn!$P151)</f>
        <v>0</v>
      </c>
      <c r="K289" s="41">
        <f>IF($A289="","",IFERROR(VALUE(MID($A289,6,2)),""))</f>
        <v>0</v>
      </c>
      <c r="L289" s="39">
        <f>IF(Txn!$K151="","",Txn!$K151)</f>
        <v>0</v>
      </c>
      <c r="N289" s="42">
        <f>IF($D289="",0,COUNTIF(BankAccts,$D289))</f>
        <v>0</v>
      </c>
    </row>
    <row r="290" spans="1:14">
      <c r="A290" s="38">
        <f>IF(Txn!$B151="","",Txn!$B151)</f>
        <v>0</v>
      </c>
      <c r="B290" s="38">
        <f>IF(Txn!$B151="","",Txn!$C151)</f>
        <v>0</v>
      </c>
      <c r="C290" s="39">
        <f>IF(Txn!$B151="","","تراکنش بانکی")</f>
        <v>0</v>
      </c>
      <c r="D290" s="38">
        <f>IF(Txn!$B151="","",IF(IF(Txn!$U151="TRF",Txn!$Y151,Txn!$Z151)="","",IF(Txn!$U151="TRF",Txn!$Y151,Txn!$Z151)))</f>
        <v>0</v>
      </c>
      <c r="E290" s="39">
        <f>IF($D290="","",IFERROR(VLOOKUP($D290,AcctTbl,2,0),""))</f>
        <v>0</v>
      </c>
      <c r="F290" s="39">
        <f>IF($D290="","",IFERROR(VLOOKUP($D290,AcctTbl,3,0),""))</f>
        <v>0</v>
      </c>
      <c r="G290" s="39">
        <f>IF(Txn!$B151="","",Txn!$D151)</f>
        <v>0</v>
      </c>
      <c r="H290" s="38">
        <f>IF(Txn!$B151="","",Txn!$E151)</f>
        <v>0</v>
      </c>
      <c r="I290" s="40">
        <f>IF(Txn!$B151="",0,Txn!$Q151)</f>
        <v>0</v>
      </c>
      <c r="J290" s="40">
        <f>IF(Txn!$B151="",0,Txn!$R151)</f>
        <v>0</v>
      </c>
      <c r="K290" s="41">
        <f>IF($A290="","",IFERROR(VALUE(MID($A290,6,2)),""))</f>
        <v>0</v>
      </c>
      <c r="L290" s="39">
        <f>IF(Txn!$K151="","","طرف مقابل — "&amp;Txn!$K151)</f>
        <v>0</v>
      </c>
      <c r="N290" s="42">
        <f>IF($D290="",0,COUNTIF(BankAccts,$D290))</f>
        <v>0</v>
      </c>
    </row>
    <row r="291" spans="1:14">
      <c r="A291" s="38">
        <f>IF(Txn!$B152="","",Txn!$B152)</f>
        <v>0</v>
      </c>
      <c r="B291" s="38">
        <f>IF(Txn!$B152="","",Txn!$C152)</f>
        <v>0</v>
      </c>
      <c r="C291" s="39">
        <f>IF(Txn!$B152="","","تراکنش بانکی")</f>
        <v>0</v>
      </c>
      <c r="D291" s="38">
        <f>IF(Txn!$B152="","",IF(Txn!$X152="","",Txn!$X152))</f>
        <v>0</v>
      </c>
      <c r="E291" s="39">
        <f>IF($D291="","",IFERROR(VLOOKUP($D291,AcctTbl,2,0),""))</f>
        <v>0</v>
      </c>
      <c r="F291" s="39">
        <f>IF($D291="","",IFERROR(VLOOKUP($D291,AcctTbl,3,0),""))</f>
        <v>0</v>
      </c>
      <c r="G291" s="39">
        <f>IF(Txn!$B152="","",Txn!$D152)</f>
        <v>0</v>
      </c>
      <c r="H291" s="38">
        <f>IF(Txn!$B152="","",Txn!$E152)</f>
        <v>0</v>
      </c>
      <c r="I291" s="40">
        <f>IF(Txn!$B152="",0,Txn!$O152)</f>
        <v>0</v>
      </c>
      <c r="J291" s="40">
        <f>IF(Txn!$B152="",0,Txn!$P152)</f>
        <v>0</v>
      </c>
      <c r="K291" s="41">
        <f>IF($A291="","",IFERROR(VALUE(MID($A291,6,2)),""))</f>
        <v>0</v>
      </c>
      <c r="L291" s="39">
        <f>IF(Txn!$K152="","",Txn!$K152)</f>
        <v>0</v>
      </c>
      <c r="N291" s="42">
        <f>IF($D291="",0,COUNTIF(BankAccts,$D291))</f>
        <v>0</v>
      </c>
    </row>
    <row r="292" spans="1:14">
      <c r="A292" s="38">
        <f>IF(Txn!$B152="","",Txn!$B152)</f>
        <v>0</v>
      </c>
      <c r="B292" s="38">
        <f>IF(Txn!$B152="","",Txn!$C152)</f>
        <v>0</v>
      </c>
      <c r="C292" s="39">
        <f>IF(Txn!$B152="","","تراکنش بانکی")</f>
        <v>0</v>
      </c>
      <c r="D292" s="38">
        <f>IF(Txn!$B152="","",IF(IF(Txn!$U152="TRF",Txn!$Y152,Txn!$Z152)="","",IF(Txn!$U152="TRF",Txn!$Y152,Txn!$Z152)))</f>
        <v>0</v>
      </c>
      <c r="E292" s="39">
        <f>IF($D292="","",IFERROR(VLOOKUP($D292,AcctTbl,2,0),""))</f>
        <v>0</v>
      </c>
      <c r="F292" s="39">
        <f>IF($D292="","",IFERROR(VLOOKUP($D292,AcctTbl,3,0),""))</f>
        <v>0</v>
      </c>
      <c r="G292" s="39">
        <f>IF(Txn!$B152="","",Txn!$D152)</f>
        <v>0</v>
      </c>
      <c r="H292" s="38">
        <f>IF(Txn!$B152="","",Txn!$E152)</f>
        <v>0</v>
      </c>
      <c r="I292" s="40">
        <f>IF(Txn!$B152="",0,Txn!$Q152)</f>
        <v>0</v>
      </c>
      <c r="J292" s="40">
        <f>IF(Txn!$B152="",0,Txn!$R152)</f>
        <v>0</v>
      </c>
      <c r="K292" s="41">
        <f>IF($A292="","",IFERROR(VALUE(MID($A292,6,2)),""))</f>
        <v>0</v>
      </c>
      <c r="L292" s="39">
        <f>IF(Txn!$K152="","","طرف مقابل — "&amp;Txn!$K152)</f>
        <v>0</v>
      </c>
      <c r="N292" s="42">
        <f>IF($D292="",0,COUNTIF(BankAccts,$D292))</f>
        <v>0</v>
      </c>
    </row>
  </sheetData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2"/>
  <sheetViews>
    <sheetView showGridLines="0" rightToLeft="1" zoomScale="85" zoomScaleNormal="85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defaultRowHeight="15"/>
  <cols>
    <col min="1" max="1" width="26.7109375" customWidth="1"/>
    <col min="2" max="5" width="15.7109375" customWidth="1"/>
    <col min="6" max="6" width="9.7109375" customWidth="1"/>
    <col min="7" max="7" width="11.7109375" customWidth="1"/>
    <col min="8" max="8" width="30.7109375" customWidth="1"/>
  </cols>
  <sheetData>
    <row r="1" spans="1:8" ht="6" customHeight="1">
      <c r="A1" s="1"/>
      <c r="B1" s="1"/>
      <c r="C1" s="1"/>
      <c r="D1" s="1"/>
      <c r="E1" s="1"/>
      <c r="F1" s="1"/>
      <c r="G1" s="1"/>
      <c r="H1" s="1"/>
    </row>
    <row r="2" spans="1:8" ht="18" customHeight="1">
      <c r="A2" s="2" t="s">
        <v>0</v>
      </c>
      <c r="B2" s="2"/>
      <c r="C2" s="2"/>
      <c r="D2" s="2"/>
      <c r="E2" s="2"/>
      <c r="F2" s="2"/>
      <c r="G2" s="2"/>
      <c r="H2" s="2"/>
    </row>
    <row r="3" spans="1:8" ht="38.25" customHeight="1">
      <c r="A3" s="3" t="s">
        <v>117</v>
      </c>
      <c r="B3" s="3"/>
      <c r="C3" s="3"/>
      <c r="D3" s="3"/>
      <c r="E3" s="3"/>
      <c r="F3" s="3"/>
      <c r="G3" s="3"/>
      <c r="H3" s="3"/>
    </row>
    <row r="4" spans="1:8" ht="21.75" customHeight="1">
      <c r="A4" s="4" t="s">
        <v>118</v>
      </c>
      <c r="B4" s="4"/>
      <c r="C4" s="4"/>
      <c r="D4" s="4"/>
      <c r="E4" s="4"/>
      <c r="F4" s="4"/>
      <c r="G4" s="4"/>
      <c r="H4" s="4"/>
    </row>
    <row r="5" spans="1:8" ht="3.75" customHeight="1">
      <c r="A5" s="5"/>
      <c r="B5" s="5"/>
      <c r="C5" s="5"/>
      <c r="D5" s="5"/>
      <c r="E5" s="5"/>
      <c r="F5" s="5"/>
      <c r="G5" s="5"/>
      <c r="H5" s="5"/>
    </row>
    <row r="7" spans="1:8" ht="20.25" customHeight="1">
      <c r="A7" s="6" t="s">
        <v>119</v>
      </c>
      <c r="B7" s="6"/>
      <c r="C7" s="6" t="s">
        <v>37</v>
      </c>
      <c r="D7" s="6"/>
      <c r="E7" s="6" t="s">
        <v>38</v>
      </c>
      <c r="F7" s="6"/>
      <c r="G7" s="6" t="s">
        <v>120</v>
      </c>
      <c r="H7" s="6"/>
    </row>
    <row r="8" spans="1:8" ht="33.75" customHeight="1">
      <c r="A8" s="7">
        <f>SUM($F$12:$F$21)</f>
        <v>0</v>
      </c>
      <c r="B8" s="7"/>
      <c r="C8" s="8">
        <f>SUM($C$12:$C$21)</f>
        <v>0</v>
      </c>
      <c r="D8" s="8"/>
      <c r="E8" s="9">
        <f>SUM($D$12:$D$21)</f>
        <v>0</v>
      </c>
      <c r="F8" s="9"/>
      <c r="G8" s="23">
        <f>$C$22-$D$22</f>
        <v>0</v>
      </c>
      <c r="H8" s="23"/>
    </row>
    <row r="10" spans="1:8" ht="26.25" customHeight="1">
      <c r="A10" s="11" t="s">
        <v>121</v>
      </c>
      <c r="B10" s="11"/>
      <c r="C10" s="11"/>
      <c r="D10" s="11"/>
      <c r="E10" s="11"/>
      <c r="F10" s="11"/>
      <c r="G10" s="12" t="s">
        <v>8</v>
      </c>
      <c r="H10" s="12"/>
    </row>
    <row r="11" spans="1:8">
      <c r="A11" s="43" t="s">
        <v>111</v>
      </c>
      <c r="B11" s="43" t="s">
        <v>122</v>
      </c>
      <c r="C11" s="43" t="s">
        <v>4</v>
      </c>
      <c r="D11" s="43" t="s">
        <v>5</v>
      </c>
      <c r="E11" s="43" t="s">
        <v>123</v>
      </c>
      <c r="F11" s="43" t="s">
        <v>124</v>
      </c>
      <c r="G11" s="43" t="s">
        <v>125</v>
      </c>
      <c r="H11" s="43" t="s">
        <v>126</v>
      </c>
    </row>
    <row r="12" spans="1:8" ht="21.75" customHeight="1">
      <c r="A12" s="44">
        <f>INDEX(BankTbl,1,2)</f>
        <v>0</v>
      </c>
      <c r="B12" s="45">
        <f>INDEX(BankTbl,1,3)</f>
        <v>0</v>
      </c>
      <c r="C12" s="45">
        <f>SUMIFS(Post!$I$13:$I$292,Post!$D$13:$D$292,$G12)</f>
        <v>0</v>
      </c>
      <c r="D12" s="45">
        <f>SUMIFS(Post!$J$13:$J$292,Post!$D$13:$D$292,$G12)</f>
        <v>0</v>
      </c>
      <c r="E12" s="46">
        <f>$B12+$C12-$D12</f>
        <v>0</v>
      </c>
      <c r="F12" s="47">
        <f>IFERROR($E12/SUM($E$12:$E$21),0)</f>
        <v>0</v>
      </c>
      <c r="G12" s="48">
        <f>INDEX(BankTbl,1,4)</f>
        <v>0</v>
      </c>
      <c r="H12" s="49">
        <f>INDEX(BankTbl,1,6)</f>
        <v>0</v>
      </c>
    </row>
    <row r="13" spans="1:8" ht="21.75" customHeight="1">
      <c r="A13" s="44">
        <f>INDEX(BankTbl,2,2)</f>
        <v>0</v>
      </c>
      <c r="B13" s="45">
        <f>INDEX(BankTbl,2,3)</f>
        <v>0</v>
      </c>
      <c r="C13" s="45">
        <f>SUMIFS(Post!$I$13:$I$292,Post!$D$13:$D$292,$G13)</f>
        <v>0</v>
      </c>
      <c r="D13" s="45">
        <f>SUMIFS(Post!$J$13:$J$292,Post!$D$13:$D$292,$G13)</f>
        <v>0</v>
      </c>
      <c r="E13" s="46">
        <f>$B13+$C13-$D13</f>
        <v>0</v>
      </c>
      <c r="F13" s="47">
        <f>IFERROR($E13/SUM($E$12:$E$21),0)</f>
        <v>0</v>
      </c>
      <c r="G13" s="48">
        <f>INDEX(BankTbl,2,4)</f>
        <v>0</v>
      </c>
      <c r="H13" s="49">
        <f>INDEX(BankTbl,2,6)</f>
        <v>0</v>
      </c>
    </row>
    <row r="14" spans="1:8" ht="21.75" customHeight="1">
      <c r="A14" s="44">
        <f>INDEX(BankTbl,3,2)</f>
        <v>0</v>
      </c>
      <c r="B14" s="45">
        <f>INDEX(BankTbl,3,3)</f>
        <v>0</v>
      </c>
      <c r="C14" s="45">
        <f>SUMIFS(Post!$I$13:$I$292,Post!$D$13:$D$292,$G14)</f>
        <v>0</v>
      </c>
      <c r="D14" s="45">
        <f>SUMIFS(Post!$J$13:$J$292,Post!$D$13:$D$292,$G14)</f>
        <v>0</v>
      </c>
      <c r="E14" s="46">
        <f>$B14+$C14-$D14</f>
        <v>0</v>
      </c>
      <c r="F14" s="47">
        <f>IFERROR($E14/SUM($E$12:$E$21),0)</f>
        <v>0</v>
      </c>
      <c r="G14" s="48">
        <f>INDEX(BankTbl,3,4)</f>
        <v>0</v>
      </c>
      <c r="H14" s="49">
        <f>INDEX(BankTbl,3,6)</f>
        <v>0</v>
      </c>
    </row>
    <row r="15" spans="1:8" ht="21.75" customHeight="1">
      <c r="A15" s="44">
        <f>INDEX(BankTbl,4,2)</f>
        <v>0</v>
      </c>
      <c r="B15" s="45">
        <f>INDEX(BankTbl,4,3)</f>
        <v>0</v>
      </c>
      <c r="C15" s="45">
        <f>SUMIFS(Post!$I$13:$I$292,Post!$D$13:$D$292,$G15)</f>
        <v>0</v>
      </c>
      <c r="D15" s="45">
        <f>SUMIFS(Post!$J$13:$J$292,Post!$D$13:$D$292,$G15)</f>
        <v>0</v>
      </c>
      <c r="E15" s="46">
        <f>$B15+$C15-$D15</f>
        <v>0</v>
      </c>
      <c r="F15" s="47">
        <f>IFERROR($E15/SUM($E$12:$E$21),0)</f>
        <v>0</v>
      </c>
      <c r="G15" s="48">
        <f>INDEX(BankTbl,4,4)</f>
        <v>0</v>
      </c>
      <c r="H15" s="49">
        <f>INDEX(BankTbl,4,6)</f>
        <v>0</v>
      </c>
    </row>
    <row r="16" spans="1:8" ht="21.75" customHeight="1">
      <c r="A16" s="44">
        <f>INDEX(BankTbl,5,2)</f>
        <v>0</v>
      </c>
      <c r="B16" s="45">
        <f>INDEX(BankTbl,5,3)</f>
        <v>0</v>
      </c>
      <c r="C16" s="45">
        <f>SUMIFS(Post!$I$13:$I$292,Post!$D$13:$D$292,$G16)</f>
        <v>0</v>
      </c>
      <c r="D16" s="45">
        <f>SUMIFS(Post!$J$13:$J$292,Post!$D$13:$D$292,$G16)</f>
        <v>0</v>
      </c>
      <c r="E16" s="46">
        <f>$B16+$C16-$D16</f>
        <v>0</v>
      </c>
      <c r="F16" s="47">
        <f>IFERROR($E16/SUM($E$12:$E$21),0)</f>
        <v>0</v>
      </c>
      <c r="G16" s="48">
        <f>INDEX(BankTbl,5,4)</f>
        <v>0</v>
      </c>
      <c r="H16" s="49">
        <f>INDEX(BankTbl,5,6)</f>
        <v>0</v>
      </c>
    </row>
    <row r="17" spans="1:8" ht="21.75" customHeight="1">
      <c r="A17" s="44">
        <f>INDEX(BankTbl,6,2)</f>
        <v>0</v>
      </c>
      <c r="B17" s="45">
        <f>INDEX(BankTbl,6,3)</f>
        <v>0</v>
      </c>
      <c r="C17" s="45">
        <f>SUMIFS(Post!$I$13:$I$292,Post!$D$13:$D$292,$G17)</f>
        <v>0</v>
      </c>
      <c r="D17" s="45">
        <f>SUMIFS(Post!$J$13:$J$292,Post!$D$13:$D$292,$G17)</f>
        <v>0</v>
      </c>
      <c r="E17" s="46">
        <f>$B17+$C17-$D17</f>
        <v>0</v>
      </c>
      <c r="F17" s="47">
        <f>IFERROR($E17/SUM($E$12:$E$21),0)</f>
        <v>0</v>
      </c>
      <c r="G17" s="48">
        <f>INDEX(BankTbl,6,4)</f>
        <v>0</v>
      </c>
      <c r="H17" s="49">
        <f>INDEX(BankTbl,6,6)</f>
        <v>0</v>
      </c>
    </row>
    <row r="18" spans="1:8" ht="21.75" customHeight="1">
      <c r="A18" s="44">
        <f>INDEX(BankTbl,7,2)</f>
        <v>0</v>
      </c>
      <c r="B18" s="45">
        <f>INDEX(BankTbl,7,3)</f>
        <v>0</v>
      </c>
      <c r="C18" s="45">
        <f>SUMIFS(Post!$I$13:$I$292,Post!$D$13:$D$292,$G18)</f>
        <v>0</v>
      </c>
      <c r="D18" s="45">
        <f>SUMIFS(Post!$J$13:$J$292,Post!$D$13:$D$292,$G18)</f>
        <v>0</v>
      </c>
      <c r="E18" s="46">
        <f>$B18+$C18-$D18</f>
        <v>0</v>
      </c>
      <c r="F18" s="47">
        <f>IFERROR($E18/SUM($E$12:$E$21),0)</f>
        <v>0</v>
      </c>
      <c r="G18" s="48">
        <f>INDEX(BankTbl,7,4)</f>
        <v>0</v>
      </c>
      <c r="H18" s="49">
        <f>INDEX(BankTbl,7,6)</f>
        <v>0</v>
      </c>
    </row>
    <row r="19" spans="1:8" ht="21.75" customHeight="1">
      <c r="A19" s="44">
        <f>INDEX(BankTbl,8,2)</f>
        <v>0</v>
      </c>
      <c r="B19" s="45">
        <f>INDEX(BankTbl,8,3)</f>
        <v>0</v>
      </c>
      <c r="C19" s="45">
        <f>SUMIFS(Post!$I$13:$I$292,Post!$D$13:$D$292,$G19)</f>
        <v>0</v>
      </c>
      <c r="D19" s="45">
        <f>SUMIFS(Post!$J$13:$J$292,Post!$D$13:$D$292,$G19)</f>
        <v>0</v>
      </c>
      <c r="E19" s="46">
        <f>$B19+$C19-$D19</f>
        <v>0</v>
      </c>
      <c r="F19" s="47">
        <f>IFERROR($E19/SUM($E$12:$E$21),0)</f>
        <v>0</v>
      </c>
      <c r="G19" s="48">
        <f>INDEX(BankTbl,8,4)</f>
        <v>0</v>
      </c>
      <c r="H19" s="49">
        <f>INDEX(BankTbl,8,6)</f>
        <v>0</v>
      </c>
    </row>
    <row r="20" spans="1:8" ht="21.75" customHeight="1">
      <c r="A20" s="44">
        <f>INDEX(BankTbl,9,2)</f>
        <v>0</v>
      </c>
      <c r="B20" s="45">
        <f>INDEX(BankTbl,9,3)</f>
        <v>0</v>
      </c>
      <c r="C20" s="45">
        <f>SUMIFS(Post!$I$13:$I$292,Post!$D$13:$D$292,$G20)</f>
        <v>0</v>
      </c>
      <c r="D20" s="45">
        <f>SUMIFS(Post!$J$13:$J$292,Post!$D$13:$D$292,$G20)</f>
        <v>0</v>
      </c>
      <c r="E20" s="46">
        <f>$B20+$C20-$D20</f>
        <v>0</v>
      </c>
      <c r="F20" s="47">
        <f>IFERROR($E20/SUM($E$12:$E$21),0)</f>
        <v>0</v>
      </c>
      <c r="G20" s="48">
        <f>INDEX(BankTbl,9,4)</f>
        <v>0</v>
      </c>
      <c r="H20" s="49">
        <f>INDEX(BankTbl,9,6)</f>
        <v>0</v>
      </c>
    </row>
    <row r="21" spans="1:8" ht="21.75" customHeight="1">
      <c r="A21" s="44">
        <f>INDEX(BankTbl,10,2)</f>
        <v>0</v>
      </c>
      <c r="B21" s="45">
        <f>INDEX(BankTbl,10,3)</f>
        <v>0</v>
      </c>
      <c r="C21" s="45">
        <f>SUMIFS(Post!$I$13:$I$292,Post!$D$13:$D$292,$G21)</f>
        <v>0</v>
      </c>
      <c r="D21" s="45">
        <f>SUMIFS(Post!$J$13:$J$292,Post!$D$13:$D$292,$G21)</f>
        <v>0</v>
      </c>
      <c r="E21" s="46">
        <f>$B21+$C21-$D21</f>
        <v>0</v>
      </c>
      <c r="F21" s="47">
        <f>IFERROR($E21/SUM($E$12:$E$21),0)</f>
        <v>0</v>
      </c>
      <c r="G21" s="48">
        <f>INDEX(BankTbl,10,4)</f>
        <v>0</v>
      </c>
      <c r="H21" s="49">
        <f>INDEX(BankTbl,10,6)</f>
        <v>0</v>
      </c>
    </row>
    <row r="22" spans="1:8" ht="24" customHeight="1">
      <c r="A22" s="50" t="s">
        <v>127</v>
      </c>
      <c r="B22" s="51">
        <f>SUM(B12:B21)</f>
        <v>0</v>
      </c>
      <c r="C22" s="51">
        <f>SUM(C12:C21)</f>
        <v>0</v>
      </c>
      <c r="D22" s="51">
        <f>SUM(D12:D21)</f>
        <v>0</v>
      </c>
      <c r="E22" s="51">
        <f>SUM(E12:E21)</f>
        <v>0</v>
      </c>
      <c r="F22" s="52">
        <f>IFERROR(SUM($F$12:$F$21),0)</f>
        <v>0</v>
      </c>
    </row>
  </sheetData>
  <mergeCells count="13">
    <mergeCell ref="A2:H2"/>
    <mergeCell ref="A3:H3"/>
    <mergeCell ref="A4:H4"/>
    <mergeCell ref="A7:B7"/>
    <mergeCell ref="A8:B8"/>
    <mergeCell ref="C7:D7"/>
    <mergeCell ref="C8:D8"/>
    <mergeCell ref="E7:F7"/>
    <mergeCell ref="E8:F8"/>
    <mergeCell ref="G7:H7"/>
    <mergeCell ref="G8:H8"/>
    <mergeCell ref="A10:F10"/>
    <mergeCell ref="G10:H10"/>
  </mergeCells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5"/>
  <sheetViews>
    <sheetView showGridLines="0" rightToLeft="1" zoomScale="85" zoomScaleNormal="85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/>
    </sheetView>
  </sheetViews>
  <sheetFormatPr defaultRowHeight="15"/>
  <cols>
    <col min="1" max="2" width="9.7109375" customWidth="1"/>
    <col min="3" max="6" width="16.7109375" customWidth="1"/>
    <col min="7" max="7" width="7.7109375" customWidth="1"/>
  </cols>
  <sheetData>
    <row r="1" spans="1:8" ht="6" customHeight="1">
      <c r="A1" s="1"/>
      <c r="B1" s="1"/>
      <c r="C1" s="1"/>
      <c r="D1" s="1"/>
      <c r="E1" s="1"/>
      <c r="F1" s="1"/>
      <c r="G1" s="1"/>
      <c r="H1" s="1"/>
    </row>
    <row r="2" spans="1:8" ht="18" customHeight="1">
      <c r="A2" s="2" t="s">
        <v>0</v>
      </c>
      <c r="B2" s="2"/>
      <c r="C2" s="2"/>
      <c r="D2" s="2"/>
      <c r="E2" s="2"/>
      <c r="F2" s="2"/>
      <c r="G2" s="2"/>
      <c r="H2" s="2"/>
    </row>
    <row r="3" spans="1:8" ht="38.25" customHeight="1">
      <c r="A3" s="3" t="s">
        <v>128</v>
      </c>
      <c r="B3" s="3"/>
      <c r="C3" s="3"/>
      <c r="D3" s="3"/>
      <c r="E3" s="3"/>
      <c r="F3" s="3"/>
      <c r="G3" s="3"/>
      <c r="H3" s="3"/>
    </row>
    <row r="4" spans="1:8" ht="21.75" customHeight="1">
      <c r="A4" s="4" t="s">
        <v>129</v>
      </c>
      <c r="B4" s="4"/>
      <c r="C4" s="4"/>
      <c r="D4" s="4"/>
      <c r="E4" s="4"/>
      <c r="F4" s="4"/>
      <c r="G4" s="4"/>
      <c r="H4" s="4"/>
    </row>
    <row r="5" spans="1:8" ht="3.75" customHeight="1">
      <c r="A5" s="5"/>
      <c r="B5" s="5"/>
      <c r="C5" s="5"/>
      <c r="D5" s="5"/>
      <c r="E5" s="5"/>
      <c r="F5" s="5"/>
      <c r="G5" s="5"/>
      <c r="H5" s="5"/>
    </row>
    <row r="7" spans="1:8" ht="20.25" customHeight="1">
      <c r="A7" s="6" t="s">
        <v>130</v>
      </c>
      <c r="B7" s="6"/>
      <c r="C7" s="6" t="s">
        <v>131</v>
      </c>
      <c r="D7" s="6"/>
      <c r="E7" s="6" t="s">
        <v>132</v>
      </c>
      <c r="F7" s="6"/>
      <c r="G7" s="6" t="s">
        <v>133</v>
      </c>
      <c r="H7" s="6"/>
    </row>
    <row r="8" spans="1:8" ht="33.75" customHeight="1">
      <c r="A8" s="53">
        <f>IFERROR(INDEX($A$13:$A$24,MATCH(MAX($E$13:$E$24),$E$13:$E$24,0)),"—")</f>
        <v>0</v>
      </c>
      <c r="B8" s="53"/>
      <c r="C8" s="8">
        <f>MAX($C$13:$C$24)</f>
        <v>0</v>
      </c>
      <c r="D8" s="8"/>
      <c r="E8" s="9">
        <f>MAX($D$13:$D$24)</f>
        <v>0</v>
      </c>
      <c r="F8" s="9"/>
      <c r="G8" s="23">
        <f>IFERROR(AVERAGE($E$13:$E$24),0)</f>
        <v>0</v>
      </c>
      <c r="H8" s="23"/>
    </row>
    <row r="11" spans="1:8">
      <c r="A11" s="54" t="s">
        <v>114</v>
      </c>
      <c r="B11" s="54" t="s">
        <v>135</v>
      </c>
      <c r="C11" s="54" t="s">
        <v>4</v>
      </c>
      <c r="D11" s="54" t="s">
        <v>5</v>
      </c>
      <c r="E11" s="54" t="s">
        <v>139</v>
      </c>
      <c r="F11" s="54" t="s">
        <v>141</v>
      </c>
      <c r="G11" s="54" t="s">
        <v>143</v>
      </c>
    </row>
    <row r="12" spans="1:8">
      <c r="A12" s="55" t="s">
        <v>134</v>
      </c>
      <c r="B12" s="55" t="s">
        <v>136</v>
      </c>
      <c r="C12" s="55" t="s">
        <v>137</v>
      </c>
      <c r="D12" s="55" t="s">
        <v>138</v>
      </c>
      <c r="E12" s="55" t="s">
        <v>140</v>
      </c>
      <c r="F12" s="55" t="s">
        <v>142</v>
      </c>
      <c r="G12" s="55" t="s">
        <v>144</v>
      </c>
    </row>
    <row r="13" spans="1:8">
      <c r="A13" s="56">
        <v>1</v>
      </c>
      <c r="B13" s="45">
        <f>COUNTIFS(Post!$K$13:$K$292,$A13,Post!$N$13:$N$292,1)</f>
        <v>0</v>
      </c>
      <c r="C13" s="57">
        <f>SUMIFS(Post!$I$13:$I$292,Post!$K$13:$K$292,$A13,Post!$N$13:$N$292,1)</f>
        <v>0</v>
      </c>
      <c r="D13" s="58">
        <f>SUMIFS(Post!$J$13:$J$292,Post!$K$13:$K$292,$A13,Post!$N$13:$N$292,1)</f>
        <v>0</v>
      </c>
      <c r="E13" s="59">
        <f>$C13-$D13</f>
        <v>0</v>
      </c>
      <c r="F13" s="60">
        <f>IF($A13="","",SUM($E$13:$E13))</f>
        <v>0</v>
      </c>
      <c r="G13" s="61">
        <f>REPT("█",MIN(18,MAX(0,ROUND($C13/MAX($C$13:$C$24)*18,0))))</f>
        <v>0</v>
      </c>
    </row>
    <row r="14" spans="1:8">
      <c r="A14" s="56">
        <v>2</v>
      </c>
      <c r="B14" s="45">
        <f>COUNTIFS(Post!$K$13:$K$292,$A14,Post!$N$13:$N$292,1)</f>
        <v>0</v>
      </c>
      <c r="C14" s="57">
        <f>SUMIFS(Post!$I$13:$I$292,Post!$K$13:$K$292,$A14,Post!$N$13:$N$292,1)</f>
        <v>0</v>
      </c>
      <c r="D14" s="58">
        <f>SUMIFS(Post!$J$13:$J$292,Post!$K$13:$K$292,$A14,Post!$N$13:$N$292,1)</f>
        <v>0</v>
      </c>
      <c r="E14" s="59">
        <f>$C14-$D14</f>
        <v>0</v>
      </c>
      <c r="F14" s="60">
        <f>IF($A14="","",SUM($E$13:$E14))</f>
        <v>0</v>
      </c>
      <c r="G14" s="61">
        <f>REPT("█",MIN(18,MAX(0,ROUND($C14/MAX($C$13:$C$24)*18,0))))</f>
        <v>0</v>
      </c>
    </row>
    <row r="15" spans="1:8">
      <c r="A15" s="56">
        <v>3</v>
      </c>
      <c r="B15" s="45">
        <f>COUNTIFS(Post!$K$13:$K$292,$A15,Post!$N$13:$N$292,1)</f>
        <v>0</v>
      </c>
      <c r="C15" s="57">
        <f>SUMIFS(Post!$I$13:$I$292,Post!$K$13:$K$292,$A15,Post!$N$13:$N$292,1)</f>
        <v>0</v>
      </c>
      <c r="D15" s="58">
        <f>SUMIFS(Post!$J$13:$J$292,Post!$K$13:$K$292,$A15,Post!$N$13:$N$292,1)</f>
        <v>0</v>
      </c>
      <c r="E15" s="59">
        <f>$C15-$D15</f>
        <v>0</v>
      </c>
      <c r="F15" s="60">
        <f>IF($A15="","",SUM($E$13:$E15))</f>
        <v>0</v>
      </c>
      <c r="G15" s="61">
        <f>REPT("█",MIN(18,MAX(0,ROUND($C15/MAX($C$13:$C$24)*18,0))))</f>
        <v>0</v>
      </c>
    </row>
    <row r="16" spans="1:8">
      <c r="A16" s="56">
        <v>4</v>
      </c>
      <c r="B16" s="45">
        <f>COUNTIFS(Post!$K$13:$K$292,$A16,Post!$N$13:$N$292,1)</f>
        <v>0</v>
      </c>
      <c r="C16" s="57">
        <f>SUMIFS(Post!$I$13:$I$292,Post!$K$13:$K$292,$A16,Post!$N$13:$N$292,1)</f>
        <v>0</v>
      </c>
      <c r="D16" s="58">
        <f>SUMIFS(Post!$J$13:$J$292,Post!$K$13:$K$292,$A16,Post!$N$13:$N$292,1)</f>
        <v>0</v>
      </c>
      <c r="E16" s="59">
        <f>$C16-$D16</f>
        <v>0</v>
      </c>
      <c r="F16" s="60">
        <f>IF($A16="","",SUM($E$13:$E16))</f>
        <v>0</v>
      </c>
      <c r="G16" s="61">
        <f>REPT("█",MIN(18,MAX(0,ROUND($C16/MAX($C$13:$C$24)*18,0))))</f>
        <v>0</v>
      </c>
    </row>
    <row r="17" spans="1:7">
      <c r="A17" s="56">
        <v>5</v>
      </c>
      <c r="B17" s="45">
        <f>COUNTIFS(Post!$K$13:$K$292,$A17,Post!$N$13:$N$292,1)</f>
        <v>0</v>
      </c>
      <c r="C17" s="57">
        <f>SUMIFS(Post!$I$13:$I$292,Post!$K$13:$K$292,$A17,Post!$N$13:$N$292,1)</f>
        <v>0</v>
      </c>
      <c r="D17" s="58">
        <f>SUMIFS(Post!$J$13:$J$292,Post!$K$13:$K$292,$A17,Post!$N$13:$N$292,1)</f>
        <v>0</v>
      </c>
      <c r="E17" s="59">
        <f>$C17-$D17</f>
        <v>0</v>
      </c>
      <c r="F17" s="60">
        <f>IF($A17="","",SUM($E$13:$E17))</f>
        <v>0</v>
      </c>
      <c r="G17" s="61">
        <f>REPT("█",MIN(18,MAX(0,ROUND($C17/MAX($C$13:$C$24)*18,0))))</f>
        <v>0</v>
      </c>
    </row>
    <row r="18" spans="1:7">
      <c r="A18" s="56">
        <v>6</v>
      </c>
      <c r="B18" s="45">
        <f>COUNTIFS(Post!$K$13:$K$292,$A18,Post!$N$13:$N$292,1)</f>
        <v>0</v>
      </c>
      <c r="C18" s="57">
        <f>SUMIFS(Post!$I$13:$I$292,Post!$K$13:$K$292,$A18,Post!$N$13:$N$292,1)</f>
        <v>0</v>
      </c>
      <c r="D18" s="58">
        <f>SUMIFS(Post!$J$13:$J$292,Post!$K$13:$K$292,$A18,Post!$N$13:$N$292,1)</f>
        <v>0</v>
      </c>
      <c r="E18" s="59">
        <f>$C18-$D18</f>
        <v>0</v>
      </c>
      <c r="F18" s="60">
        <f>IF($A18="","",SUM($E$13:$E18))</f>
        <v>0</v>
      </c>
      <c r="G18" s="61">
        <f>REPT("█",MIN(18,MAX(0,ROUND($C18/MAX($C$13:$C$24)*18,0))))</f>
        <v>0</v>
      </c>
    </row>
    <row r="19" spans="1:7">
      <c r="A19" s="56">
        <v>7</v>
      </c>
      <c r="B19" s="45">
        <f>COUNTIFS(Post!$K$13:$K$292,$A19,Post!$N$13:$N$292,1)</f>
        <v>0</v>
      </c>
      <c r="C19" s="57">
        <f>SUMIFS(Post!$I$13:$I$292,Post!$K$13:$K$292,$A19,Post!$N$13:$N$292,1)</f>
        <v>0</v>
      </c>
      <c r="D19" s="58">
        <f>SUMIFS(Post!$J$13:$J$292,Post!$K$13:$K$292,$A19,Post!$N$13:$N$292,1)</f>
        <v>0</v>
      </c>
      <c r="E19" s="59">
        <f>$C19-$D19</f>
        <v>0</v>
      </c>
      <c r="F19" s="60">
        <f>IF($A19="","",SUM($E$13:$E19))</f>
        <v>0</v>
      </c>
      <c r="G19" s="61">
        <f>REPT("█",MIN(18,MAX(0,ROUND($C19/MAX($C$13:$C$24)*18,0))))</f>
        <v>0</v>
      </c>
    </row>
    <row r="20" spans="1:7">
      <c r="A20" s="56">
        <v>8</v>
      </c>
      <c r="B20" s="45">
        <f>COUNTIFS(Post!$K$13:$K$292,$A20,Post!$N$13:$N$292,1)</f>
        <v>0</v>
      </c>
      <c r="C20" s="57">
        <f>SUMIFS(Post!$I$13:$I$292,Post!$K$13:$K$292,$A20,Post!$N$13:$N$292,1)</f>
        <v>0</v>
      </c>
      <c r="D20" s="58">
        <f>SUMIFS(Post!$J$13:$J$292,Post!$K$13:$K$292,$A20,Post!$N$13:$N$292,1)</f>
        <v>0</v>
      </c>
      <c r="E20" s="59">
        <f>$C20-$D20</f>
        <v>0</v>
      </c>
      <c r="F20" s="60">
        <f>IF($A20="","",SUM($E$13:$E20))</f>
        <v>0</v>
      </c>
      <c r="G20" s="61">
        <f>REPT("█",MIN(18,MAX(0,ROUND($C20/MAX($C$13:$C$24)*18,0))))</f>
        <v>0</v>
      </c>
    </row>
    <row r="21" spans="1:7">
      <c r="A21" s="56">
        <v>9</v>
      </c>
      <c r="B21" s="45">
        <f>COUNTIFS(Post!$K$13:$K$292,$A21,Post!$N$13:$N$292,1)</f>
        <v>0</v>
      </c>
      <c r="C21" s="57">
        <f>SUMIFS(Post!$I$13:$I$292,Post!$K$13:$K$292,$A21,Post!$N$13:$N$292,1)</f>
        <v>0</v>
      </c>
      <c r="D21" s="58">
        <f>SUMIFS(Post!$J$13:$J$292,Post!$K$13:$K$292,$A21,Post!$N$13:$N$292,1)</f>
        <v>0</v>
      </c>
      <c r="E21" s="59">
        <f>$C21-$D21</f>
        <v>0</v>
      </c>
      <c r="F21" s="60">
        <f>IF($A21="","",SUM($E$13:$E21))</f>
        <v>0</v>
      </c>
      <c r="G21" s="61">
        <f>REPT("█",MIN(18,MAX(0,ROUND($C21/MAX($C$13:$C$24)*18,0))))</f>
        <v>0</v>
      </c>
    </row>
    <row r="22" spans="1:7">
      <c r="A22" s="56">
        <v>10</v>
      </c>
      <c r="B22" s="45">
        <f>COUNTIFS(Post!$K$13:$K$292,$A22,Post!$N$13:$N$292,1)</f>
        <v>0</v>
      </c>
      <c r="C22" s="57">
        <f>SUMIFS(Post!$I$13:$I$292,Post!$K$13:$K$292,$A22,Post!$N$13:$N$292,1)</f>
        <v>0</v>
      </c>
      <c r="D22" s="58">
        <f>SUMIFS(Post!$J$13:$J$292,Post!$K$13:$K$292,$A22,Post!$N$13:$N$292,1)</f>
        <v>0</v>
      </c>
      <c r="E22" s="59">
        <f>$C22-$D22</f>
        <v>0</v>
      </c>
      <c r="F22" s="60">
        <f>IF($A22="","",SUM($E$13:$E22))</f>
        <v>0</v>
      </c>
      <c r="G22" s="61">
        <f>REPT("█",MIN(18,MAX(0,ROUND($C22/MAX($C$13:$C$24)*18,0))))</f>
        <v>0</v>
      </c>
    </row>
    <row r="23" spans="1:7">
      <c r="A23" s="56">
        <v>11</v>
      </c>
      <c r="B23" s="45">
        <f>COUNTIFS(Post!$K$13:$K$292,$A23,Post!$N$13:$N$292,1)</f>
        <v>0</v>
      </c>
      <c r="C23" s="57">
        <f>SUMIFS(Post!$I$13:$I$292,Post!$K$13:$K$292,$A23,Post!$N$13:$N$292,1)</f>
        <v>0</v>
      </c>
      <c r="D23" s="58">
        <f>SUMIFS(Post!$J$13:$J$292,Post!$K$13:$K$292,$A23,Post!$N$13:$N$292,1)</f>
        <v>0</v>
      </c>
      <c r="E23" s="59">
        <f>$C23-$D23</f>
        <v>0</v>
      </c>
      <c r="F23" s="60">
        <f>IF($A23="","",SUM($E$13:$E23))</f>
        <v>0</v>
      </c>
      <c r="G23" s="61">
        <f>REPT("█",MIN(18,MAX(0,ROUND($C23/MAX($C$13:$C$24)*18,0))))</f>
        <v>0</v>
      </c>
    </row>
    <row r="24" spans="1:7">
      <c r="A24" s="56">
        <v>12</v>
      </c>
      <c r="B24" s="45">
        <f>COUNTIFS(Post!$K$13:$K$292,$A24,Post!$N$13:$N$292,1)</f>
        <v>0</v>
      </c>
      <c r="C24" s="57">
        <f>SUMIFS(Post!$I$13:$I$292,Post!$K$13:$K$292,$A24,Post!$N$13:$N$292,1)</f>
        <v>0</v>
      </c>
      <c r="D24" s="58">
        <f>SUMIFS(Post!$J$13:$J$292,Post!$K$13:$K$292,$A24,Post!$N$13:$N$292,1)</f>
        <v>0</v>
      </c>
      <c r="E24" s="59">
        <f>$C24-$D24</f>
        <v>0</v>
      </c>
      <c r="F24" s="60">
        <f>IF($A24="","",SUM($E$13:$E24))</f>
        <v>0</v>
      </c>
      <c r="G24" s="61">
        <f>REPT("█",MIN(18,MAX(0,ROUND($C24/MAX($C$13:$C$24)*18,0))))</f>
        <v>0</v>
      </c>
    </row>
    <row r="25" spans="1:7">
      <c r="A25" s="50" t="s">
        <v>145</v>
      </c>
      <c r="B25" s="51">
        <f>SUM(B13:B24)</f>
        <v>0</v>
      </c>
      <c r="C25" s="51">
        <f>SUM(C13:C24)</f>
        <v>0</v>
      </c>
      <c r="D25" s="51">
        <f>SUM(D13:D24)</f>
        <v>0</v>
      </c>
      <c r="E25" s="51">
        <f>SUM(E13:E24)</f>
        <v>0</v>
      </c>
    </row>
  </sheetData>
  <mergeCells count="11">
    <mergeCell ref="A2:H2"/>
    <mergeCell ref="A3:H3"/>
    <mergeCell ref="A4:H4"/>
    <mergeCell ref="A7:B7"/>
    <mergeCell ref="A8:B8"/>
    <mergeCell ref="C7:D7"/>
    <mergeCell ref="C8:D8"/>
    <mergeCell ref="E7:F7"/>
    <mergeCell ref="E8:F8"/>
    <mergeCell ref="G7:H7"/>
    <mergeCell ref="G8:H8"/>
  </mergeCells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8"/>
  <sheetViews>
    <sheetView showGridLines="0" rightToLeft="1" zoomScale="85" zoomScaleNormal="85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defaultRowHeight="15"/>
  <cols>
    <col min="1" max="1" width="26.7109375" customWidth="1"/>
    <col min="2" max="2" width="9.7109375" customWidth="1"/>
    <col min="3" max="5" width="15.7109375" customWidth="1"/>
    <col min="6" max="6" width="10.7109375" customWidth="1"/>
    <col min="7" max="7" width="8.7109375" customWidth="1"/>
  </cols>
  <sheetData>
    <row r="1" spans="1:7" ht="6" customHeight="1">
      <c r="A1" s="1"/>
      <c r="B1" s="1"/>
      <c r="C1" s="1"/>
      <c r="D1" s="1"/>
      <c r="E1" s="1"/>
      <c r="F1" s="1"/>
      <c r="G1" s="1"/>
    </row>
    <row r="2" spans="1:7" ht="18" customHeight="1">
      <c r="A2" s="2" t="s">
        <v>0</v>
      </c>
      <c r="B2" s="2"/>
      <c r="C2" s="2"/>
      <c r="D2" s="2"/>
      <c r="E2" s="2"/>
      <c r="F2" s="2"/>
      <c r="G2" s="2"/>
    </row>
    <row r="3" spans="1:7" ht="38.25" customHeight="1">
      <c r="A3" s="3" t="s">
        <v>146</v>
      </c>
      <c r="B3" s="3"/>
      <c r="C3" s="3"/>
      <c r="D3" s="3"/>
      <c r="E3" s="3"/>
      <c r="F3" s="3"/>
      <c r="G3" s="3"/>
    </row>
    <row r="4" spans="1:7" ht="21.75" customHeight="1">
      <c r="A4" s="4" t="s">
        <v>147</v>
      </c>
      <c r="B4" s="4"/>
      <c r="C4" s="4"/>
      <c r="D4" s="4"/>
      <c r="E4" s="4"/>
      <c r="F4" s="4"/>
      <c r="G4" s="4"/>
    </row>
    <row r="5" spans="1:7" ht="3.75" customHeight="1">
      <c r="A5" s="5"/>
      <c r="B5" s="5"/>
      <c r="C5" s="5"/>
      <c r="D5" s="5"/>
      <c r="E5" s="5"/>
      <c r="F5" s="5"/>
      <c r="G5" s="5"/>
    </row>
    <row r="7" spans="1:7" ht="26.25" customHeight="1">
      <c r="A7" s="11" t="s">
        <v>148</v>
      </c>
      <c r="B7" s="11"/>
      <c r="C7" s="11"/>
      <c r="D7" s="11"/>
      <c r="E7" s="11"/>
      <c r="F7" s="12" t="s">
        <v>8</v>
      </c>
      <c r="G7" s="12"/>
    </row>
    <row r="8" spans="1:7">
      <c r="A8" s="54" t="s">
        <v>149</v>
      </c>
      <c r="B8" s="54" t="s">
        <v>135</v>
      </c>
      <c r="C8" s="54" t="s">
        <v>4</v>
      </c>
      <c r="D8" s="54" t="s">
        <v>5</v>
      </c>
      <c r="E8" s="54" t="s">
        <v>139</v>
      </c>
      <c r="F8" s="54" t="s">
        <v>153</v>
      </c>
      <c r="G8" s="54" t="s">
        <v>143</v>
      </c>
    </row>
    <row r="9" spans="1:7">
      <c r="A9" s="55" t="s">
        <v>150</v>
      </c>
      <c r="B9" s="55" t="s">
        <v>136</v>
      </c>
      <c r="C9" s="55" t="s">
        <v>151</v>
      </c>
      <c r="D9" s="55" t="s">
        <v>152</v>
      </c>
      <c r="E9" s="55" t="s">
        <v>140</v>
      </c>
      <c r="F9" s="55" t="s">
        <v>154</v>
      </c>
      <c r="G9" s="55" t="s">
        <v>144</v>
      </c>
    </row>
    <row r="10" spans="1:7">
      <c r="A10" s="62" t="s">
        <v>155</v>
      </c>
      <c r="B10" s="45">
        <f>COUNTIF(Txn!$D$13:$D$152,$A10)</f>
        <v>0</v>
      </c>
      <c r="C10" s="57">
        <f>SUMIFS(Txn!$M$13:$M$152,Txn!$D$13:$D$152,$A10,Txn!$U$13:$U$152,"IN")</f>
        <v>0</v>
      </c>
      <c r="D10" s="58">
        <f>SUMIFS(Txn!$M$13:$M$152,Txn!$D$13:$D$152,$A10,Txn!$U$13:$U$152,"OUT")</f>
        <v>0</v>
      </c>
      <c r="E10" s="59">
        <f>$C10-$D10</f>
        <v>0</v>
      </c>
      <c r="F10" s="63">
        <f>IFERROR($D10/SUM($D$10:$D$25),0)</f>
        <v>0</v>
      </c>
      <c r="G10" s="64">
        <f>REPT("█",MIN(16,ROUND(MAX($C10,$D10)/MAX(1,MAX($C$10:$C$25),MAX($D$10:$D$25))*16,0)))</f>
        <v>0</v>
      </c>
    </row>
    <row r="11" spans="1:7">
      <c r="A11" s="62" t="s">
        <v>156</v>
      </c>
      <c r="B11" s="45">
        <f>COUNTIF(Txn!$D$13:$D$152,$A11)</f>
        <v>0</v>
      </c>
      <c r="C11" s="57">
        <f>SUMIFS(Txn!$M$13:$M$152,Txn!$D$13:$D$152,$A11,Txn!$U$13:$U$152,"IN")</f>
        <v>0</v>
      </c>
      <c r="D11" s="58">
        <f>SUMIFS(Txn!$M$13:$M$152,Txn!$D$13:$D$152,$A11,Txn!$U$13:$U$152,"OUT")</f>
        <v>0</v>
      </c>
      <c r="E11" s="59">
        <f>$C11-$D11</f>
        <v>0</v>
      </c>
      <c r="F11" s="63">
        <f>IFERROR($D11/SUM($D$10:$D$25),0)</f>
        <v>0</v>
      </c>
      <c r="G11" s="64">
        <f>REPT("█",MIN(16,ROUND(MAX($C11,$D11)/MAX(1,MAX($C$10:$C$25),MAX($D$10:$D$25))*16,0)))</f>
        <v>0</v>
      </c>
    </row>
    <row r="12" spans="1:7">
      <c r="A12" s="62" t="s">
        <v>157</v>
      </c>
      <c r="B12" s="45">
        <f>COUNTIF(Txn!$D$13:$D$152,$A12)</f>
        <v>0</v>
      </c>
      <c r="C12" s="57">
        <f>SUMIFS(Txn!$M$13:$M$152,Txn!$D$13:$D$152,$A12,Txn!$U$13:$U$152,"IN")</f>
        <v>0</v>
      </c>
      <c r="D12" s="58">
        <f>SUMIFS(Txn!$M$13:$M$152,Txn!$D$13:$D$152,$A12,Txn!$U$13:$U$152,"OUT")</f>
        <v>0</v>
      </c>
      <c r="E12" s="59">
        <f>$C12-$D12</f>
        <v>0</v>
      </c>
      <c r="F12" s="63">
        <f>IFERROR($D12/SUM($D$10:$D$25),0)</f>
        <v>0</v>
      </c>
      <c r="G12" s="64">
        <f>REPT("█",MIN(16,ROUND(MAX($C12,$D12)/MAX(1,MAX($C$10:$C$25),MAX($D$10:$D$25))*16,0)))</f>
        <v>0</v>
      </c>
    </row>
    <row r="13" spans="1:7">
      <c r="A13" s="62" t="s">
        <v>158</v>
      </c>
      <c r="B13" s="45">
        <f>COUNTIF(Txn!$D$13:$D$152,$A13)</f>
        <v>0</v>
      </c>
      <c r="C13" s="57">
        <f>SUMIFS(Txn!$M$13:$M$152,Txn!$D$13:$D$152,$A13,Txn!$U$13:$U$152,"IN")</f>
        <v>0</v>
      </c>
      <c r="D13" s="58">
        <f>SUMIFS(Txn!$M$13:$M$152,Txn!$D$13:$D$152,$A13,Txn!$U$13:$U$152,"OUT")</f>
        <v>0</v>
      </c>
      <c r="E13" s="59">
        <f>$C13-$D13</f>
        <v>0</v>
      </c>
      <c r="F13" s="63">
        <f>IFERROR($D13/SUM($D$10:$D$25),0)</f>
        <v>0</v>
      </c>
      <c r="G13" s="64">
        <f>REPT("█",MIN(16,ROUND(MAX($C13,$D13)/MAX(1,MAX($C$10:$C$25),MAX($D$10:$D$25))*16,0)))</f>
        <v>0</v>
      </c>
    </row>
    <row r="14" spans="1:7">
      <c r="A14" s="62" t="s">
        <v>99</v>
      </c>
      <c r="B14" s="45">
        <f>COUNTIF(Txn!$D$13:$D$152,$A14)</f>
        <v>0</v>
      </c>
      <c r="C14" s="57">
        <f>SUMIFS(Txn!$M$13:$M$152,Txn!$D$13:$D$152,$A14,Txn!$U$13:$U$152,"IN")</f>
        <v>0</v>
      </c>
      <c r="D14" s="58">
        <f>SUMIFS(Txn!$M$13:$M$152,Txn!$D$13:$D$152,$A14,Txn!$U$13:$U$152,"OUT")</f>
        <v>0</v>
      </c>
      <c r="E14" s="59">
        <f>$C14-$D14</f>
        <v>0</v>
      </c>
      <c r="F14" s="63">
        <f>IFERROR($D14/SUM($D$10:$D$25),0)</f>
        <v>0</v>
      </c>
      <c r="G14" s="64">
        <f>REPT("█",MIN(16,ROUND(MAX($C14,$D14)/MAX(1,MAX($C$10:$C$25),MAX($D$10:$D$25))*16,0)))</f>
        <v>0</v>
      </c>
    </row>
    <row r="15" spans="1:7">
      <c r="A15" s="62" t="s">
        <v>159</v>
      </c>
      <c r="B15" s="45">
        <f>COUNTIF(Txn!$D$13:$D$152,$A15)</f>
        <v>0</v>
      </c>
      <c r="C15" s="57">
        <f>SUMIFS(Txn!$M$13:$M$152,Txn!$D$13:$D$152,$A15,Txn!$U$13:$U$152,"IN")</f>
        <v>0</v>
      </c>
      <c r="D15" s="58">
        <f>SUMIFS(Txn!$M$13:$M$152,Txn!$D$13:$D$152,$A15,Txn!$U$13:$U$152,"OUT")</f>
        <v>0</v>
      </c>
      <c r="E15" s="59">
        <f>$C15-$D15</f>
        <v>0</v>
      </c>
      <c r="F15" s="63">
        <f>IFERROR($D15/SUM($D$10:$D$25),0)</f>
        <v>0</v>
      </c>
      <c r="G15" s="64">
        <f>REPT("█",MIN(16,ROUND(MAX($C15,$D15)/MAX(1,MAX($C$10:$C$25),MAX($D$10:$D$25))*16,0)))</f>
        <v>0</v>
      </c>
    </row>
    <row r="16" spans="1:7">
      <c r="A16" s="62" t="s">
        <v>160</v>
      </c>
      <c r="B16" s="45">
        <f>COUNTIF(Txn!$D$13:$D$152,$A16)</f>
        <v>0</v>
      </c>
      <c r="C16" s="57">
        <f>SUMIFS(Txn!$M$13:$M$152,Txn!$D$13:$D$152,$A16,Txn!$U$13:$U$152,"IN")</f>
        <v>0</v>
      </c>
      <c r="D16" s="58">
        <f>SUMIFS(Txn!$M$13:$M$152,Txn!$D$13:$D$152,$A16,Txn!$U$13:$U$152,"OUT")</f>
        <v>0</v>
      </c>
      <c r="E16" s="59">
        <f>$C16-$D16</f>
        <v>0</v>
      </c>
      <c r="F16" s="63">
        <f>IFERROR($D16/SUM($D$10:$D$25),0)</f>
        <v>0</v>
      </c>
      <c r="G16" s="64">
        <f>REPT("█",MIN(16,ROUND(MAX($C16,$D16)/MAX(1,MAX($C$10:$C$25),MAX($D$10:$D$25))*16,0)))</f>
        <v>0</v>
      </c>
    </row>
    <row r="17" spans="1:7">
      <c r="A17" s="62" t="s">
        <v>161</v>
      </c>
      <c r="B17" s="45">
        <f>COUNTIF(Txn!$D$13:$D$152,$A17)</f>
        <v>0</v>
      </c>
      <c r="C17" s="57">
        <f>SUMIFS(Txn!$M$13:$M$152,Txn!$D$13:$D$152,$A17,Txn!$U$13:$U$152,"IN")</f>
        <v>0</v>
      </c>
      <c r="D17" s="58">
        <f>SUMIFS(Txn!$M$13:$M$152,Txn!$D$13:$D$152,$A17,Txn!$U$13:$U$152,"OUT")</f>
        <v>0</v>
      </c>
      <c r="E17" s="59">
        <f>$C17-$D17</f>
        <v>0</v>
      </c>
      <c r="F17" s="63">
        <f>IFERROR($D17/SUM($D$10:$D$25),0)</f>
        <v>0</v>
      </c>
      <c r="G17" s="64">
        <f>REPT("█",MIN(16,ROUND(MAX($C17,$D17)/MAX(1,MAX($C$10:$C$25),MAX($D$10:$D$25))*16,0)))</f>
        <v>0</v>
      </c>
    </row>
    <row r="18" spans="1:7">
      <c r="A18" s="62" t="s">
        <v>65</v>
      </c>
      <c r="B18" s="45">
        <f>COUNTIF(Txn!$D$13:$D$152,$A18)</f>
        <v>0</v>
      </c>
      <c r="C18" s="57">
        <f>SUMIFS(Txn!$M$13:$M$152,Txn!$D$13:$D$152,$A18,Txn!$U$13:$U$152,"IN")</f>
        <v>0</v>
      </c>
      <c r="D18" s="58">
        <f>SUMIFS(Txn!$M$13:$M$152,Txn!$D$13:$D$152,$A18,Txn!$U$13:$U$152,"OUT")</f>
        <v>0</v>
      </c>
      <c r="E18" s="59">
        <f>$C18-$D18</f>
        <v>0</v>
      </c>
      <c r="F18" s="63">
        <f>IFERROR($D18/SUM($D$10:$D$25),0)</f>
        <v>0</v>
      </c>
      <c r="G18" s="64">
        <f>REPT("█",MIN(16,ROUND(MAX($C18,$D18)/MAX(1,MAX($C$10:$C$25),MAX($D$10:$D$25))*16,0)))</f>
        <v>0</v>
      </c>
    </row>
    <row r="19" spans="1:7">
      <c r="A19" s="62" t="s">
        <v>162</v>
      </c>
      <c r="B19" s="45">
        <f>COUNTIF(Txn!$D$13:$D$152,$A19)</f>
        <v>0</v>
      </c>
      <c r="C19" s="57">
        <f>SUMIFS(Txn!$M$13:$M$152,Txn!$D$13:$D$152,$A19,Txn!$U$13:$U$152,"IN")</f>
        <v>0</v>
      </c>
      <c r="D19" s="58">
        <f>SUMIFS(Txn!$M$13:$M$152,Txn!$D$13:$D$152,$A19,Txn!$U$13:$U$152,"OUT")</f>
        <v>0</v>
      </c>
      <c r="E19" s="59">
        <f>$C19-$D19</f>
        <v>0</v>
      </c>
      <c r="F19" s="63">
        <f>IFERROR($D19/SUM($D$10:$D$25),0)</f>
        <v>0</v>
      </c>
      <c r="G19" s="64">
        <f>REPT("█",MIN(16,ROUND(MAX($C19,$D19)/MAX(1,MAX($C$10:$C$25),MAX($D$10:$D$25))*16,0)))</f>
        <v>0</v>
      </c>
    </row>
    <row r="20" spans="1:7">
      <c r="A20" s="62" t="s">
        <v>163</v>
      </c>
      <c r="B20" s="45">
        <f>COUNTIF(Txn!$D$13:$D$152,$A20)</f>
        <v>0</v>
      </c>
      <c r="C20" s="57">
        <f>SUMIFS(Txn!$M$13:$M$152,Txn!$D$13:$D$152,$A20,Txn!$U$13:$U$152,"IN")</f>
        <v>0</v>
      </c>
      <c r="D20" s="58">
        <f>SUMIFS(Txn!$M$13:$M$152,Txn!$D$13:$D$152,$A20,Txn!$U$13:$U$152,"OUT")</f>
        <v>0</v>
      </c>
      <c r="E20" s="59">
        <f>$C20-$D20</f>
        <v>0</v>
      </c>
      <c r="F20" s="63">
        <f>IFERROR($D20/SUM($D$10:$D$25),0)</f>
        <v>0</v>
      </c>
      <c r="G20" s="64">
        <f>REPT("█",MIN(16,ROUND(MAX($C20,$D20)/MAX(1,MAX($C$10:$C$25),MAX($D$10:$D$25))*16,0)))</f>
        <v>0</v>
      </c>
    </row>
    <row r="21" spans="1:7">
      <c r="A21" s="62" t="s">
        <v>164</v>
      </c>
      <c r="B21" s="45">
        <f>COUNTIF(Txn!$D$13:$D$152,$A21)</f>
        <v>0</v>
      </c>
      <c r="C21" s="57">
        <f>SUMIFS(Txn!$M$13:$M$152,Txn!$D$13:$D$152,$A21,Txn!$U$13:$U$152,"IN")</f>
        <v>0</v>
      </c>
      <c r="D21" s="58">
        <f>SUMIFS(Txn!$M$13:$M$152,Txn!$D$13:$D$152,$A21,Txn!$U$13:$U$152,"OUT")</f>
        <v>0</v>
      </c>
      <c r="E21" s="59">
        <f>$C21-$D21</f>
        <v>0</v>
      </c>
      <c r="F21" s="63">
        <f>IFERROR($D21/SUM($D$10:$D$25),0)</f>
        <v>0</v>
      </c>
      <c r="G21" s="64">
        <f>REPT("█",MIN(16,ROUND(MAX($C21,$D21)/MAX(1,MAX($C$10:$C$25),MAX($D$10:$D$25))*16,0)))</f>
        <v>0</v>
      </c>
    </row>
    <row r="22" spans="1:7">
      <c r="A22" s="62" t="s">
        <v>165</v>
      </c>
      <c r="B22" s="45">
        <f>COUNTIF(Txn!$D$13:$D$152,$A22)</f>
        <v>0</v>
      </c>
      <c r="C22" s="57">
        <f>SUMIFS(Txn!$M$13:$M$152,Txn!$D$13:$D$152,$A22,Txn!$U$13:$U$152,"IN")</f>
        <v>0</v>
      </c>
      <c r="D22" s="58">
        <f>SUMIFS(Txn!$M$13:$M$152,Txn!$D$13:$D$152,$A22,Txn!$U$13:$U$152,"OUT")</f>
        <v>0</v>
      </c>
      <c r="E22" s="59">
        <f>$C22-$D22</f>
        <v>0</v>
      </c>
      <c r="F22" s="63">
        <f>IFERROR($D22/SUM($D$10:$D$25),0)</f>
        <v>0</v>
      </c>
      <c r="G22" s="64">
        <f>REPT("█",MIN(16,ROUND(MAX($C22,$D22)/MAX(1,MAX($C$10:$C$25),MAX($D$10:$D$25))*16,0)))</f>
        <v>0</v>
      </c>
    </row>
    <row r="23" spans="1:7">
      <c r="A23" s="62" t="s">
        <v>166</v>
      </c>
      <c r="B23" s="45">
        <f>COUNTIF(Txn!$D$13:$D$152,$A23)</f>
        <v>0</v>
      </c>
      <c r="C23" s="57">
        <f>SUMIFS(Txn!$M$13:$M$152,Txn!$D$13:$D$152,$A23,Txn!$U$13:$U$152,"IN")</f>
        <v>0</v>
      </c>
      <c r="D23" s="58">
        <f>SUMIFS(Txn!$M$13:$M$152,Txn!$D$13:$D$152,$A23,Txn!$U$13:$U$152,"OUT")</f>
        <v>0</v>
      </c>
      <c r="E23" s="59">
        <f>$C23-$D23</f>
        <v>0</v>
      </c>
      <c r="F23" s="63">
        <f>IFERROR($D23/SUM($D$10:$D$25),0)</f>
        <v>0</v>
      </c>
      <c r="G23" s="64">
        <f>REPT("█",MIN(16,ROUND(MAX($C23,$D23)/MAX(1,MAX($C$10:$C$25),MAX($D$10:$D$25))*16,0)))</f>
        <v>0</v>
      </c>
    </row>
    <row r="24" spans="1:7">
      <c r="A24" s="62" t="s">
        <v>167</v>
      </c>
      <c r="B24" s="45">
        <f>COUNTIF(Txn!$D$13:$D$152,$A24)</f>
        <v>0</v>
      </c>
      <c r="C24" s="57">
        <f>SUMIFS(Txn!$M$13:$M$152,Txn!$D$13:$D$152,$A24,Txn!$U$13:$U$152,"IN")</f>
        <v>0</v>
      </c>
      <c r="D24" s="58">
        <f>SUMIFS(Txn!$M$13:$M$152,Txn!$D$13:$D$152,$A24,Txn!$U$13:$U$152,"OUT")</f>
        <v>0</v>
      </c>
      <c r="E24" s="59">
        <f>$C24-$D24</f>
        <v>0</v>
      </c>
      <c r="F24" s="63">
        <f>IFERROR($D24/SUM($D$10:$D$25),0)</f>
        <v>0</v>
      </c>
      <c r="G24" s="64">
        <f>REPT("█",MIN(16,ROUND(MAX($C24,$D24)/MAX(1,MAX($C$10:$C$25),MAX($D$10:$D$25))*16,0)))</f>
        <v>0</v>
      </c>
    </row>
    <row r="25" spans="1:7">
      <c r="A25" s="62" t="s">
        <v>168</v>
      </c>
      <c r="B25" s="45">
        <f>COUNTIF(Txn!$D$13:$D$152,$A25)</f>
        <v>0</v>
      </c>
      <c r="C25" s="57">
        <f>SUMIFS(Txn!$M$13:$M$152,Txn!$D$13:$D$152,$A25,Txn!$U$13:$U$152,"IN")</f>
        <v>0</v>
      </c>
      <c r="D25" s="58">
        <f>SUMIFS(Txn!$M$13:$M$152,Txn!$D$13:$D$152,$A25,Txn!$U$13:$U$152,"OUT")</f>
        <v>0</v>
      </c>
      <c r="E25" s="59">
        <f>$C25-$D25</f>
        <v>0</v>
      </c>
      <c r="F25" s="63">
        <f>IFERROR($D25/SUM($D$10:$D$25),0)</f>
        <v>0</v>
      </c>
      <c r="G25" s="64">
        <f>REPT("█",MIN(16,ROUND(MAX($C25,$D25)/MAX(1,MAX($C$10:$C$25),MAX($D$10:$D$25))*16,0)))</f>
        <v>0</v>
      </c>
    </row>
    <row r="26" spans="1:7">
      <c r="A26" s="62" t="s">
        <v>78</v>
      </c>
      <c r="B26" s="45">
        <f>COUNTIF(Txn!$D$13:$D$152,$A26)</f>
        <v>0</v>
      </c>
      <c r="C26" s="57">
        <f>SUMIFS(Txn!$M$13:$M$152,Txn!$D$13:$D$152,$A26,Txn!$U$13:$U$152,"IN")</f>
        <v>0</v>
      </c>
      <c r="D26" s="58">
        <f>SUMIFS(Txn!$M$13:$M$152,Txn!$D$13:$D$152,$A26,Txn!$U$13:$U$152,"OUT")</f>
        <v>0</v>
      </c>
      <c r="E26" s="59">
        <f>$C26-$D26</f>
        <v>0</v>
      </c>
      <c r="F26" s="63">
        <f>IFERROR($D26/SUM($D$10:$D$25),0)</f>
        <v>0</v>
      </c>
      <c r="G26" s="64">
        <f>REPT("█",MIN(16,ROUND(MAX($C26,$D26)/MAX(1,MAX($C$10:$C$25),MAX($D$10:$D$25))*16,0)))</f>
        <v>0</v>
      </c>
    </row>
    <row r="27" spans="1:7">
      <c r="A27" s="62" t="s">
        <v>73</v>
      </c>
      <c r="B27" s="45">
        <f>COUNTIF(Txn!$D$13:$D$152,$A27)</f>
        <v>0</v>
      </c>
      <c r="C27" s="57">
        <f>SUMIFS(Txn!$M$13:$M$152,Txn!$D$13:$D$152,$A27,Txn!$U$13:$U$152,"IN")</f>
        <v>0</v>
      </c>
      <c r="D27" s="58">
        <f>SUMIFS(Txn!$M$13:$M$152,Txn!$D$13:$D$152,$A27,Txn!$U$13:$U$152,"OUT")</f>
        <v>0</v>
      </c>
      <c r="E27" s="59">
        <f>$C27-$D27</f>
        <v>0</v>
      </c>
      <c r="F27" s="63">
        <f>IFERROR($D27/SUM($D$10:$D$25),0)</f>
        <v>0</v>
      </c>
      <c r="G27" s="64">
        <f>REPT("█",MIN(16,ROUND(MAX($C27,$D27)/MAX(1,MAX($C$10:$C$25),MAX($D$10:$D$25))*16,0)))</f>
        <v>0</v>
      </c>
    </row>
    <row r="28" spans="1:7" ht="26.25" customHeight="1">
      <c r="A28" s="11" t="s">
        <v>169</v>
      </c>
      <c r="B28" s="11"/>
      <c r="C28" s="11"/>
      <c r="D28" s="11"/>
      <c r="E28" s="11"/>
      <c r="F28" s="12" t="s">
        <v>22</v>
      </c>
      <c r="G28" s="12"/>
    </row>
    <row r="29" spans="1:7">
      <c r="A29" s="65" t="s">
        <v>170</v>
      </c>
      <c r="B29" s="65" t="s">
        <v>135</v>
      </c>
      <c r="C29" s="65" t="s">
        <v>4</v>
      </c>
      <c r="D29" s="65" t="s">
        <v>5</v>
      </c>
      <c r="E29" s="65" t="s">
        <v>139</v>
      </c>
      <c r="F29" s="65" t="s">
        <v>124</v>
      </c>
    </row>
    <row r="30" spans="1:7">
      <c r="A30" s="62" t="s">
        <v>171</v>
      </c>
      <c r="B30" s="45">
        <f>COUNTIFS(Txn!$G$13:$G$152,$A30)</f>
        <v>0</v>
      </c>
      <c r="C30" s="57">
        <f>SUMIFS(Txn!$O$13:$O$152,Txn!$G$13:$G$152,$A30)</f>
        <v>0</v>
      </c>
      <c r="D30" s="58">
        <f>SUMIFS(Txn!$P$13:$P$152,Txn!$G$13:$G$152,$A30)</f>
        <v>0</v>
      </c>
      <c r="E30" s="59">
        <f>$C30-$D30</f>
        <v>0</v>
      </c>
      <c r="F30" s="63">
        <f>IFERROR($D30/SUM($D$30:$D$34),0)</f>
        <v>0</v>
      </c>
    </row>
    <row r="31" spans="1:7">
      <c r="A31" s="62" t="s">
        <v>172</v>
      </c>
      <c r="B31" s="45">
        <f>COUNTIFS(Txn!$G$13:$G$152,$A31)</f>
        <v>0</v>
      </c>
      <c r="C31" s="57">
        <f>SUMIFS(Txn!$O$13:$O$152,Txn!$G$13:$G$152,$A31)</f>
        <v>0</v>
      </c>
      <c r="D31" s="58">
        <f>SUMIFS(Txn!$P$13:$P$152,Txn!$G$13:$G$152,$A31)</f>
        <v>0</v>
      </c>
      <c r="E31" s="59">
        <f>$C31-$D31</f>
        <v>0</v>
      </c>
      <c r="F31" s="63">
        <f>IFERROR($D31/SUM($D$30:$D$34),0)</f>
        <v>0</v>
      </c>
    </row>
    <row r="32" spans="1:7">
      <c r="A32" s="62" t="s">
        <v>74</v>
      </c>
      <c r="B32" s="45">
        <f>COUNTIFS(Txn!$G$13:$G$152,$A32)</f>
        <v>0</v>
      </c>
      <c r="C32" s="57">
        <f>SUMIFS(Txn!$O$13:$O$152,Txn!$G$13:$G$152,$A32)</f>
        <v>0</v>
      </c>
      <c r="D32" s="58">
        <f>SUMIFS(Txn!$P$13:$P$152,Txn!$G$13:$G$152,$A32)</f>
        <v>0</v>
      </c>
      <c r="E32" s="59">
        <f>$C32-$D32</f>
        <v>0</v>
      </c>
      <c r="F32" s="63">
        <f>IFERROR($D32/SUM($D$30:$D$34),0)</f>
        <v>0</v>
      </c>
    </row>
    <row r="33" spans="1:7">
      <c r="A33" s="62" t="s">
        <v>67</v>
      </c>
      <c r="B33" s="45">
        <f>COUNTIFS(Txn!$G$13:$G$152,$A33)</f>
        <v>0</v>
      </c>
      <c r="C33" s="57">
        <f>SUMIFS(Txn!$O$13:$O$152,Txn!$G$13:$G$152,$A33)</f>
        <v>0</v>
      </c>
      <c r="D33" s="58">
        <f>SUMIFS(Txn!$P$13:$P$152,Txn!$G$13:$G$152,$A33)</f>
        <v>0</v>
      </c>
      <c r="E33" s="59">
        <f>$C33-$D33</f>
        <v>0</v>
      </c>
      <c r="F33" s="63">
        <f>IFERROR($D33/SUM($D$30:$D$34),0)</f>
        <v>0</v>
      </c>
    </row>
    <row r="34" spans="1:7">
      <c r="A34" s="62" t="s">
        <v>173</v>
      </c>
      <c r="B34" s="45">
        <f>COUNTIFS(Txn!$G$13:$G$152,$A34)</f>
        <v>0</v>
      </c>
      <c r="C34" s="57">
        <f>SUMIFS(Txn!$O$13:$O$152,Txn!$G$13:$G$152,$A34)</f>
        <v>0</v>
      </c>
      <c r="D34" s="58">
        <f>SUMIFS(Txn!$P$13:$P$152,Txn!$G$13:$G$152,$A34)</f>
        <v>0</v>
      </c>
      <c r="E34" s="59">
        <f>$C34-$D34</f>
        <v>0</v>
      </c>
      <c r="F34" s="63">
        <f>IFERROR($D34/SUM($D$30:$D$34),0)</f>
        <v>0</v>
      </c>
    </row>
    <row r="37" spans="1:7" ht="26.25" customHeight="1">
      <c r="A37" s="11" t="s">
        <v>174</v>
      </c>
      <c r="B37" s="11"/>
      <c r="C37" s="11"/>
      <c r="D37" s="11"/>
      <c r="E37" s="11"/>
      <c r="F37" s="12" t="s">
        <v>175</v>
      </c>
      <c r="G37" s="12"/>
    </row>
    <row r="38" spans="1:7">
      <c r="A38" s="66" t="s">
        <v>107</v>
      </c>
      <c r="B38" s="66" t="s">
        <v>176</v>
      </c>
      <c r="C38" s="66" t="s">
        <v>109</v>
      </c>
      <c r="D38" s="66" t="s">
        <v>177</v>
      </c>
      <c r="E38" s="66" t="s">
        <v>178</v>
      </c>
      <c r="F38" s="66" t="s">
        <v>139</v>
      </c>
    </row>
    <row r="39" spans="1:7">
      <c r="A39" s="67">
        <f>IFERROR(INDEX(Post!$D$13:$D$292,MATCH(LARGE(Post!$I$13:$I$292,1),Post!$I$13:$I$292,0)),"")</f>
        <v>0</v>
      </c>
      <c r="B39" s="68">
        <f>IF($A39="","",IFERROR(VLOOKUP($A39,AcctTbl,2,0),""))</f>
        <v>0</v>
      </c>
      <c r="C39" s="69">
        <f>IF($A39="","",IFERROR(VLOOKUP($A39,AcctTbl,3,0),""))</f>
        <v>0</v>
      </c>
      <c r="D39" s="45">
        <f>IF($A39="","",SUMIF(Post!$D$13:$D$292,$A39,Post!$I$13:$I$292))</f>
        <v>0</v>
      </c>
      <c r="E39" s="45">
        <f>IF($A39="","",SUMIF(Post!$D$13:$D$292,$A39,Post!$J$13:$J$292))</f>
        <v>0</v>
      </c>
      <c r="F39" s="59">
        <f>IF($A39="","",$D39-$E39)</f>
        <v>0</v>
      </c>
    </row>
    <row r="40" spans="1:7">
      <c r="A40" s="67">
        <f>IFERROR(INDEX(Post!$D$13:$D$292,MATCH(LARGE(Post!$I$13:$I$292,1),Post!$I$13:$I$292,0)),"")</f>
        <v>0</v>
      </c>
      <c r="B40" s="68">
        <f>IF($A40="","",IFERROR(VLOOKUP($A40,AcctTbl,2,0),""))</f>
        <v>0</v>
      </c>
      <c r="C40" s="69">
        <f>IF($A40="","",IFERROR(VLOOKUP($A40,AcctTbl,3,0),""))</f>
        <v>0</v>
      </c>
      <c r="D40" s="45">
        <f>IF($A40="","",SUMIF(Post!$D$13:$D$292,$A40,Post!$I$13:$I$292))</f>
        <v>0</v>
      </c>
      <c r="E40" s="45">
        <f>IF($A40="","",SUMIF(Post!$D$13:$D$292,$A40,Post!$J$13:$J$292))</f>
        <v>0</v>
      </c>
      <c r="F40" s="59">
        <f>IF($A40="","",$D40-$E40)</f>
        <v>0</v>
      </c>
    </row>
    <row r="41" spans="1:7">
      <c r="A41" s="67">
        <f>IFERROR(INDEX(Post!$D$13:$D$292,MATCH(LARGE(Post!$I$13:$I$292,1),Post!$I$13:$I$292,0)),"")</f>
        <v>0</v>
      </c>
      <c r="B41" s="68">
        <f>IF($A41="","",IFERROR(VLOOKUP($A41,AcctTbl,2,0),""))</f>
        <v>0</v>
      </c>
      <c r="C41" s="69">
        <f>IF($A41="","",IFERROR(VLOOKUP($A41,AcctTbl,3,0),""))</f>
        <v>0</v>
      </c>
      <c r="D41" s="45">
        <f>IF($A41="","",SUMIF(Post!$D$13:$D$292,$A41,Post!$I$13:$I$292))</f>
        <v>0</v>
      </c>
      <c r="E41" s="45">
        <f>IF($A41="","",SUMIF(Post!$D$13:$D$292,$A41,Post!$J$13:$J$292))</f>
        <v>0</v>
      </c>
      <c r="F41" s="59">
        <f>IF($A41="","",$D41-$E41)</f>
        <v>0</v>
      </c>
    </row>
    <row r="42" spans="1:7">
      <c r="A42" s="67">
        <f>IFERROR(INDEX(Post!$D$13:$D$292,MATCH(LARGE(Post!$I$13:$I$292,1),Post!$I$13:$I$292,0)),"")</f>
        <v>0</v>
      </c>
      <c r="B42" s="68">
        <f>IF($A42="","",IFERROR(VLOOKUP($A42,AcctTbl,2,0),""))</f>
        <v>0</v>
      </c>
      <c r="C42" s="69">
        <f>IF($A42="","",IFERROR(VLOOKUP($A42,AcctTbl,3,0),""))</f>
        <v>0</v>
      </c>
      <c r="D42" s="45">
        <f>IF($A42="","",SUMIF(Post!$D$13:$D$292,$A42,Post!$I$13:$I$292))</f>
        <v>0</v>
      </c>
      <c r="E42" s="45">
        <f>IF($A42="","",SUMIF(Post!$D$13:$D$292,$A42,Post!$J$13:$J$292))</f>
        <v>0</v>
      </c>
      <c r="F42" s="59">
        <f>IF($A42="","",$D42-$E42)</f>
        <v>0</v>
      </c>
    </row>
    <row r="43" spans="1:7">
      <c r="A43" s="67">
        <f>IFERROR(INDEX(Post!$D$13:$D$292,MATCH(LARGE(Post!$I$13:$I$292,1),Post!$I$13:$I$292,0)),"")</f>
        <v>0</v>
      </c>
      <c r="B43" s="68">
        <f>IF($A43="","",IFERROR(VLOOKUP($A43,AcctTbl,2,0),""))</f>
        <v>0</v>
      </c>
      <c r="C43" s="69">
        <f>IF($A43="","",IFERROR(VLOOKUP($A43,AcctTbl,3,0),""))</f>
        <v>0</v>
      </c>
      <c r="D43" s="45">
        <f>IF($A43="","",SUMIF(Post!$D$13:$D$292,$A43,Post!$I$13:$I$292))</f>
        <v>0</v>
      </c>
      <c r="E43" s="45">
        <f>IF($A43="","",SUMIF(Post!$D$13:$D$292,$A43,Post!$J$13:$J$292))</f>
        <v>0</v>
      </c>
      <c r="F43" s="59">
        <f>IF($A43="","",$D43-$E43)</f>
        <v>0</v>
      </c>
    </row>
    <row r="44" spans="1:7">
      <c r="A44" s="67">
        <f>IFERROR(INDEX(Post!$D$13:$D$292,MATCH(LARGE(Post!$I$13:$I$292,1),Post!$I$13:$I$292,0)),"")</f>
        <v>0</v>
      </c>
      <c r="B44" s="68">
        <f>IF($A44="","",IFERROR(VLOOKUP($A44,AcctTbl,2,0),""))</f>
        <v>0</v>
      </c>
      <c r="C44" s="69">
        <f>IF($A44="","",IFERROR(VLOOKUP($A44,AcctTbl,3,0),""))</f>
        <v>0</v>
      </c>
      <c r="D44" s="45">
        <f>IF($A44="","",SUMIF(Post!$D$13:$D$292,$A44,Post!$I$13:$I$292))</f>
        <v>0</v>
      </c>
      <c r="E44" s="45">
        <f>IF($A44="","",SUMIF(Post!$D$13:$D$292,$A44,Post!$J$13:$J$292))</f>
        <v>0</v>
      </c>
      <c r="F44" s="59">
        <f>IF($A44="","",$D44-$E44)</f>
        <v>0</v>
      </c>
    </row>
    <row r="45" spans="1:7">
      <c r="A45" s="67">
        <f>IFERROR(INDEX(Post!$D$13:$D$292,MATCH(LARGE(Post!$I$13:$I$292,1),Post!$I$13:$I$292,0)),"")</f>
        <v>0</v>
      </c>
      <c r="B45" s="68">
        <f>IF($A45="","",IFERROR(VLOOKUP($A45,AcctTbl,2,0),""))</f>
        <v>0</v>
      </c>
      <c r="C45" s="69">
        <f>IF($A45="","",IFERROR(VLOOKUP($A45,AcctTbl,3,0),""))</f>
        <v>0</v>
      </c>
      <c r="D45" s="45">
        <f>IF($A45="","",SUMIF(Post!$D$13:$D$292,$A45,Post!$I$13:$I$292))</f>
        <v>0</v>
      </c>
      <c r="E45" s="45">
        <f>IF($A45="","",SUMIF(Post!$D$13:$D$292,$A45,Post!$J$13:$J$292))</f>
        <v>0</v>
      </c>
      <c r="F45" s="59">
        <f>IF($A45="","",$D45-$E45)</f>
        <v>0</v>
      </c>
    </row>
    <row r="46" spans="1:7">
      <c r="A46" s="67">
        <f>IFERROR(INDEX(Post!$D$13:$D$292,MATCH(LARGE(Post!$I$13:$I$292,1),Post!$I$13:$I$292,0)),"")</f>
        <v>0</v>
      </c>
      <c r="B46" s="68">
        <f>IF($A46="","",IFERROR(VLOOKUP($A46,AcctTbl,2,0),""))</f>
        <v>0</v>
      </c>
      <c r="C46" s="69">
        <f>IF($A46="","",IFERROR(VLOOKUP($A46,AcctTbl,3,0),""))</f>
        <v>0</v>
      </c>
      <c r="D46" s="45">
        <f>IF($A46="","",SUMIF(Post!$D$13:$D$292,$A46,Post!$I$13:$I$292))</f>
        <v>0</v>
      </c>
      <c r="E46" s="45">
        <f>IF($A46="","",SUMIF(Post!$D$13:$D$292,$A46,Post!$J$13:$J$292))</f>
        <v>0</v>
      </c>
      <c r="F46" s="59">
        <f>IF($A46="","",$D46-$E46)</f>
        <v>0</v>
      </c>
    </row>
    <row r="48" spans="1:7" ht="33.75" customHeight="1">
      <c r="A48" s="70" t="s">
        <v>179</v>
      </c>
      <c r="B48" s="70"/>
      <c r="C48" s="70"/>
      <c r="D48" s="70"/>
      <c r="E48" s="70"/>
      <c r="F48" s="70"/>
      <c r="G48" s="70"/>
    </row>
  </sheetData>
  <mergeCells count="10">
    <mergeCell ref="A2:G2"/>
    <mergeCell ref="A3:G3"/>
    <mergeCell ref="A4:G4"/>
    <mergeCell ref="A7:E7"/>
    <mergeCell ref="F7:G7"/>
    <mergeCell ref="A28:E28"/>
    <mergeCell ref="F28:G28"/>
    <mergeCell ref="A37:E37"/>
    <mergeCell ref="F37:G37"/>
    <mergeCell ref="A48:G48"/>
  </mergeCells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5"/>
  <sheetViews>
    <sheetView showGridLines="0" rightToLeft="1" zoomScale="85" zoomScaleNormal="85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/>
    </sheetView>
  </sheetViews>
  <sheetFormatPr defaultRowHeight="15"/>
  <cols>
    <col min="1" max="1" width="26.7109375" customWidth="1"/>
    <col min="2" max="2" width="9.7109375" customWidth="1"/>
    <col min="3" max="5" width="16.7109375" customWidth="1"/>
    <col min="6" max="6" width="9.7109375" customWidth="1"/>
    <col min="7" max="7" width="12.7109375" customWidth="1"/>
  </cols>
  <sheetData>
    <row r="1" spans="1:7" ht="6" customHeight="1">
      <c r="A1" s="1"/>
      <c r="B1" s="1"/>
      <c r="C1" s="1"/>
      <c r="D1" s="1"/>
      <c r="E1" s="1"/>
      <c r="F1" s="1"/>
      <c r="G1" s="1"/>
    </row>
    <row r="2" spans="1:7" ht="18" customHeight="1">
      <c r="A2" s="2" t="s">
        <v>0</v>
      </c>
      <c r="B2" s="2"/>
      <c r="C2" s="2"/>
      <c r="D2" s="2"/>
      <c r="E2" s="2"/>
      <c r="F2" s="2"/>
      <c r="G2" s="2"/>
    </row>
    <row r="3" spans="1:7" ht="38.25" customHeight="1">
      <c r="A3" s="3" t="s">
        <v>180</v>
      </c>
      <c r="B3" s="3"/>
      <c r="C3" s="3"/>
      <c r="D3" s="3"/>
      <c r="E3" s="3"/>
      <c r="F3" s="3"/>
      <c r="G3" s="3"/>
    </row>
    <row r="4" spans="1:7" ht="21.75" customHeight="1">
      <c r="A4" s="4" t="s">
        <v>181</v>
      </c>
      <c r="B4" s="4"/>
      <c r="C4" s="4"/>
      <c r="D4" s="4"/>
      <c r="E4" s="4"/>
      <c r="F4" s="4"/>
      <c r="G4" s="4"/>
    </row>
    <row r="5" spans="1:7" ht="3.75" customHeight="1">
      <c r="A5" s="5"/>
      <c r="B5" s="5"/>
      <c r="C5" s="5"/>
      <c r="D5" s="5"/>
      <c r="E5" s="5"/>
      <c r="F5" s="5"/>
      <c r="G5" s="5"/>
    </row>
    <row r="7" spans="1:7" ht="20.25" customHeight="1">
      <c r="A7" s="6" t="s">
        <v>182</v>
      </c>
      <c r="B7" s="6"/>
      <c r="C7" s="6" t="s">
        <v>183</v>
      </c>
      <c r="D7" s="6"/>
      <c r="E7" s="6" t="s">
        <v>184</v>
      </c>
      <c r="F7" s="6"/>
      <c r="G7" s="6" t="s">
        <v>185</v>
      </c>
    </row>
    <row r="8" spans="1:7" ht="33.75" customHeight="1">
      <c r="A8" s="7">
        <f>SUM($C$13:$C$22)</f>
        <v>0</v>
      </c>
      <c r="B8" s="7"/>
      <c r="C8" s="71">
        <f>SUM($D$13:$D$22)</f>
        <v>0</v>
      </c>
      <c r="D8" s="71"/>
      <c r="E8" s="24">
        <f>$A$8-$C$8</f>
        <v>0</v>
      </c>
      <c r="F8" s="24"/>
      <c r="G8" s="72">
        <f>IFERROR($C$8/$A$8,0)</f>
        <v>0</v>
      </c>
    </row>
    <row r="11" spans="1:7">
      <c r="A11" s="54" t="s">
        <v>111</v>
      </c>
      <c r="B11" s="54" t="s">
        <v>135</v>
      </c>
      <c r="C11" s="54" t="s">
        <v>67</v>
      </c>
      <c r="D11" s="54" t="s">
        <v>188</v>
      </c>
      <c r="E11" s="54" t="s">
        <v>190</v>
      </c>
      <c r="F11" s="54" t="s">
        <v>124</v>
      </c>
      <c r="G11" s="54" t="s">
        <v>192</v>
      </c>
    </row>
    <row r="12" spans="1:7">
      <c r="A12" s="55" t="s">
        <v>186</v>
      </c>
      <c r="B12" s="55" t="s">
        <v>136</v>
      </c>
      <c r="C12" s="55" t="s">
        <v>187</v>
      </c>
      <c r="D12" s="55" t="s">
        <v>189</v>
      </c>
      <c r="E12" s="55" t="s">
        <v>191</v>
      </c>
      <c r="F12" s="55" t="s">
        <v>154</v>
      </c>
      <c r="G12" s="55" t="s">
        <v>193</v>
      </c>
    </row>
    <row r="13" spans="1:7">
      <c r="A13" s="73">
        <f>INDEX(BankTbl,1,2)</f>
        <v>0</v>
      </c>
      <c r="B13" s="74">
        <f>COUNTIFS(Post!$D$13:$D$292,INDEX(BankTbl,1,4),Post!$G$13:$G$292,"*پز*")+COUNTIFS(Post!$D$13:$D$292,INDEX(BankTbl,1,4),Post!$G$13:$G$292,"*دریافت*")</f>
        <v>0</v>
      </c>
      <c r="C13" s="57">
        <f>SUMIFS(Txn!$O$13:$O$152,Txn!$E$13:$E$152,INDEX(BankTbl,1,1),Txn!$G$13:$G$152,"کارت/پوز")</f>
        <v>0</v>
      </c>
      <c r="D13" s="75">
        <f>SUMIFS(Txn!$O$13:$O$152,Txn!$E$13:$E$152,INDEX(BankTbl,1,1),Txn!$D$13:$D$152,"واریز پز باسکول (۲۰۰۶)")</f>
        <v>0</v>
      </c>
      <c r="E13" s="59">
        <f>$C13-$D13</f>
        <v>0</v>
      </c>
      <c r="F13" s="47">
        <f>IFERROR($C13/SUM($C$13:$C$22),0)</f>
        <v>0</v>
      </c>
      <c r="G13" s="76">
        <f>IF($C13=0,"—",IF($D13=0,"ℹ بدون پز","✓"))</f>
        <v>0</v>
      </c>
    </row>
    <row r="14" spans="1:7">
      <c r="A14" s="73">
        <f>INDEX(BankTbl,2,2)</f>
        <v>0</v>
      </c>
      <c r="B14" s="74">
        <f>COUNTIFS(Post!$D$13:$D$292,INDEX(BankTbl,2,4),Post!$G$13:$G$292,"*پز*")+COUNTIFS(Post!$D$13:$D$292,INDEX(BankTbl,2,4),Post!$G$13:$G$292,"*دریافت*")</f>
        <v>0</v>
      </c>
      <c r="C14" s="57">
        <f>SUMIFS(Txn!$O$13:$O$152,Txn!$E$13:$E$152,INDEX(BankTbl,2,1),Txn!$G$13:$G$152,"کارت/پوز")</f>
        <v>0</v>
      </c>
      <c r="D14" s="75">
        <f>SUMIFS(Txn!$O$13:$O$152,Txn!$E$13:$E$152,INDEX(BankTbl,2,1),Txn!$D$13:$D$152,"واریز پز باسکول (۲۰۰۶)")</f>
        <v>0</v>
      </c>
      <c r="E14" s="59">
        <f>$C14-$D14</f>
        <v>0</v>
      </c>
      <c r="F14" s="47">
        <f>IFERROR($C14/SUM($C$13:$C$22),0)</f>
        <v>0</v>
      </c>
      <c r="G14" s="76">
        <f>IF($C14=0,"—",IF($D14=0,"ℹ بدون پز","✓"))</f>
        <v>0</v>
      </c>
    </row>
    <row r="15" spans="1:7">
      <c r="A15" s="73">
        <f>INDEX(BankTbl,3,2)</f>
        <v>0</v>
      </c>
      <c r="B15" s="74">
        <f>COUNTIFS(Post!$D$13:$D$292,INDEX(BankTbl,3,4),Post!$G$13:$G$292,"*پز*")+COUNTIFS(Post!$D$13:$D$292,INDEX(BankTbl,3,4),Post!$G$13:$G$292,"*دریافت*")</f>
        <v>0</v>
      </c>
      <c r="C15" s="57">
        <f>SUMIFS(Txn!$O$13:$O$152,Txn!$E$13:$E$152,INDEX(BankTbl,3,1),Txn!$G$13:$G$152,"کارت/پوز")</f>
        <v>0</v>
      </c>
      <c r="D15" s="75">
        <f>SUMIFS(Txn!$O$13:$O$152,Txn!$E$13:$E$152,INDEX(BankTbl,3,1),Txn!$D$13:$D$152,"واریز پز باسکول (۲۰۰۶)")</f>
        <v>0</v>
      </c>
      <c r="E15" s="59">
        <f>$C15-$D15</f>
        <v>0</v>
      </c>
      <c r="F15" s="47">
        <f>IFERROR($C15/SUM($C$13:$C$22),0)</f>
        <v>0</v>
      </c>
      <c r="G15" s="76">
        <f>IF($C15=0,"—",IF($D15=0,"ℹ بدون پز","✓"))</f>
        <v>0</v>
      </c>
    </row>
    <row r="16" spans="1:7">
      <c r="A16" s="73">
        <f>INDEX(BankTbl,4,2)</f>
        <v>0</v>
      </c>
      <c r="B16" s="74">
        <f>COUNTIFS(Post!$D$13:$D$292,INDEX(BankTbl,4,4),Post!$G$13:$G$292,"*پز*")+COUNTIFS(Post!$D$13:$D$292,INDEX(BankTbl,4,4),Post!$G$13:$G$292,"*دریافت*")</f>
        <v>0</v>
      </c>
      <c r="C16" s="57">
        <f>SUMIFS(Txn!$O$13:$O$152,Txn!$E$13:$E$152,INDEX(BankTbl,4,1),Txn!$G$13:$G$152,"کارت/پوز")</f>
        <v>0</v>
      </c>
      <c r="D16" s="75">
        <f>SUMIFS(Txn!$O$13:$O$152,Txn!$E$13:$E$152,INDEX(BankTbl,4,1),Txn!$D$13:$D$152,"واریز پز باسکول (۲۰۰۶)")</f>
        <v>0</v>
      </c>
      <c r="E16" s="59">
        <f>$C16-$D16</f>
        <v>0</v>
      </c>
      <c r="F16" s="47">
        <f>IFERROR($C16/SUM($C$13:$C$22),0)</f>
        <v>0</v>
      </c>
      <c r="G16" s="76">
        <f>IF($C16=0,"—",IF($D16=0,"ℹ بدون پز","✓"))</f>
        <v>0</v>
      </c>
    </row>
    <row r="17" spans="1:7">
      <c r="A17" s="73">
        <f>INDEX(BankTbl,5,2)</f>
        <v>0</v>
      </c>
      <c r="B17" s="74">
        <f>COUNTIFS(Post!$D$13:$D$292,INDEX(BankTbl,5,4),Post!$G$13:$G$292,"*پز*")+COUNTIFS(Post!$D$13:$D$292,INDEX(BankTbl,5,4),Post!$G$13:$G$292,"*دریافت*")</f>
        <v>0</v>
      </c>
      <c r="C17" s="57">
        <f>SUMIFS(Txn!$O$13:$O$152,Txn!$E$13:$E$152,INDEX(BankTbl,5,1),Txn!$G$13:$G$152,"کارت/پوز")</f>
        <v>0</v>
      </c>
      <c r="D17" s="75">
        <f>SUMIFS(Txn!$O$13:$O$152,Txn!$E$13:$E$152,INDEX(BankTbl,5,1),Txn!$D$13:$D$152,"واریز پز باسکول (۲۰۰۶)")</f>
        <v>0</v>
      </c>
      <c r="E17" s="59">
        <f>$C17-$D17</f>
        <v>0</v>
      </c>
      <c r="F17" s="47">
        <f>IFERROR($C17/SUM($C$13:$C$22),0)</f>
        <v>0</v>
      </c>
      <c r="G17" s="76">
        <f>IF($C17=0,"—",IF($D17=0,"ℹ بدون پز","✓"))</f>
        <v>0</v>
      </c>
    </row>
    <row r="18" spans="1:7">
      <c r="A18" s="73">
        <f>INDEX(BankTbl,6,2)</f>
        <v>0</v>
      </c>
      <c r="B18" s="74">
        <f>COUNTIFS(Post!$D$13:$D$292,INDEX(BankTbl,6,4),Post!$G$13:$G$292,"*پز*")+COUNTIFS(Post!$D$13:$D$292,INDEX(BankTbl,6,4),Post!$G$13:$G$292,"*دریافت*")</f>
        <v>0</v>
      </c>
      <c r="C18" s="57">
        <f>SUMIFS(Txn!$O$13:$O$152,Txn!$E$13:$E$152,INDEX(BankTbl,6,1),Txn!$G$13:$G$152,"کارت/پوز")</f>
        <v>0</v>
      </c>
      <c r="D18" s="75">
        <f>SUMIFS(Txn!$O$13:$O$152,Txn!$E$13:$E$152,INDEX(BankTbl,6,1),Txn!$D$13:$D$152,"واریز پز باسکول (۲۰۰۶)")</f>
        <v>0</v>
      </c>
      <c r="E18" s="59">
        <f>$C18-$D18</f>
        <v>0</v>
      </c>
      <c r="F18" s="47">
        <f>IFERROR($C18/SUM($C$13:$C$22),0)</f>
        <v>0</v>
      </c>
      <c r="G18" s="76">
        <f>IF($C18=0,"—",IF($D18=0,"ℹ بدون پز","✓"))</f>
        <v>0</v>
      </c>
    </row>
    <row r="19" spans="1:7">
      <c r="A19" s="73">
        <f>INDEX(BankTbl,7,2)</f>
        <v>0</v>
      </c>
      <c r="B19" s="74">
        <f>COUNTIFS(Post!$D$13:$D$292,INDEX(BankTbl,7,4),Post!$G$13:$G$292,"*پز*")+COUNTIFS(Post!$D$13:$D$292,INDEX(BankTbl,7,4),Post!$G$13:$G$292,"*دریافت*")</f>
        <v>0</v>
      </c>
      <c r="C19" s="57">
        <f>SUMIFS(Txn!$O$13:$O$152,Txn!$E$13:$E$152,INDEX(BankTbl,7,1),Txn!$G$13:$G$152,"کارت/پوز")</f>
        <v>0</v>
      </c>
      <c r="D19" s="75">
        <f>SUMIFS(Txn!$O$13:$O$152,Txn!$E$13:$E$152,INDEX(BankTbl,7,1),Txn!$D$13:$D$152,"واریز پز باسکول (۲۰۰۶)")</f>
        <v>0</v>
      </c>
      <c r="E19" s="59">
        <f>$C19-$D19</f>
        <v>0</v>
      </c>
      <c r="F19" s="47">
        <f>IFERROR($C19/SUM($C$13:$C$22),0)</f>
        <v>0</v>
      </c>
      <c r="G19" s="76">
        <f>IF($C19=0,"—",IF($D19=0,"ℹ بدون پز","✓"))</f>
        <v>0</v>
      </c>
    </row>
    <row r="20" spans="1:7">
      <c r="A20" s="73">
        <f>INDEX(BankTbl,8,2)</f>
        <v>0</v>
      </c>
      <c r="B20" s="74">
        <f>COUNTIFS(Post!$D$13:$D$292,INDEX(BankTbl,8,4),Post!$G$13:$G$292,"*پز*")+COUNTIFS(Post!$D$13:$D$292,INDEX(BankTbl,8,4),Post!$G$13:$G$292,"*دریافت*")</f>
        <v>0</v>
      </c>
      <c r="C20" s="57">
        <f>SUMIFS(Txn!$O$13:$O$152,Txn!$E$13:$E$152,INDEX(BankTbl,8,1),Txn!$G$13:$G$152,"کارت/پوز")</f>
        <v>0</v>
      </c>
      <c r="D20" s="75">
        <f>SUMIFS(Txn!$O$13:$O$152,Txn!$E$13:$E$152,INDEX(BankTbl,8,1),Txn!$D$13:$D$152,"واریز پز باسکول (۲۰۰۶)")</f>
        <v>0</v>
      </c>
      <c r="E20" s="59">
        <f>$C20-$D20</f>
        <v>0</v>
      </c>
      <c r="F20" s="47">
        <f>IFERROR($C20/SUM($C$13:$C$22),0)</f>
        <v>0</v>
      </c>
      <c r="G20" s="76">
        <f>IF($C20=0,"—",IF($D20=0,"ℹ بدون پز","✓"))</f>
        <v>0</v>
      </c>
    </row>
    <row r="21" spans="1:7">
      <c r="A21" s="73">
        <f>INDEX(BankTbl,9,2)</f>
        <v>0</v>
      </c>
      <c r="B21" s="74">
        <f>COUNTIFS(Post!$D$13:$D$292,INDEX(BankTbl,9,4),Post!$G$13:$G$292,"*پز*")+COUNTIFS(Post!$D$13:$D$292,INDEX(BankTbl,9,4),Post!$G$13:$G$292,"*دریافت*")</f>
        <v>0</v>
      </c>
      <c r="C21" s="57">
        <f>SUMIFS(Txn!$O$13:$O$152,Txn!$E$13:$E$152,INDEX(BankTbl,9,1),Txn!$G$13:$G$152,"کارت/پوز")</f>
        <v>0</v>
      </c>
      <c r="D21" s="75">
        <f>SUMIFS(Txn!$O$13:$O$152,Txn!$E$13:$E$152,INDEX(BankTbl,9,1),Txn!$D$13:$D$152,"واریز پز باسکول (۲۰۰۶)")</f>
        <v>0</v>
      </c>
      <c r="E21" s="59">
        <f>$C21-$D21</f>
        <v>0</v>
      </c>
      <c r="F21" s="47">
        <f>IFERROR($C21/SUM($C$13:$C$22),0)</f>
        <v>0</v>
      </c>
      <c r="G21" s="76">
        <f>IF($C21=0,"—",IF($D21=0,"ℹ بدون پز","✓"))</f>
        <v>0</v>
      </c>
    </row>
    <row r="22" spans="1:7">
      <c r="A22" s="73">
        <f>INDEX(BankTbl,10,2)</f>
        <v>0</v>
      </c>
      <c r="B22" s="74">
        <f>COUNTIFS(Post!$D$13:$D$292,INDEX(BankTbl,10,4),Post!$G$13:$G$292,"*پز*")+COUNTIFS(Post!$D$13:$D$292,INDEX(BankTbl,10,4),Post!$G$13:$G$292,"*دریافت*")</f>
        <v>0</v>
      </c>
      <c r="C22" s="57">
        <f>SUMIFS(Txn!$O$13:$O$152,Txn!$E$13:$E$152,INDEX(BankTbl,10,1),Txn!$G$13:$G$152,"کارت/پوز")</f>
        <v>0</v>
      </c>
      <c r="D22" s="75">
        <f>SUMIFS(Txn!$O$13:$O$152,Txn!$E$13:$E$152,INDEX(BankTbl,10,1),Txn!$D$13:$D$152,"واریز پز باسکول (۲۰۰۶)")</f>
        <v>0</v>
      </c>
      <c r="E22" s="59">
        <f>$C22-$D22</f>
        <v>0</v>
      </c>
      <c r="F22" s="47">
        <f>IFERROR($C22/SUM($C$13:$C$22),0)</f>
        <v>0</v>
      </c>
      <c r="G22" s="76">
        <f>IF($C22=0,"—",IF($D22=0,"ℹ بدون پز","✓"))</f>
        <v>0</v>
      </c>
    </row>
    <row r="35" spans="1:7" ht="33.75" customHeight="1">
      <c r="A35" s="25" t="s">
        <v>194</v>
      </c>
      <c r="B35" s="25"/>
      <c r="C35" s="25"/>
      <c r="D35" s="25"/>
      <c r="E35" s="25"/>
      <c r="F35" s="25"/>
      <c r="G35" s="25"/>
    </row>
  </sheetData>
  <mergeCells count="10">
    <mergeCell ref="A2:G2"/>
    <mergeCell ref="A3:G3"/>
    <mergeCell ref="A4:G4"/>
    <mergeCell ref="A7:B7"/>
    <mergeCell ref="A8:B8"/>
    <mergeCell ref="C7:D7"/>
    <mergeCell ref="C8:D8"/>
    <mergeCell ref="E7:F7"/>
    <mergeCell ref="E8:F8"/>
    <mergeCell ref="A35:G35"/>
  </mergeCells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72"/>
  <sheetViews>
    <sheetView showGridLines="0" rightToLeft="1" zoomScale="85" zoomScaleNormal="85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/>
    </sheetView>
  </sheetViews>
  <sheetFormatPr defaultRowHeight="15"/>
  <cols>
    <col min="1" max="1" width="6.7109375" customWidth="1"/>
    <col min="2" max="4" width="12.7109375" customWidth="1"/>
    <col min="5" max="6" width="11.7109375" customWidth="1"/>
    <col min="7" max="7" width="24.7109375" customWidth="1"/>
    <col min="8" max="8" width="18.7109375" customWidth="1"/>
    <col min="9" max="9" width="15.7109375" customWidth="1"/>
    <col min="10" max="10" width="13.7109375" customWidth="1"/>
    <col min="11" max="11" width="12.7109375" customWidth="1"/>
    <col min="12" max="12" width="22.7109375" customWidth="1"/>
  </cols>
  <sheetData>
    <row r="1" spans="1:12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8.25" customHeight="1">
      <c r="A3" s="3" t="s">
        <v>195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1.75" customHeight="1">
      <c r="A4" s="4" t="s">
        <v>196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3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7" spans="1:12" ht="20.25" customHeight="1">
      <c r="A7" s="6" t="s">
        <v>197</v>
      </c>
      <c r="B7" s="6"/>
      <c r="C7" s="6"/>
      <c r="D7" s="6" t="s">
        <v>198</v>
      </c>
      <c r="E7" s="6"/>
      <c r="F7" s="6"/>
      <c r="G7" s="6" t="s">
        <v>199</v>
      </c>
      <c r="H7" s="6"/>
      <c r="I7" s="6" t="s">
        <v>200</v>
      </c>
      <c r="J7" s="6"/>
      <c r="K7" s="6" t="s">
        <v>103</v>
      </c>
      <c r="L7" s="6"/>
    </row>
    <row r="8" spans="1:12" ht="33.75" customHeight="1">
      <c r="A8" s="7">
        <f>COUNTA($C$13:$C$72)</f>
        <v>0</v>
      </c>
      <c r="B8" s="7"/>
      <c r="C8" s="7"/>
      <c r="D8" s="71">
        <f>SUMIFS($I$13:$I$72,$J$13:$J$72,"در جریان")</f>
        <v>0</v>
      </c>
      <c r="E8" s="71"/>
      <c r="F8" s="71"/>
      <c r="G8" s="8">
        <f>SUMIFS($I$13:$I$72,$J$13:$J$72,"پاس شده")</f>
        <v>0</v>
      </c>
      <c r="H8" s="8"/>
      <c r="I8" s="9">
        <f>SUMIFS($I$13:$I$72,$J$13:$J$72,"برگشتی")</f>
        <v>0</v>
      </c>
      <c r="J8" s="9"/>
      <c r="K8" s="10">
        <f>SUM($I$13:$I$72)</f>
        <v>0</v>
      </c>
      <c r="L8" s="10"/>
    </row>
    <row r="12" spans="1:12" ht="33.75" customHeight="1">
      <c r="A12" s="26" t="s">
        <v>43</v>
      </c>
      <c r="B12" s="26" t="s">
        <v>201</v>
      </c>
      <c r="C12" s="26" t="s">
        <v>202</v>
      </c>
      <c r="D12" s="26" t="s">
        <v>203</v>
      </c>
      <c r="E12" s="26" t="s">
        <v>204</v>
      </c>
      <c r="F12" s="26" t="s">
        <v>205</v>
      </c>
      <c r="G12" s="26" t="s">
        <v>206</v>
      </c>
      <c r="H12" s="26" t="s">
        <v>207</v>
      </c>
      <c r="I12" s="26" t="s">
        <v>208</v>
      </c>
      <c r="J12" s="26" t="s">
        <v>61</v>
      </c>
      <c r="K12" s="26" t="s">
        <v>209</v>
      </c>
      <c r="L12" s="26" t="s">
        <v>62</v>
      </c>
    </row>
    <row r="13" spans="1:12" ht="21" customHeight="1">
      <c r="A13" s="48">
        <f>IF($C13="","",COUNTA($C$13:$C13))</f>
        <v>0</v>
      </c>
      <c r="B13" s="28" t="s">
        <v>210</v>
      </c>
      <c r="C13" s="28" t="s">
        <v>211</v>
      </c>
      <c r="D13" s="28" t="s">
        <v>212</v>
      </c>
      <c r="E13" s="28" t="s">
        <v>213</v>
      </c>
      <c r="F13" s="28" t="s">
        <v>214</v>
      </c>
      <c r="G13" s="30">
        <f>IF($F13="","",IFERROR(VLOOKUP($F13,AcctTbl,2,0),""))</f>
        <v>0</v>
      </c>
      <c r="H13" s="77" t="s">
        <v>79</v>
      </c>
      <c r="I13" s="31">
        <v>40000000</v>
      </c>
      <c r="J13" s="28" t="s">
        <v>199</v>
      </c>
      <c r="K13" s="28" t="s">
        <v>76</v>
      </c>
      <c r="L13" s="77" t="s">
        <v>215</v>
      </c>
    </row>
    <row r="14" spans="1:12" ht="21" customHeight="1">
      <c r="A14" s="48">
        <f>IF($C14="","",COUNTA($C$13:$C14))</f>
        <v>0</v>
      </c>
      <c r="B14" s="28" t="s">
        <v>69</v>
      </c>
      <c r="C14" s="28" t="s">
        <v>216</v>
      </c>
      <c r="D14" s="28" t="s">
        <v>217</v>
      </c>
      <c r="E14" s="28" t="s">
        <v>218</v>
      </c>
      <c r="F14" s="28" t="s">
        <v>219</v>
      </c>
      <c r="G14" s="30">
        <f>IF($F14="","",IFERROR(VLOOKUP($F14,AcctTbl,2,0),""))</f>
        <v>0</v>
      </c>
      <c r="H14" s="77" t="s">
        <v>100</v>
      </c>
      <c r="I14" s="31">
        <v>65000000</v>
      </c>
      <c r="J14" s="28" t="s">
        <v>198</v>
      </c>
      <c r="K14" s="28"/>
      <c r="L14" s="77" t="s">
        <v>220</v>
      </c>
    </row>
    <row r="15" spans="1:12" ht="21" customHeight="1">
      <c r="A15" s="48">
        <f>IF($C15="","",COUNTA($C$13:$C15))</f>
        <v>0</v>
      </c>
      <c r="B15" s="28" t="s">
        <v>76</v>
      </c>
      <c r="C15" s="28" t="s">
        <v>221</v>
      </c>
      <c r="D15" s="28" t="s">
        <v>222</v>
      </c>
      <c r="E15" s="28" t="s">
        <v>213</v>
      </c>
      <c r="F15" s="28" t="s">
        <v>223</v>
      </c>
      <c r="G15" s="30">
        <f>IF($F15="","",IFERROR(VLOOKUP($F15,AcctTbl,2,0),""))</f>
        <v>0</v>
      </c>
      <c r="H15" s="77" t="s">
        <v>79</v>
      </c>
      <c r="I15" s="31">
        <v>18000000</v>
      </c>
      <c r="J15" s="28" t="s">
        <v>198</v>
      </c>
      <c r="K15" s="28"/>
      <c r="L15" s="77" t="s">
        <v>224</v>
      </c>
    </row>
    <row r="16" spans="1:12" ht="21" customHeight="1">
      <c r="A16" s="48">
        <f>IF($C16="","",COUNTA($C$13:$C16))</f>
        <v>0</v>
      </c>
      <c r="B16" s="28" t="s">
        <v>81</v>
      </c>
      <c r="C16" s="28" t="s">
        <v>225</v>
      </c>
      <c r="D16" s="28" t="s">
        <v>226</v>
      </c>
      <c r="E16" s="28" t="s">
        <v>218</v>
      </c>
      <c r="F16" s="28" t="s">
        <v>227</v>
      </c>
      <c r="G16" s="30">
        <f>IF($F16="","",IFERROR(VLOOKUP($F16,AcctTbl,2,0),""))</f>
        <v>0</v>
      </c>
      <c r="H16" s="77" t="s">
        <v>66</v>
      </c>
      <c r="I16" s="31">
        <v>42000000</v>
      </c>
      <c r="J16" s="28" t="s">
        <v>200</v>
      </c>
      <c r="K16" s="28"/>
      <c r="L16" s="77" t="s">
        <v>228</v>
      </c>
    </row>
    <row r="17" spans="1:12" ht="21" customHeight="1">
      <c r="A17" s="48">
        <f>IF($C17="","",COUNTA($C$13:$C17))</f>
        <v>0</v>
      </c>
      <c r="B17" s="28" t="s">
        <v>88</v>
      </c>
      <c r="C17" s="28" t="s">
        <v>229</v>
      </c>
      <c r="D17" s="28" t="s">
        <v>230</v>
      </c>
      <c r="E17" s="28" t="s">
        <v>213</v>
      </c>
      <c r="F17" s="28" t="s">
        <v>214</v>
      </c>
      <c r="G17" s="30">
        <f>IF($F17="","",IFERROR(VLOOKUP($F17,AcctTbl,2,0),""))</f>
        <v>0</v>
      </c>
      <c r="H17" s="77" t="s">
        <v>100</v>
      </c>
      <c r="I17" s="31">
        <v>22000000</v>
      </c>
      <c r="J17" s="28" t="s">
        <v>231</v>
      </c>
      <c r="K17" s="28"/>
      <c r="L17" s="77" t="s">
        <v>232</v>
      </c>
    </row>
    <row r="18" spans="1:12" ht="21" customHeight="1">
      <c r="A18" s="48">
        <f>IF($C18="","",COUNTA($C$13:$C18))</f>
        <v>0</v>
      </c>
      <c r="B18" s="28" t="s">
        <v>91</v>
      </c>
      <c r="C18" s="28" t="s">
        <v>233</v>
      </c>
      <c r="D18" s="28" t="s">
        <v>234</v>
      </c>
      <c r="E18" s="28" t="s">
        <v>218</v>
      </c>
      <c r="F18" s="28" t="s">
        <v>235</v>
      </c>
      <c r="G18" s="30">
        <f>IF($F18="","",IFERROR(VLOOKUP($F18,AcctTbl,2,0),""))</f>
        <v>0</v>
      </c>
      <c r="H18" s="77" t="s">
        <v>79</v>
      </c>
      <c r="I18" s="31">
        <v>51000000</v>
      </c>
      <c r="J18" s="28" t="s">
        <v>198</v>
      </c>
      <c r="K18" s="28"/>
      <c r="L18" s="77"/>
    </row>
    <row r="19" spans="1:12" ht="21" customHeight="1">
      <c r="A19" s="48">
        <f>IF($C19="","",COUNTA($C$13:$C19))</f>
        <v>0</v>
      </c>
      <c r="B19" s="28"/>
      <c r="C19" s="28"/>
      <c r="D19" s="28"/>
      <c r="E19" s="28"/>
      <c r="F19" s="28"/>
      <c r="G19" s="30">
        <f>IF($F19="","",IFERROR(VLOOKUP($F19,AcctTbl,2,0),""))</f>
        <v>0</v>
      </c>
      <c r="H19" s="77"/>
      <c r="I19" s="78"/>
      <c r="J19" s="28"/>
      <c r="K19" s="28"/>
      <c r="L19" s="77"/>
    </row>
    <row r="20" spans="1:12" ht="21" customHeight="1">
      <c r="A20" s="48">
        <f>IF($C20="","",COUNTA($C$13:$C20))</f>
        <v>0</v>
      </c>
      <c r="B20" s="28"/>
      <c r="C20" s="28"/>
      <c r="D20" s="28"/>
      <c r="E20" s="28"/>
      <c r="F20" s="28"/>
      <c r="G20" s="30">
        <f>IF($F20="","",IFERROR(VLOOKUP($F20,AcctTbl,2,0),""))</f>
        <v>0</v>
      </c>
      <c r="H20" s="77"/>
      <c r="I20" s="78"/>
      <c r="J20" s="28"/>
      <c r="K20" s="28"/>
      <c r="L20" s="77"/>
    </row>
    <row r="21" spans="1:12" ht="21" customHeight="1">
      <c r="A21" s="48">
        <f>IF($C21="","",COUNTA($C$13:$C21))</f>
        <v>0</v>
      </c>
      <c r="B21" s="28"/>
      <c r="C21" s="28"/>
      <c r="D21" s="28"/>
      <c r="E21" s="28"/>
      <c r="F21" s="28"/>
      <c r="G21" s="30">
        <f>IF($F21="","",IFERROR(VLOOKUP($F21,AcctTbl,2,0),""))</f>
        <v>0</v>
      </c>
      <c r="H21" s="77"/>
      <c r="I21" s="78"/>
      <c r="J21" s="28"/>
      <c r="K21" s="28"/>
      <c r="L21" s="77"/>
    </row>
    <row r="22" spans="1:12" ht="21" customHeight="1">
      <c r="A22" s="48">
        <f>IF($C22="","",COUNTA($C$13:$C22))</f>
        <v>0</v>
      </c>
      <c r="B22" s="28"/>
      <c r="C22" s="28"/>
      <c r="D22" s="28"/>
      <c r="E22" s="28"/>
      <c r="F22" s="28"/>
      <c r="G22" s="30">
        <f>IF($F22="","",IFERROR(VLOOKUP($F22,AcctTbl,2,0),""))</f>
        <v>0</v>
      </c>
      <c r="H22" s="77"/>
      <c r="I22" s="78"/>
      <c r="J22" s="28"/>
      <c r="K22" s="28"/>
      <c r="L22" s="77"/>
    </row>
    <row r="23" spans="1:12" ht="21" customHeight="1">
      <c r="A23" s="48">
        <f>IF($C23="","",COUNTA($C$13:$C23))</f>
        <v>0</v>
      </c>
      <c r="B23" s="28"/>
      <c r="C23" s="28"/>
      <c r="D23" s="28"/>
      <c r="E23" s="28"/>
      <c r="F23" s="28"/>
      <c r="G23" s="30">
        <f>IF($F23="","",IFERROR(VLOOKUP($F23,AcctTbl,2,0),""))</f>
        <v>0</v>
      </c>
      <c r="H23" s="77"/>
      <c r="I23" s="78"/>
      <c r="J23" s="28"/>
      <c r="K23" s="28"/>
      <c r="L23" s="77"/>
    </row>
    <row r="24" spans="1:12" ht="21" customHeight="1">
      <c r="A24" s="48">
        <f>IF($C24="","",COUNTA($C$13:$C24))</f>
        <v>0</v>
      </c>
      <c r="B24" s="28"/>
      <c r="C24" s="28"/>
      <c r="D24" s="28"/>
      <c r="E24" s="28"/>
      <c r="F24" s="28"/>
      <c r="G24" s="30">
        <f>IF($F24="","",IFERROR(VLOOKUP($F24,AcctTbl,2,0),""))</f>
        <v>0</v>
      </c>
      <c r="H24" s="77"/>
      <c r="I24" s="78"/>
      <c r="J24" s="28"/>
      <c r="K24" s="28"/>
      <c r="L24" s="77"/>
    </row>
    <row r="25" spans="1:12" ht="21" customHeight="1">
      <c r="A25" s="48">
        <f>IF($C25="","",COUNTA($C$13:$C25))</f>
        <v>0</v>
      </c>
      <c r="B25" s="28"/>
      <c r="C25" s="28"/>
      <c r="D25" s="28"/>
      <c r="E25" s="28"/>
      <c r="F25" s="28"/>
      <c r="G25" s="30">
        <f>IF($F25="","",IFERROR(VLOOKUP($F25,AcctTbl,2,0),""))</f>
        <v>0</v>
      </c>
      <c r="H25" s="77"/>
      <c r="I25" s="78"/>
      <c r="J25" s="28"/>
      <c r="K25" s="28"/>
      <c r="L25" s="77"/>
    </row>
    <row r="26" spans="1:12" ht="21" customHeight="1">
      <c r="A26" s="48">
        <f>IF($C26="","",COUNTA($C$13:$C26))</f>
        <v>0</v>
      </c>
      <c r="B26" s="28"/>
      <c r="C26" s="28"/>
      <c r="D26" s="28"/>
      <c r="E26" s="28"/>
      <c r="F26" s="28"/>
      <c r="G26" s="30">
        <f>IF($F26="","",IFERROR(VLOOKUP($F26,AcctTbl,2,0),""))</f>
        <v>0</v>
      </c>
      <c r="H26" s="77"/>
      <c r="I26" s="78"/>
      <c r="J26" s="28"/>
      <c r="K26" s="28"/>
      <c r="L26" s="77"/>
    </row>
    <row r="27" spans="1:12" ht="21" customHeight="1">
      <c r="A27" s="48">
        <f>IF($C27="","",COUNTA($C$13:$C27))</f>
        <v>0</v>
      </c>
      <c r="B27" s="28"/>
      <c r="C27" s="28"/>
      <c r="D27" s="28"/>
      <c r="E27" s="28"/>
      <c r="F27" s="28"/>
      <c r="G27" s="30">
        <f>IF($F27="","",IFERROR(VLOOKUP($F27,AcctTbl,2,0),""))</f>
        <v>0</v>
      </c>
      <c r="H27" s="77"/>
      <c r="I27" s="78"/>
      <c r="J27" s="28"/>
      <c r="K27" s="28"/>
      <c r="L27" s="77"/>
    </row>
    <row r="28" spans="1:12" ht="21" customHeight="1">
      <c r="A28" s="48">
        <f>IF($C28="","",COUNTA($C$13:$C28))</f>
        <v>0</v>
      </c>
      <c r="B28" s="28"/>
      <c r="C28" s="28"/>
      <c r="D28" s="28"/>
      <c r="E28" s="28"/>
      <c r="F28" s="28"/>
      <c r="G28" s="30">
        <f>IF($F28="","",IFERROR(VLOOKUP($F28,AcctTbl,2,0),""))</f>
        <v>0</v>
      </c>
      <c r="H28" s="77"/>
      <c r="I28" s="78"/>
      <c r="J28" s="28"/>
      <c r="K28" s="28"/>
      <c r="L28" s="77"/>
    </row>
    <row r="29" spans="1:12" ht="21" customHeight="1">
      <c r="A29" s="48">
        <f>IF($C29="","",COUNTA($C$13:$C29))</f>
        <v>0</v>
      </c>
      <c r="B29" s="28"/>
      <c r="C29" s="28"/>
      <c r="D29" s="28"/>
      <c r="E29" s="28"/>
      <c r="F29" s="28"/>
      <c r="G29" s="30">
        <f>IF($F29="","",IFERROR(VLOOKUP($F29,AcctTbl,2,0),""))</f>
        <v>0</v>
      </c>
      <c r="H29" s="77"/>
      <c r="I29" s="78"/>
      <c r="J29" s="28"/>
      <c r="K29" s="28"/>
      <c r="L29" s="77"/>
    </row>
    <row r="30" spans="1:12" ht="21" customHeight="1">
      <c r="A30" s="48">
        <f>IF($C30="","",COUNTA($C$13:$C30))</f>
        <v>0</v>
      </c>
      <c r="B30" s="28"/>
      <c r="C30" s="28"/>
      <c r="D30" s="28"/>
      <c r="E30" s="28"/>
      <c r="F30" s="28"/>
      <c r="G30" s="30">
        <f>IF($F30="","",IFERROR(VLOOKUP($F30,AcctTbl,2,0),""))</f>
        <v>0</v>
      </c>
      <c r="H30" s="77"/>
      <c r="I30" s="78"/>
      <c r="J30" s="28"/>
      <c r="K30" s="28"/>
      <c r="L30" s="77"/>
    </row>
    <row r="31" spans="1:12" ht="21" customHeight="1">
      <c r="A31" s="48">
        <f>IF($C31="","",COUNTA($C$13:$C31))</f>
        <v>0</v>
      </c>
      <c r="B31" s="28"/>
      <c r="C31" s="28"/>
      <c r="D31" s="28"/>
      <c r="E31" s="28"/>
      <c r="F31" s="28"/>
      <c r="G31" s="30">
        <f>IF($F31="","",IFERROR(VLOOKUP($F31,AcctTbl,2,0),""))</f>
        <v>0</v>
      </c>
      <c r="H31" s="77"/>
      <c r="I31" s="78"/>
      <c r="J31" s="28"/>
      <c r="K31" s="28"/>
      <c r="L31" s="77"/>
    </row>
    <row r="32" spans="1:12" ht="21" customHeight="1">
      <c r="A32" s="48">
        <f>IF($C32="","",COUNTA($C$13:$C32))</f>
        <v>0</v>
      </c>
      <c r="B32" s="28"/>
      <c r="C32" s="28"/>
      <c r="D32" s="28"/>
      <c r="E32" s="28"/>
      <c r="F32" s="28"/>
      <c r="G32" s="30">
        <f>IF($F32="","",IFERROR(VLOOKUP($F32,AcctTbl,2,0),""))</f>
        <v>0</v>
      </c>
      <c r="H32" s="77"/>
      <c r="I32" s="78"/>
      <c r="J32" s="28"/>
      <c r="K32" s="28"/>
      <c r="L32" s="77"/>
    </row>
    <row r="33" spans="1:12" ht="21" customHeight="1">
      <c r="A33" s="48">
        <f>IF($C33="","",COUNTA($C$13:$C33))</f>
        <v>0</v>
      </c>
      <c r="B33" s="28"/>
      <c r="C33" s="28"/>
      <c r="D33" s="28"/>
      <c r="E33" s="28"/>
      <c r="F33" s="28"/>
      <c r="G33" s="30">
        <f>IF($F33="","",IFERROR(VLOOKUP($F33,AcctTbl,2,0),""))</f>
        <v>0</v>
      </c>
      <c r="H33" s="77"/>
      <c r="I33" s="78"/>
      <c r="J33" s="28"/>
      <c r="K33" s="28"/>
      <c r="L33" s="77"/>
    </row>
    <row r="34" spans="1:12" ht="21" customHeight="1">
      <c r="A34" s="48">
        <f>IF($C34="","",COUNTA($C$13:$C34))</f>
        <v>0</v>
      </c>
      <c r="B34" s="28"/>
      <c r="C34" s="28"/>
      <c r="D34" s="28"/>
      <c r="E34" s="28"/>
      <c r="F34" s="28"/>
      <c r="G34" s="30">
        <f>IF($F34="","",IFERROR(VLOOKUP($F34,AcctTbl,2,0),""))</f>
        <v>0</v>
      </c>
      <c r="H34" s="77"/>
      <c r="I34" s="78"/>
      <c r="J34" s="28"/>
      <c r="K34" s="28"/>
      <c r="L34" s="77"/>
    </row>
    <row r="35" spans="1:12" ht="21" customHeight="1">
      <c r="A35" s="48">
        <f>IF($C35="","",COUNTA($C$13:$C35))</f>
        <v>0</v>
      </c>
      <c r="B35" s="28"/>
      <c r="C35" s="28"/>
      <c r="D35" s="28"/>
      <c r="E35" s="28"/>
      <c r="F35" s="28"/>
      <c r="G35" s="30">
        <f>IF($F35="","",IFERROR(VLOOKUP($F35,AcctTbl,2,0),""))</f>
        <v>0</v>
      </c>
      <c r="H35" s="77"/>
      <c r="I35" s="78"/>
      <c r="J35" s="28"/>
      <c r="K35" s="28"/>
      <c r="L35" s="77"/>
    </row>
    <row r="36" spans="1:12" ht="21" customHeight="1">
      <c r="A36" s="48">
        <f>IF($C36="","",COUNTA($C$13:$C36))</f>
        <v>0</v>
      </c>
      <c r="B36" s="28"/>
      <c r="C36" s="28"/>
      <c r="D36" s="28"/>
      <c r="E36" s="28"/>
      <c r="F36" s="28"/>
      <c r="G36" s="30">
        <f>IF($F36="","",IFERROR(VLOOKUP($F36,AcctTbl,2,0),""))</f>
        <v>0</v>
      </c>
      <c r="H36" s="77"/>
      <c r="I36" s="78"/>
      <c r="J36" s="28"/>
      <c r="K36" s="28"/>
      <c r="L36" s="77"/>
    </row>
    <row r="37" spans="1:12" ht="21" customHeight="1">
      <c r="A37" s="48">
        <f>IF($C37="","",COUNTA($C$13:$C37))</f>
        <v>0</v>
      </c>
      <c r="B37" s="28"/>
      <c r="C37" s="28"/>
      <c r="D37" s="28"/>
      <c r="E37" s="28"/>
      <c r="F37" s="28"/>
      <c r="G37" s="30">
        <f>IF($F37="","",IFERROR(VLOOKUP($F37,AcctTbl,2,0),""))</f>
        <v>0</v>
      </c>
      <c r="H37" s="77"/>
      <c r="I37" s="78"/>
      <c r="J37" s="28"/>
      <c r="K37" s="28"/>
      <c r="L37" s="77"/>
    </row>
    <row r="38" spans="1:12" ht="21" customHeight="1">
      <c r="A38" s="48">
        <f>IF($C38="","",COUNTA($C$13:$C38))</f>
        <v>0</v>
      </c>
      <c r="B38" s="28"/>
      <c r="C38" s="28"/>
      <c r="D38" s="28"/>
      <c r="E38" s="28"/>
      <c r="F38" s="28"/>
      <c r="G38" s="30">
        <f>IF($F38="","",IFERROR(VLOOKUP($F38,AcctTbl,2,0),""))</f>
        <v>0</v>
      </c>
      <c r="H38" s="77"/>
      <c r="I38" s="78"/>
      <c r="J38" s="28"/>
      <c r="K38" s="28"/>
      <c r="L38" s="77"/>
    </row>
    <row r="39" spans="1:12" ht="21" customHeight="1">
      <c r="A39" s="48">
        <f>IF($C39="","",COUNTA($C$13:$C39))</f>
        <v>0</v>
      </c>
      <c r="B39" s="28"/>
      <c r="C39" s="28"/>
      <c r="D39" s="28"/>
      <c r="E39" s="28"/>
      <c r="F39" s="28"/>
      <c r="G39" s="30">
        <f>IF($F39="","",IFERROR(VLOOKUP($F39,AcctTbl,2,0),""))</f>
        <v>0</v>
      </c>
      <c r="H39" s="77"/>
      <c r="I39" s="78"/>
      <c r="J39" s="28"/>
      <c r="K39" s="28"/>
      <c r="L39" s="77"/>
    </row>
    <row r="40" spans="1:12" ht="21" customHeight="1">
      <c r="A40" s="48">
        <f>IF($C40="","",COUNTA($C$13:$C40))</f>
        <v>0</v>
      </c>
      <c r="B40" s="28"/>
      <c r="C40" s="28"/>
      <c r="D40" s="28"/>
      <c r="E40" s="28"/>
      <c r="F40" s="28"/>
      <c r="G40" s="30">
        <f>IF($F40="","",IFERROR(VLOOKUP($F40,AcctTbl,2,0),""))</f>
        <v>0</v>
      </c>
      <c r="H40" s="77"/>
      <c r="I40" s="78"/>
      <c r="J40" s="28"/>
      <c r="K40" s="28"/>
      <c r="L40" s="77"/>
    </row>
    <row r="41" spans="1:12" ht="21" customHeight="1">
      <c r="A41" s="48">
        <f>IF($C41="","",COUNTA($C$13:$C41))</f>
        <v>0</v>
      </c>
      <c r="B41" s="28"/>
      <c r="C41" s="28"/>
      <c r="D41" s="28"/>
      <c r="E41" s="28"/>
      <c r="F41" s="28"/>
      <c r="G41" s="30">
        <f>IF($F41="","",IFERROR(VLOOKUP($F41,AcctTbl,2,0),""))</f>
        <v>0</v>
      </c>
      <c r="H41" s="77"/>
      <c r="I41" s="78"/>
      <c r="J41" s="28"/>
      <c r="K41" s="28"/>
      <c r="L41" s="77"/>
    </row>
    <row r="42" spans="1:12" ht="21" customHeight="1">
      <c r="A42" s="48">
        <f>IF($C42="","",COUNTA($C$13:$C42))</f>
        <v>0</v>
      </c>
      <c r="B42" s="28"/>
      <c r="C42" s="28"/>
      <c r="D42" s="28"/>
      <c r="E42" s="28"/>
      <c r="F42" s="28"/>
      <c r="G42" s="30">
        <f>IF($F42="","",IFERROR(VLOOKUP($F42,AcctTbl,2,0),""))</f>
        <v>0</v>
      </c>
      <c r="H42" s="77"/>
      <c r="I42" s="78"/>
      <c r="J42" s="28"/>
      <c r="K42" s="28"/>
      <c r="L42" s="77"/>
    </row>
    <row r="43" spans="1:12" ht="21" customHeight="1">
      <c r="A43" s="48">
        <f>IF($C43="","",COUNTA($C$13:$C43))</f>
        <v>0</v>
      </c>
      <c r="B43" s="28"/>
      <c r="C43" s="28"/>
      <c r="D43" s="28"/>
      <c r="E43" s="28"/>
      <c r="F43" s="28"/>
      <c r="G43" s="30">
        <f>IF($F43="","",IFERROR(VLOOKUP($F43,AcctTbl,2,0),""))</f>
        <v>0</v>
      </c>
      <c r="H43" s="77"/>
      <c r="I43" s="78"/>
      <c r="J43" s="28"/>
      <c r="K43" s="28"/>
      <c r="L43" s="77"/>
    </row>
    <row r="44" spans="1:12" ht="21" customHeight="1">
      <c r="A44" s="48">
        <f>IF($C44="","",COUNTA($C$13:$C44))</f>
        <v>0</v>
      </c>
      <c r="B44" s="28"/>
      <c r="C44" s="28"/>
      <c r="D44" s="28"/>
      <c r="E44" s="28"/>
      <c r="F44" s="28"/>
      <c r="G44" s="30">
        <f>IF($F44="","",IFERROR(VLOOKUP($F44,AcctTbl,2,0),""))</f>
        <v>0</v>
      </c>
      <c r="H44" s="77"/>
      <c r="I44" s="78"/>
      <c r="J44" s="28"/>
      <c r="K44" s="28"/>
      <c r="L44" s="77"/>
    </row>
    <row r="45" spans="1:12" ht="21" customHeight="1">
      <c r="A45" s="48">
        <f>IF($C45="","",COUNTA($C$13:$C45))</f>
        <v>0</v>
      </c>
      <c r="B45" s="28"/>
      <c r="C45" s="28"/>
      <c r="D45" s="28"/>
      <c r="E45" s="28"/>
      <c r="F45" s="28"/>
      <c r="G45" s="30">
        <f>IF($F45="","",IFERROR(VLOOKUP($F45,AcctTbl,2,0),""))</f>
        <v>0</v>
      </c>
      <c r="H45" s="77"/>
      <c r="I45" s="78"/>
      <c r="J45" s="28"/>
      <c r="K45" s="28"/>
      <c r="L45" s="77"/>
    </row>
    <row r="46" spans="1:12" ht="21" customHeight="1">
      <c r="A46" s="48">
        <f>IF($C46="","",COUNTA($C$13:$C46))</f>
        <v>0</v>
      </c>
      <c r="B46" s="28"/>
      <c r="C46" s="28"/>
      <c r="D46" s="28"/>
      <c r="E46" s="28"/>
      <c r="F46" s="28"/>
      <c r="G46" s="30">
        <f>IF($F46="","",IFERROR(VLOOKUP($F46,AcctTbl,2,0),""))</f>
        <v>0</v>
      </c>
      <c r="H46" s="77"/>
      <c r="I46" s="78"/>
      <c r="J46" s="28"/>
      <c r="K46" s="28"/>
      <c r="L46" s="77"/>
    </row>
    <row r="47" spans="1:12" ht="21" customHeight="1">
      <c r="A47" s="48">
        <f>IF($C47="","",COUNTA($C$13:$C47))</f>
        <v>0</v>
      </c>
      <c r="B47" s="28"/>
      <c r="C47" s="28"/>
      <c r="D47" s="28"/>
      <c r="E47" s="28"/>
      <c r="F47" s="28"/>
      <c r="G47" s="30">
        <f>IF($F47="","",IFERROR(VLOOKUP($F47,AcctTbl,2,0),""))</f>
        <v>0</v>
      </c>
      <c r="H47" s="77"/>
      <c r="I47" s="78"/>
      <c r="J47" s="28"/>
      <c r="K47" s="28"/>
      <c r="L47" s="77"/>
    </row>
    <row r="48" spans="1:12" ht="21" customHeight="1">
      <c r="A48" s="48">
        <f>IF($C48="","",COUNTA($C$13:$C48))</f>
        <v>0</v>
      </c>
      <c r="B48" s="28"/>
      <c r="C48" s="28"/>
      <c r="D48" s="28"/>
      <c r="E48" s="28"/>
      <c r="F48" s="28"/>
      <c r="G48" s="30">
        <f>IF($F48="","",IFERROR(VLOOKUP($F48,AcctTbl,2,0),""))</f>
        <v>0</v>
      </c>
      <c r="H48" s="77"/>
      <c r="I48" s="78"/>
      <c r="J48" s="28"/>
      <c r="K48" s="28"/>
      <c r="L48" s="77"/>
    </row>
    <row r="49" spans="1:12" ht="21" customHeight="1">
      <c r="A49" s="48">
        <f>IF($C49="","",COUNTA($C$13:$C49))</f>
        <v>0</v>
      </c>
      <c r="B49" s="28"/>
      <c r="C49" s="28"/>
      <c r="D49" s="28"/>
      <c r="E49" s="28"/>
      <c r="F49" s="28"/>
      <c r="G49" s="30">
        <f>IF($F49="","",IFERROR(VLOOKUP($F49,AcctTbl,2,0),""))</f>
        <v>0</v>
      </c>
      <c r="H49" s="77"/>
      <c r="I49" s="78"/>
      <c r="J49" s="28"/>
      <c r="K49" s="28"/>
      <c r="L49" s="77"/>
    </row>
    <row r="50" spans="1:12" ht="21" customHeight="1">
      <c r="A50" s="48">
        <f>IF($C50="","",COUNTA($C$13:$C50))</f>
        <v>0</v>
      </c>
      <c r="B50" s="28"/>
      <c r="C50" s="28"/>
      <c r="D50" s="28"/>
      <c r="E50" s="28"/>
      <c r="F50" s="28"/>
      <c r="G50" s="30">
        <f>IF($F50="","",IFERROR(VLOOKUP($F50,AcctTbl,2,0),""))</f>
        <v>0</v>
      </c>
      <c r="H50" s="77"/>
      <c r="I50" s="78"/>
      <c r="J50" s="28"/>
      <c r="K50" s="28"/>
      <c r="L50" s="77"/>
    </row>
    <row r="51" spans="1:12" ht="21" customHeight="1">
      <c r="A51" s="48">
        <f>IF($C51="","",COUNTA($C$13:$C51))</f>
        <v>0</v>
      </c>
      <c r="B51" s="28"/>
      <c r="C51" s="28"/>
      <c r="D51" s="28"/>
      <c r="E51" s="28"/>
      <c r="F51" s="28"/>
      <c r="G51" s="30">
        <f>IF($F51="","",IFERROR(VLOOKUP($F51,AcctTbl,2,0),""))</f>
        <v>0</v>
      </c>
      <c r="H51" s="77"/>
      <c r="I51" s="78"/>
      <c r="J51" s="28"/>
      <c r="K51" s="28"/>
      <c r="L51" s="77"/>
    </row>
    <row r="52" spans="1:12" ht="21" customHeight="1">
      <c r="A52" s="48">
        <f>IF($C52="","",COUNTA($C$13:$C52))</f>
        <v>0</v>
      </c>
      <c r="B52" s="28"/>
      <c r="C52" s="28"/>
      <c r="D52" s="28"/>
      <c r="E52" s="28"/>
      <c r="F52" s="28"/>
      <c r="G52" s="30">
        <f>IF($F52="","",IFERROR(VLOOKUP($F52,AcctTbl,2,0),""))</f>
        <v>0</v>
      </c>
      <c r="H52" s="77"/>
      <c r="I52" s="78"/>
      <c r="J52" s="28"/>
      <c r="K52" s="28"/>
      <c r="L52" s="77"/>
    </row>
    <row r="53" spans="1:12" ht="21" customHeight="1">
      <c r="A53" s="48">
        <f>IF($C53="","",COUNTA($C$13:$C53))</f>
        <v>0</v>
      </c>
      <c r="B53" s="28"/>
      <c r="C53" s="28"/>
      <c r="D53" s="28"/>
      <c r="E53" s="28"/>
      <c r="F53" s="28"/>
      <c r="G53" s="30">
        <f>IF($F53="","",IFERROR(VLOOKUP($F53,AcctTbl,2,0),""))</f>
        <v>0</v>
      </c>
      <c r="H53" s="77"/>
      <c r="I53" s="78"/>
      <c r="J53" s="28"/>
      <c r="K53" s="28"/>
      <c r="L53" s="77"/>
    </row>
    <row r="54" spans="1:12" ht="21" customHeight="1">
      <c r="A54" s="48">
        <f>IF($C54="","",COUNTA($C$13:$C54))</f>
        <v>0</v>
      </c>
      <c r="B54" s="28"/>
      <c r="C54" s="28"/>
      <c r="D54" s="28"/>
      <c r="E54" s="28"/>
      <c r="F54" s="28"/>
      <c r="G54" s="30">
        <f>IF($F54="","",IFERROR(VLOOKUP($F54,AcctTbl,2,0),""))</f>
        <v>0</v>
      </c>
      <c r="H54" s="77"/>
      <c r="I54" s="78"/>
      <c r="J54" s="28"/>
      <c r="K54" s="28"/>
      <c r="L54" s="77"/>
    </row>
    <row r="55" spans="1:12" ht="21" customHeight="1">
      <c r="A55" s="48">
        <f>IF($C55="","",COUNTA($C$13:$C55))</f>
        <v>0</v>
      </c>
      <c r="B55" s="28"/>
      <c r="C55" s="28"/>
      <c r="D55" s="28"/>
      <c r="E55" s="28"/>
      <c r="F55" s="28"/>
      <c r="G55" s="30">
        <f>IF($F55="","",IFERROR(VLOOKUP($F55,AcctTbl,2,0),""))</f>
        <v>0</v>
      </c>
      <c r="H55" s="77"/>
      <c r="I55" s="78"/>
      <c r="J55" s="28"/>
      <c r="K55" s="28"/>
      <c r="L55" s="77"/>
    </row>
    <row r="56" spans="1:12" ht="21" customHeight="1">
      <c r="A56" s="48">
        <f>IF($C56="","",COUNTA($C$13:$C56))</f>
        <v>0</v>
      </c>
      <c r="B56" s="28"/>
      <c r="C56" s="28"/>
      <c r="D56" s="28"/>
      <c r="E56" s="28"/>
      <c r="F56" s="28"/>
      <c r="G56" s="30">
        <f>IF($F56="","",IFERROR(VLOOKUP($F56,AcctTbl,2,0),""))</f>
        <v>0</v>
      </c>
      <c r="H56" s="77"/>
      <c r="I56" s="78"/>
      <c r="J56" s="28"/>
      <c r="K56" s="28"/>
      <c r="L56" s="77"/>
    </row>
    <row r="57" spans="1:12" ht="21" customHeight="1">
      <c r="A57" s="48">
        <f>IF($C57="","",COUNTA($C$13:$C57))</f>
        <v>0</v>
      </c>
      <c r="B57" s="28"/>
      <c r="C57" s="28"/>
      <c r="D57" s="28"/>
      <c r="E57" s="28"/>
      <c r="F57" s="28"/>
      <c r="G57" s="30">
        <f>IF($F57="","",IFERROR(VLOOKUP($F57,AcctTbl,2,0),""))</f>
        <v>0</v>
      </c>
      <c r="H57" s="77"/>
      <c r="I57" s="78"/>
      <c r="J57" s="28"/>
      <c r="K57" s="28"/>
      <c r="L57" s="77"/>
    </row>
    <row r="58" spans="1:12" ht="21" customHeight="1">
      <c r="A58" s="48">
        <f>IF($C58="","",COUNTA($C$13:$C58))</f>
        <v>0</v>
      </c>
      <c r="B58" s="28"/>
      <c r="C58" s="28"/>
      <c r="D58" s="28"/>
      <c r="E58" s="28"/>
      <c r="F58" s="28"/>
      <c r="G58" s="30">
        <f>IF($F58="","",IFERROR(VLOOKUP($F58,AcctTbl,2,0),""))</f>
        <v>0</v>
      </c>
      <c r="H58" s="77"/>
      <c r="I58" s="78"/>
      <c r="J58" s="28"/>
      <c r="K58" s="28"/>
      <c r="L58" s="77"/>
    </row>
    <row r="59" spans="1:12" ht="21" customHeight="1">
      <c r="A59" s="48">
        <f>IF($C59="","",COUNTA($C$13:$C59))</f>
        <v>0</v>
      </c>
      <c r="B59" s="28"/>
      <c r="C59" s="28"/>
      <c r="D59" s="28"/>
      <c r="E59" s="28"/>
      <c r="F59" s="28"/>
      <c r="G59" s="30">
        <f>IF($F59="","",IFERROR(VLOOKUP($F59,AcctTbl,2,0),""))</f>
        <v>0</v>
      </c>
      <c r="H59" s="77"/>
      <c r="I59" s="78"/>
      <c r="J59" s="28"/>
      <c r="K59" s="28"/>
      <c r="L59" s="77"/>
    </row>
    <row r="60" spans="1:12" ht="21" customHeight="1">
      <c r="A60" s="48">
        <f>IF($C60="","",COUNTA($C$13:$C60))</f>
        <v>0</v>
      </c>
      <c r="B60" s="28"/>
      <c r="C60" s="28"/>
      <c r="D60" s="28"/>
      <c r="E60" s="28"/>
      <c r="F60" s="28"/>
      <c r="G60" s="30">
        <f>IF($F60="","",IFERROR(VLOOKUP($F60,AcctTbl,2,0),""))</f>
        <v>0</v>
      </c>
      <c r="H60" s="77"/>
      <c r="I60" s="78"/>
      <c r="J60" s="28"/>
      <c r="K60" s="28"/>
      <c r="L60" s="77"/>
    </row>
    <row r="61" spans="1:12" ht="21" customHeight="1">
      <c r="A61" s="48">
        <f>IF($C61="","",COUNTA($C$13:$C61))</f>
        <v>0</v>
      </c>
      <c r="B61" s="28"/>
      <c r="C61" s="28"/>
      <c r="D61" s="28"/>
      <c r="E61" s="28"/>
      <c r="F61" s="28"/>
      <c r="G61" s="30">
        <f>IF($F61="","",IFERROR(VLOOKUP($F61,AcctTbl,2,0),""))</f>
        <v>0</v>
      </c>
      <c r="H61" s="77"/>
      <c r="I61" s="78"/>
      <c r="J61" s="28"/>
      <c r="K61" s="28"/>
      <c r="L61" s="77"/>
    </row>
    <row r="62" spans="1:12" ht="21" customHeight="1">
      <c r="A62" s="48">
        <f>IF($C62="","",COUNTA($C$13:$C62))</f>
        <v>0</v>
      </c>
      <c r="B62" s="28"/>
      <c r="C62" s="28"/>
      <c r="D62" s="28"/>
      <c r="E62" s="28"/>
      <c r="F62" s="28"/>
      <c r="G62" s="30">
        <f>IF($F62="","",IFERROR(VLOOKUP($F62,AcctTbl,2,0),""))</f>
        <v>0</v>
      </c>
      <c r="H62" s="77"/>
      <c r="I62" s="78"/>
      <c r="J62" s="28"/>
      <c r="K62" s="28"/>
      <c r="L62" s="77"/>
    </row>
    <row r="63" spans="1:12" ht="21" customHeight="1">
      <c r="A63" s="48">
        <f>IF($C63="","",COUNTA($C$13:$C63))</f>
        <v>0</v>
      </c>
      <c r="B63" s="28"/>
      <c r="C63" s="28"/>
      <c r="D63" s="28"/>
      <c r="E63" s="28"/>
      <c r="F63" s="28"/>
      <c r="G63" s="30">
        <f>IF($F63="","",IFERROR(VLOOKUP($F63,AcctTbl,2,0),""))</f>
        <v>0</v>
      </c>
      <c r="H63" s="77"/>
      <c r="I63" s="78"/>
      <c r="J63" s="28"/>
      <c r="K63" s="28"/>
      <c r="L63" s="77"/>
    </row>
    <row r="64" spans="1:12" ht="21" customHeight="1">
      <c r="A64" s="48">
        <f>IF($C64="","",COUNTA($C$13:$C64))</f>
        <v>0</v>
      </c>
      <c r="B64" s="28"/>
      <c r="C64" s="28"/>
      <c r="D64" s="28"/>
      <c r="E64" s="28"/>
      <c r="F64" s="28"/>
      <c r="G64" s="30">
        <f>IF($F64="","",IFERROR(VLOOKUP($F64,AcctTbl,2,0),""))</f>
        <v>0</v>
      </c>
      <c r="H64" s="77"/>
      <c r="I64" s="78"/>
      <c r="J64" s="28"/>
      <c r="K64" s="28"/>
      <c r="L64" s="77"/>
    </row>
    <row r="65" spans="1:12" ht="21" customHeight="1">
      <c r="A65" s="48">
        <f>IF($C65="","",COUNTA($C$13:$C65))</f>
        <v>0</v>
      </c>
      <c r="B65" s="28"/>
      <c r="C65" s="28"/>
      <c r="D65" s="28"/>
      <c r="E65" s="28"/>
      <c r="F65" s="28"/>
      <c r="G65" s="30">
        <f>IF($F65="","",IFERROR(VLOOKUP($F65,AcctTbl,2,0),""))</f>
        <v>0</v>
      </c>
      <c r="H65" s="77"/>
      <c r="I65" s="78"/>
      <c r="J65" s="28"/>
      <c r="K65" s="28"/>
      <c r="L65" s="77"/>
    </row>
    <row r="66" spans="1:12" ht="21" customHeight="1">
      <c r="A66" s="48">
        <f>IF($C66="","",COUNTA($C$13:$C66))</f>
        <v>0</v>
      </c>
      <c r="B66" s="28"/>
      <c r="C66" s="28"/>
      <c r="D66" s="28"/>
      <c r="E66" s="28"/>
      <c r="F66" s="28"/>
      <c r="G66" s="30">
        <f>IF($F66="","",IFERROR(VLOOKUP($F66,AcctTbl,2,0),""))</f>
        <v>0</v>
      </c>
      <c r="H66" s="77"/>
      <c r="I66" s="78"/>
      <c r="J66" s="28"/>
      <c r="K66" s="28"/>
      <c r="L66" s="77"/>
    </row>
    <row r="67" spans="1:12" ht="21" customHeight="1">
      <c r="A67" s="48">
        <f>IF($C67="","",COUNTA($C$13:$C67))</f>
        <v>0</v>
      </c>
      <c r="B67" s="28"/>
      <c r="C67" s="28"/>
      <c r="D67" s="28"/>
      <c r="E67" s="28"/>
      <c r="F67" s="28"/>
      <c r="G67" s="30">
        <f>IF($F67="","",IFERROR(VLOOKUP($F67,AcctTbl,2,0),""))</f>
        <v>0</v>
      </c>
      <c r="H67" s="77"/>
      <c r="I67" s="78"/>
      <c r="J67" s="28"/>
      <c r="K67" s="28"/>
      <c r="L67" s="77"/>
    </row>
    <row r="68" spans="1:12" ht="21" customHeight="1">
      <c r="A68" s="48">
        <f>IF($C68="","",COUNTA($C$13:$C68))</f>
        <v>0</v>
      </c>
      <c r="B68" s="28"/>
      <c r="C68" s="28"/>
      <c r="D68" s="28"/>
      <c r="E68" s="28"/>
      <c r="F68" s="28"/>
      <c r="G68" s="30">
        <f>IF($F68="","",IFERROR(VLOOKUP($F68,AcctTbl,2,0),""))</f>
        <v>0</v>
      </c>
      <c r="H68" s="77"/>
      <c r="I68" s="78"/>
      <c r="J68" s="28"/>
      <c r="K68" s="28"/>
      <c r="L68" s="77"/>
    </row>
    <row r="69" spans="1:12" ht="21" customHeight="1">
      <c r="A69" s="48">
        <f>IF($C69="","",COUNTA($C$13:$C69))</f>
        <v>0</v>
      </c>
      <c r="B69" s="28"/>
      <c r="C69" s="28"/>
      <c r="D69" s="28"/>
      <c r="E69" s="28"/>
      <c r="F69" s="28"/>
      <c r="G69" s="30">
        <f>IF($F69="","",IFERROR(VLOOKUP($F69,AcctTbl,2,0),""))</f>
        <v>0</v>
      </c>
      <c r="H69" s="77"/>
      <c r="I69" s="78"/>
      <c r="J69" s="28"/>
      <c r="K69" s="28"/>
      <c r="L69" s="77"/>
    </row>
    <row r="70" spans="1:12" ht="21" customHeight="1">
      <c r="A70" s="48">
        <f>IF($C70="","",COUNTA($C$13:$C70))</f>
        <v>0</v>
      </c>
      <c r="B70" s="28"/>
      <c r="C70" s="28"/>
      <c r="D70" s="28"/>
      <c r="E70" s="28"/>
      <c r="F70" s="28"/>
      <c r="G70" s="30">
        <f>IF($F70="","",IFERROR(VLOOKUP($F70,AcctTbl,2,0),""))</f>
        <v>0</v>
      </c>
      <c r="H70" s="77"/>
      <c r="I70" s="78"/>
      <c r="J70" s="28"/>
      <c r="K70" s="28"/>
      <c r="L70" s="77"/>
    </row>
    <row r="71" spans="1:12" ht="21" customHeight="1">
      <c r="A71" s="48">
        <f>IF($C71="","",COUNTA($C$13:$C71))</f>
        <v>0</v>
      </c>
      <c r="B71" s="28"/>
      <c r="C71" s="28"/>
      <c r="D71" s="28"/>
      <c r="E71" s="28"/>
      <c r="F71" s="28"/>
      <c r="G71" s="30">
        <f>IF($F71="","",IFERROR(VLOOKUP($F71,AcctTbl,2,0),""))</f>
        <v>0</v>
      </c>
      <c r="H71" s="77"/>
      <c r="I71" s="78"/>
      <c r="J71" s="28"/>
      <c r="K71" s="28"/>
      <c r="L71" s="77"/>
    </row>
    <row r="72" spans="1:12" ht="21" customHeight="1">
      <c r="A72" s="48">
        <f>IF($C72="","",COUNTA($C$13:$C72))</f>
        <v>0</v>
      </c>
      <c r="B72" s="28"/>
      <c r="C72" s="28"/>
      <c r="D72" s="28"/>
      <c r="E72" s="28"/>
      <c r="F72" s="28"/>
      <c r="G72" s="30">
        <f>IF($F72="","",IFERROR(VLOOKUP($F72,AcctTbl,2,0),""))</f>
        <v>0</v>
      </c>
      <c r="H72" s="77"/>
      <c r="I72" s="78"/>
      <c r="J72" s="28"/>
      <c r="K72" s="28"/>
      <c r="L72" s="77"/>
    </row>
  </sheetData>
  <autoFilter ref="A12:L72"/>
  <mergeCells count="13">
    <mergeCell ref="A2:L2"/>
    <mergeCell ref="A3:L3"/>
    <mergeCell ref="A4:L4"/>
    <mergeCell ref="A7:C7"/>
    <mergeCell ref="A8:C8"/>
    <mergeCell ref="D7:F7"/>
    <mergeCell ref="D8:F8"/>
    <mergeCell ref="G7:H7"/>
    <mergeCell ref="G8:H8"/>
    <mergeCell ref="I7:J7"/>
    <mergeCell ref="I8:J8"/>
    <mergeCell ref="K7:L7"/>
    <mergeCell ref="K8:L8"/>
  </mergeCells>
  <conditionalFormatting sqref="J13:J72">
    <cfRule type="containsText" dxfId="4" priority="1" operator="containsText" text="پاس">
      <formula>NOT(ISERROR(SEARCH("پاس",J13)))</formula>
    </cfRule>
    <cfRule type="containsText" dxfId="3" priority="2" operator="containsText" text="برگشتی">
      <formula>NOT(ISERROR(SEARCH("برگشتی",J13)))</formula>
    </cfRule>
    <cfRule type="containsText" dxfId="5" priority="3" operator="containsText" text="در جریان">
      <formula>NOT(ISERROR(SEARCH("در جریان",J13)))</formula>
    </cfRule>
  </conditionalFormatting>
  <dataValidations count="4">
    <dataValidation type="list" allowBlank="1" showInputMessage="1" showErrorMessage="1" sqref="E13:E72">
      <formula1>ListChequeTypes</formula1>
    </dataValidation>
    <dataValidation type="list" errorStyle="warning" allowBlank="1" showInputMessage="1" showErrorMessage="1" sqref="H13:H72">
      <formula1>ListBanks</formula1>
    </dataValidation>
    <dataValidation type="list" allowBlank="1" showInputMessage="1" showErrorMessage="1" sqref="J13:J72">
      <formula1>ListChequeStatus</formula1>
    </dataValidation>
    <dataValidation type="list" errorStyle="warning" allowBlank="1" showInputMessage="1" showErrorMessage="1" sqref="F13:F72">
      <formula1>ListAllCodes</formula1>
    </dataValidation>
  </dataValidations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259"/>
  <sheetViews>
    <sheetView showGridLines="0" rightToLeft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/>
  <cols>
    <col min="1" max="1" width="11.7109375" customWidth="1"/>
    <col min="2" max="2" width="34.7109375" customWidth="1"/>
    <col min="3" max="3" width="15.7109375" customWidth="1"/>
    <col min="4" max="4" width="13.7109375" customWidth="1"/>
    <col min="5" max="5" width="8.7109375" customWidth="1"/>
    <col min="6" max="6" width="34.7109375" customWidth="1"/>
    <col min="7" max="7" width="2.7109375" customWidth="1"/>
    <col min="8" max="8" width="9.7109375" customWidth="1"/>
    <col min="9" max="9" width="8.7109375" customWidth="1"/>
    <col min="10" max="10" width="26.7109375" customWidth="1"/>
    <col min="11" max="11" width="16.7109375" customWidth="1"/>
    <col min="12" max="12" width="15.7109375" customWidth="1"/>
    <col min="13" max="13" width="12.7109375" customWidth="1"/>
    <col min="14" max="14" width="2.7109375" customWidth="1"/>
    <col min="15" max="15" width="26.7109375" customWidth="1"/>
    <col min="16" max="16" width="8.7109375" customWidth="1"/>
    <col min="17" max="18" width="9.7109375" customWidth="1"/>
    <col min="19" max="19" width="26.7109375" customWidth="1"/>
    <col min="20" max="20" width="9.7109375" customWidth="1"/>
    <col min="21" max="21" width="8.7109375" customWidth="1"/>
    <col min="22" max="22" width="22.7109375" customWidth="1"/>
    <col min="23" max="23" width="34.7109375" customWidth="1"/>
  </cols>
  <sheetData>
    <row r="1" spans="1:24">
      <c r="A1" s="79" t="s">
        <v>236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</row>
    <row r="2" spans="1:24" ht="21.75" customHeight="1">
      <c r="A2" s="80" t="s">
        <v>237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</row>
    <row r="9" spans="1:24">
      <c r="A9" s="43" t="s">
        <v>238</v>
      </c>
      <c r="B9" s="43"/>
      <c r="C9" s="43"/>
      <c r="D9" s="43"/>
      <c r="E9" s="43"/>
      <c r="F9" s="43"/>
      <c r="H9" s="81" t="s">
        <v>260</v>
      </c>
      <c r="I9" s="81"/>
      <c r="J9" s="81"/>
      <c r="K9" s="81"/>
      <c r="L9" s="81"/>
      <c r="N9" s="82" t="s">
        <v>640</v>
      </c>
      <c r="O9" s="82"/>
      <c r="P9" s="82"/>
      <c r="Q9" s="82"/>
      <c r="R9" s="82"/>
      <c r="S9" s="82"/>
      <c r="T9" s="83" t="s">
        <v>683</v>
      </c>
      <c r="U9" s="83" t="s">
        <v>685</v>
      </c>
      <c r="V9" s="83" t="s">
        <v>687</v>
      </c>
      <c r="W9" s="83" t="s">
        <v>711</v>
      </c>
      <c r="X9" s="83" t="s">
        <v>709</v>
      </c>
    </row>
    <row r="10" spans="1:24">
      <c r="A10" s="84" t="s">
        <v>79</v>
      </c>
      <c r="B10" s="85" t="s">
        <v>240</v>
      </c>
      <c r="C10" s="86">
        <v>500000000</v>
      </c>
      <c r="D10" s="84" t="s">
        <v>79</v>
      </c>
      <c r="E10" s="84" t="s">
        <v>241</v>
      </c>
      <c r="F10" s="85" t="s">
        <v>242</v>
      </c>
      <c r="H10" s="84" t="s">
        <v>262</v>
      </c>
      <c r="I10" s="85" t="s">
        <v>263</v>
      </c>
      <c r="J10" s="85" t="s">
        <v>264</v>
      </c>
      <c r="K10" s="85" t="s">
        <v>265</v>
      </c>
      <c r="L10" s="84" t="s">
        <v>266</v>
      </c>
      <c r="N10" s="85" t="s">
        <v>155</v>
      </c>
      <c r="O10" s="84" t="s">
        <v>642</v>
      </c>
      <c r="P10" s="84" t="s">
        <v>643</v>
      </c>
      <c r="Q10" s="84"/>
      <c r="R10" s="84" t="s">
        <v>644</v>
      </c>
      <c r="S10" s="87" t="s">
        <v>645</v>
      </c>
      <c r="T10" s="85" t="s">
        <v>171</v>
      </c>
      <c r="U10" s="85" t="s">
        <v>198</v>
      </c>
      <c r="V10" s="85" t="s">
        <v>689</v>
      </c>
      <c r="W10" s="85" t="s">
        <v>264</v>
      </c>
      <c r="X10" s="85" t="s">
        <v>218</v>
      </c>
    </row>
    <row r="11" spans="1:24">
      <c r="A11" s="84" t="s">
        <v>66</v>
      </c>
      <c r="B11" s="85" t="s">
        <v>243</v>
      </c>
      <c r="C11" s="86">
        <v>0</v>
      </c>
      <c r="D11" s="84" t="s">
        <v>66</v>
      </c>
      <c r="E11" s="84" t="s">
        <v>241</v>
      </c>
      <c r="F11" s="85" t="s">
        <v>244</v>
      </c>
      <c r="H11" s="84" t="s">
        <v>219</v>
      </c>
      <c r="I11" s="85" t="s">
        <v>267</v>
      </c>
      <c r="J11" s="85" t="s">
        <v>264</v>
      </c>
      <c r="K11" s="85" t="s">
        <v>268</v>
      </c>
      <c r="L11" s="84" t="s">
        <v>266</v>
      </c>
      <c r="N11" s="85" t="s">
        <v>156</v>
      </c>
      <c r="O11" s="84" t="s">
        <v>646</v>
      </c>
      <c r="P11" s="84" t="s">
        <v>643</v>
      </c>
      <c r="Q11" s="84"/>
      <c r="R11" s="84" t="s">
        <v>647</v>
      </c>
      <c r="S11" s="87" t="s">
        <v>648</v>
      </c>
      <c r="T11" s="85" t="s">
        <v>172</v>
      </c>
      <c r="U11" s="85" t="s">
        <v>199</v>
      </c>
      <c r="V11" s="85" t="s">
        <v>690</v>
      </c>
      <c r="W11" s="85" t="s">
        <v>380</v>
      </c>
      <c r="X11" s="85" t="s">
        <v>213</v>
      </c>
    </row>
    <row r="12" spans="1:24">
      <c r="A12" s="84" t="s">
        <v>100</v>
      </c>
      <c r="B12" s="85" t="s">
        <v>245</v>
      </c>
      <c r="C12" s="86">
        <v>0</v>
      </c>
      <c r="D12" s="84" t="s">
        <v>100</v>
      </c>
      <c r="E12" s="84" t="s">
        <v>241</v>
      </c>
      <c r="F12" s="85"/>
      <c r="H12" s="84" t="s">
        <v>269</v>
      </c>
      <c r="I12" s="85" t="s">
        <v>270</v>
      </c>
      <c r="J12" s="85" t="s">
        <v>264</v>
      </c>
      <c r="K12" s="85" t="s">
        <v>271</v>
      </c>
      <c r="L12" s="84" t="s">
        <v>266</v>
      </c>
      <c r="N12" s="85" t="s">
        <v>157</v>
      </c>
      <c r="O12" s="84" t="s">
        <v>642</v>
      </c>
      <c r="P12" s="84" t="s">
        <v>649</v>
      </c>
      <c r="Q12" s="84" t="s">
        <v>425</v>
      </c>
      <c r="R12" s="84" t="s">
        <v>650</v>
      </c>
      <c r="S12" s="87" t="s">
        <v>651</v>
      </c>
      <c r="T12" s="85" t="s">
        <v>74</v>
      </c>
      <c r="U12" s="85" t="s">
        <v>200</v>
      </c>
      <c r="V12" s="85" t="s">
        <v>691</v>
      </c>
      <c r="W12" s="85" t="s">
        <v>392</v>
      </c>
    </row>
    <row r="13" spans="1:24">
      <c r="A13" s="84" t="s">
        <v>246</v>
      </c>
      <c r="B13" s="85" t="s">
        <v>247</v>
      </c>
      <c r="C13" s="86">
        <v>0</v>
      </c>
      <c r="D13" s="84" t="s">
        <v>246</v>
      </c>
      <c r="E13" s="84" t="s">
        <v>241</v>
      </c>
      <c r="F13" s="85"/>
      <c r="H13" s="84" t="s">
        <v>235</v>
      </c>
      <c r="I13" s="85" t="s">
        <v>272</v>
      </c>
      <c r="J13" s="85" t="s">
        <v>264</v>
      </c>
      <c r="K13" s="85"/>
      <c r="L13" s="84" t="s">
        <v>266</v>
      </c>
      <c r="N13" s="85" t="s">
        <v>158</v>
      </c>
      <c r="O13" s="84" t="s">
        <v>646</v>
      </c>
      <c r="P13" s="84" t="s">
        <v>643</v>
      </c>
      <c r="Q13" s="84"/>
      <c r="R13" s="84" t="s">
        <v>652</v>
      </c>
      <c r="S13" s="87" t="s">
        <v>653</v>
      </c>
      <c r="T13" s="85" t="s">
        <v>67</v>
      </c>
      <c r="U13" s="85" t="s">
        <v>231</v>
      </c>
      <c r="V13" s="85" t="s">
        <v>692</v>
      </c>
      <c r="W13" s="85" t="s">
        <v>713</v>
      </c>
    </row>
    <row r="14" spans="1:24">
      <c r="A14" s="84" t="s">
        <v>248</v>
      </c>
      <c r="B14" s="85" t="s">
        <v>249</v>
      </c>
      <c r="C14" s="86">
        <v>0</v>
      </c>
      <c r="D14" s="84" t="s">
        <v>248</v>
      </c>
      <c r="E14" s="84" t="s">
        <v>241</v>
      </c>
      <c r="F14" s="85"/>
      <c r="H14" s="84" t="s">
        <v>273</v>
      </c>
      <c r="I14" s="85" t="s">
        <v>274</v>
      </c>
      <c r="J14" s="85" t="s">
        <v>264</v>
      </c>
      <c r="K14" s="85"/>
      <c r="L14" s="84" t="s">
        <v>266</v>
      </c>
      <c r="N14" s="85" t="s">
        <v>99</v>
      </c>
      <c r="O14" s="84" t="s">
        <v>654</v>
      </c>
      <c r="P14" s="84" t="s">
        <v>655</v>
      </c>
      <c r="Q14" s="84"/>
      <c r="R14" s="84" t="s">
        <v>656</v>
      </c>
      <c r="S14" s="87" t="s">
        <v>657</v>
      </c>
      <c r="T14" s="85" t="s">
        <v>173</v>
      </c>
      <c r="V14" s="85" t="s">
        <v>693</v>
      </c>
      <c r="W14" s="85" t="s">
        <v>400</v>
      </c>
    </row>
    <row r="15" spans="1:24">
      <c r="A15" s="84" t="s">
        <v>250</v>
      </c>
      <c r="B15" s="85" t="s">
        <v>251</v>
      </c>
      <c r="C15" s="86">
        <v>0</v>
      </c>
      <c r="D15" s="84" t="s">
        <v>250</v>
      </c>
      <c r="E15" s="84" t="s">
        <v>241</v>
      </c>
      <c r="F15" s="85"/>
      <c r="H15" s="84" t="s">
        <v>275</v>
      </c>
      <c r="I15" s="85" t="s">
        <v>276</v>
      </c>
      <c r="J15" s="85" t="s">
        <v>264</v>
      </c>
      <c r="K15" s="85"/>
      <c r="L15" s="84" t="s">
        <v>266</v>
      </c>
      <c r="N15" s="85" t="s">
        <v>159</v>
      </c>
      <c r="O15" s="84" t="s">
        <v>646</v>
      </c>
      <c r="P15" s="84" t="s">
        <v>649</v>
      </c>
      <c r="Q15" s="84" t="s">
        <v>417</v>
      </c>
      <c r="R15" s="84" t="s">
        <v>658</v>
      </c>
      <c r="S15" s="87" t="s">
        <v>659</v>
      </c>
      <c r="V15" s="85" t="s">
        <v>694</v>
      </c>
      <c r="W15" s="85" t="s">
        <v>419</v>
      </c>
    </row>
    <row r="16" spans="1:24">
      <c r="A16" s="84" t="s">
        <v>252</v>
      </c>
      <c r="B16" s="85" t="s">
        <v>253</v>
      </c>
      <c r="C16" s="86">
        <v>0</v>
      </c>
      <c r="D16" s="84" t="s">
        <v>252</v>
      </c>
      <c r="E16" s="84" t="s">
        <v>241</v>
      </c>
      <c r="F16" s="85"/>
      <c r="H16" s="84" t="s">
        <v>277</v>
      </c>
      <c r="I16" s="85" t="s">
        <v>278</v>
      </c>
      <c r="J16" s="85" t="s">
        <v>264</v>
      </c>
      <c r="K16" s="85"/>
      <c r="L16" s="84" t="s">
        <v>266</v>
      </c>
      <c r="N16" s="85" t="s">
        <v>160</v>
      </c>
      <c r="O16" s="84" t="s">
        <v>642</v>
      </c>
      <c r="P16" s="84" t="s">
        <v>660</v>
      </c>
      <c r="Q16" s="84"/>
      <c r="R16" s="84" t="s">
        <v>661</v>
      </c>
      <c r="S16" s="87" t="s">
        <v>662</v>
      </c>
      <c r="V16" s="85" t="s">
        <v>695</v>
      </c>
      <c r="W16" s="85" t="s">
        <v>486</v>
      </c>
    </row>
    <row r="17" spans="1:23">
      <c r="A17" s="84" t="s">
        <v>254</v>
      </c>
      <c r="B17" s="85" t="s">
        <v>255</v>
      </c>
      <c r="C17" s="86">
        <v>0</v>
      </c>
      <c r="D17" s="84" t="s">
        <v>254</v>
      </c>
      <c r="E17" s="84" t="s">
        <v>241</v>
      </c>
      <c r="F17" s="85"/>
      <c r="H17" s="84" t="s">
        <v>279</v>
      </c>
      <c r="I17" s="85" t="s">
        <v>280</v>
      </c>
      <c r="J17" s="85" t="s">
        <v>264</v>
      </c>
      <c r="K17" s="85"/>
      <c r="L17" s="84" t="s">
        <v>266</v>
      </c>
      <c r="N17" s="85" t="s">
        <v>161</v>
      </c>
      <c r="O17" s="84" t="s">
        <v>646</v>
      </c>
      <c r="P17" s="84" t="s">
        <v>660</v>
      </c>
      <c r="Q17" s="84"/>
      <c r="R17" s="84" t="s">
        <v>663</v>
      </c>
      <c r="S17" s="87" t="s">
        <v>664</v>
      </c>
      <c r="V17" s="85" t="s">
        <v>696</v>
      </c>
      <c r="W17" s="85" t="s">
        <v>468</v>
      </c>
    </row>
    <row r="18" spans="1:23">
      <c r="A18" s="84" t="s">
        <v>256</v>
      </c>
      <c r="B18" s="85" t="s">
        <v>257</v>
      </c>
      <c r="C18" s="86">
        <v>0</v>
      </c>
      <c r="D18" s="84" t="s">
        <v>256</v>
      </c>
      <c r="E18" s="84" t="s">
        <v>241</v>
      </c>
      <c r="F18" s="85"/>
      <c r="H18" s="84" t="s">
        <v>281</v>
      </c>
      <c r="I18" s="85" t="s">
        <v>282</v>
      </c>
      <c r="J18" s="85" t="s">
        <v>264</v>
      </c>
      <c r="K18" s="85"/>
      <c r="L18" s="84" t="s">
        <v>266</v>
      </c>
      <c r="N18" s="85" t="s">
        <v>65</v>
      </c>
      <c r="O18" s="84" t="s">
        <v>642</v>
      </c>
      <c r="P18" s="84" t="s">
        <v>649</v>
      </c>
      <c r="Q18" s="84" t="s">
        <v>446</v>
      </c>
      <c r="R18" s="84" t="s">
        <v>665</v>
      </c>
      <c r="S18" s="87" t="s">
        <v>666</v>
      </c>
      <c r="V18" s="85" t="s">
        <v>697</v>
      </c>
      <c r="W18" s="85" t="s">
        <v>478</v>
      </c>
    </row>
    <row r="19" spans="1:23">
      <c r="A19" s="84" t="s">
        <v>258</v>
      </c>
      <c r="B19" s="85" t="s">
        <v>259</v>
      </c>
      <c r="C19" s="86">
        <v>0</v>
      </c>
      <c r="D19" s="84" t="s">
        <v>258</v>
      </c>
      <c r="E19" s="84" t="s">
        <v>241</v>
      </c>
      <c r="F19" s="85"/>
      <c r="H19" s="84" t="s">
        <v>283</v>
      </c>
      <c r="I19" s="85" t="s">
        <v>284</v>
      </c>
      <c r="J19" s="85" t="s">
        <v>264</v>
      </c>
      <c r="K19" s="85"/>
      <c r="L19" s="84" t="s">
        <v>266</v>
      </c>
      <c r="N19" s="85" t="s">
        <v>162</v>
      </c>
      <c r="O19" s="84" t="s">
        <v>646</v>
      </c>
      <c r="P19" s="84" t="s">
        <v>649</v>
      </c>
      <c r="Q19" s="84" t="s">
        <v>443</v>
      </c>
      <c r="R19" s="84" t="s">
        <v>667</v>
      </c>
      <c r="S19" s="87" t="s">
        <v>668</v>
      </c>
      <c r="V19" s="85" t="s">
        <v>698</v>
      </c>
      <c r="W19" s="85" t="s">
        <v>482</v>
      </c>
    </row>
    <row r="20" spans="1:23">
      <c r="H20" s="84" t="s">
        <v>285</v>
      </c>
      <c r="I20" s="85" t="s">
        <v>286</v>
      </c>
      <c r="J20" s="85" t="s">
        <v>264</v>
      </c>
      <c r="K20" s="85"/>
      <c r="L20" s="84" t="s">
        <v>266</v>
      </c>
      <c r="N20" s="85" t="s">
        <v>163</v>
      </c>
      <c r="O20" s="84" t="s">
        <v>642</v>
      </c>
      <c r="P20" s="84" t="s">
        <v>649</v>
      </c>
      <c r="Q20" s="84" t="s">
        <v>443</v>
      </c>
      <c r="R20" s="84" t="s">
        <v>669</v>
      </c>
      <c r="S20" s="87" t="s">
        <v>670</v>
      </c>
      <c r="V20" s="85" t="s">
        <v>699</v>
      </c>
    </row>
    <row r="21" spans="1:23">
      <c r="H21" s="84" t="s">
        <v>287</v>
      </c>
      <c r="I21" s="85" t="s">
        <v>288</v>
      </c>
      <c r="J21" s="85" t="s">
        <v>264</v>
      </c>
      <c r="K21" s="85"/>
      <c r="L21" s="84" t="s">
        <v>266</v>
      </c>
      <c r="N21" s="85" t="s">
        <v>164</v>
      </c>
      <c r="O21" s="84" t="s">
        <v>642</v>
      </c>
      <c r="P21" s="84" t="s">
        <v>649</v>
      </c>
      <c r="Q21" s="84" t="s">
        <v>443</v>
      </c>
      <c r="R21" s="84" t="s">
        <v>671</v>
      </c>
      <c r="S21" s="87" t="s">
        <v>672</v>
      </c>
      <c r="V21" s="85" t="s">
        <v>700</v>
      </c>
    </row>
    <row r="22" spans="1:23">
      <c r="H22" s="84" t="s">
        <v>289</v>
      </c>
      <c r="I22" s="85" t="s">
        <v>290</v>
      </c>
      <c r="J22" s="85" t="s">
        <v>264</v>
      </c>
      <c r="K22" s="85"/>
      <c r="L22" s="84" t="s">
        <v>266</v>
      </c>
      <c r="N22" s="85" t="s">
        <v>165</v>
      </c>
      <c r="O22" s="84" t="s">
        <v>642</v>
      </c>
      <c r="P22" s="84" t="s">
        <v>643</v>
      </c>
      <c r="Q22" s="84"/>
      <c r="R22" s="84" t="s">
        <v>673</v>
      </c>
      <c r="S22" s="87" t="s">
        <v>674</v>
      </c>
      <c r="V22" s="85" t="s">
        <v>701</v>
      </c>
    </row>
    <row r="23" spans="1:23">
      <c r="H23" s="84" t="s">
        <v>291</v>
      </c>
      <c r="I23" s="85" t="s">
        <v>292</v>
      </c>
      <c r="J23" s="85" t="s">
        <v>264</v>
      </c>
      <c r="K23" s="85"/>
      <c r="L23" s="84" t="s">
        <v>266</v>
      </c>
      <c r="N23" s="85" t="s">
        <v>166</v>
      </c>
      <c r="O23" s="84" t="s">
        <v>646</v>
      </c>
      <c r="P23" s="84" t="s">
        <v>643</v>
      </c>
      <c r="Q23" s="84"/>
      <c r="R23" s="84" t="s">
        <v>675</v>
      </c>
      <c r="S23" s="87" t="s">
        <v>676</v>
      </c>
      <c r="V23" s="85" t="s">
        <v>702</v>
      </c>
    </row>
    <row r="24" spans="1:23">
      <c r="H24" s="84" t="s">
        <v>293</v>
      </c>
      <c r="I24" s="85" t="s">
        <v>294</v>
      </c>
      <c r="J24" s="85" t="s">
        <v>264</v>
      </c>
      <c r="K24" s="85"/>
      <c r="L24" s="84" t="s">
        <v>266</v>
      </c>
      <c r="N24" s="85" t="s">
        <v>167</v>
      </c>
      <c r="O24" s="84" t="s">
        <v>642</v>
      </c>
      <c r="P24" s="84" t="s">
        <v>643</v>
      </c>
      <c r="Q24" s="84"/>
      <c r="R24" s="84" t="s">
        <v>677</v>
      </c>
      <c r="S24" s="87"/>
      <c r="V24" s="85" t="s">
        <v>703</v>
      </c>
    </row>
    <row r="25" spans="1:23">
      <c r="H25" s="84" t="s">
        <v>295</v>
      </c>
      <c r="I25" s="85" t="s">
        <v>296</v>
      </c>
      <c r="J25" s="85" t="s">
        <v>264</v>
      </c>
      <c r="K25" s="85"/>
      <c r="L25" s="84" t="s">
        <v>266</v>
      </c>
      <c r="N25" s="85" t="s">
        <v>168</v>
      </c>
      <c r="O25" s="84" t="s">
        <v>646</v>
      </c>
      <c r="P25" s="84" t="s">
        <v>643</v>
      </c>
      <c r="Q25" s="84"/>
      <c r="R25" s="84" t="s">
        <v>678</v>
      </c>
      <c r="S25" s="87"/>
      <c r="V25" s="85" t="s">
        <v>704</v>
      </c>
    </row>
    <row r="26" spans="1:23">
      <c r="H26" s="84" t="s">
        <v>297</v>
      </c>
      <c r="I26" s="85" t="s">
        <v>298</v>
      </c>
      <c r="J26" s="85" t="s">
        <v>264</v>
      </c>
      <c r="K26" s="85"/>
      <c r="L26" s="84" t="s">
        <v>266</v>
      </c>
      <c r="N26" s="85" t="s">
        <v>78</v>
      </c>
      <c r="O26" s="84" t="s">
        <v>642</v>
      </c>
      <c r="P26" s="84" t="s">
        <v>649</v>
      </c>
      <c r="Q26" s="84" t="s">
        <v>446</v>
      </c>
      <c r="R26" s="84" t="s">
        <v>679</v>
      </c>
      <c r="S26" s="87" t="s">
        <v>680</v>
      </c>
      <c r="V26" s="85" t="s">
        <v>705</v>
      </c>
    </row>
    <row r="27" spans="1:23">
      <c r="H27" s="84" t="s">
        <v>299</v>
      </c>
      <c r="I27" s="85" t="s">
        <v>300</v>
      </c>
      <c r="J27" s="85" t="s">
        <v>264</v>
      </c>
      <c r="K27" s="85"/>
      <c r="L27" s="84" t="s">
        <v>266</v>
      </c>
      <c r="N27" s="85" t="s">
        <v>73</v>
      </c>
      <c r="O27" s="84" t="s">
        <v>646</v>
      </c>
      <c r="P27" s="84" t="s">
        <v>649</v>
      </c>
      <c r="Q27" s="84" t="s">
        <v>446</v>
      </c>
      <c r="R27" s="84" t="s">
        <v>681</v>
      </c>
      <c r="S27" s="87" t="s">
        <v>682</v>
      </c>
      <c r="V27" s="85" t="s">
        <v>706</v>
      </c>
    </row>
    <row r="28" spans="1:23">
      <c r="H28" s="84" t="s">
        <v>301</v>
      </c>
      <c r="I28" s="85" t="s">
        <v>302</v>
      </c>
      <c r="J28" s="85" t="s">
        <v>264</v>
      </c>
      <c r="K28" s="85"/>
      <c r="L28" s="84" t="s">
        <v>266</v>
      </c>
      <c r="V28" s="85" t="s">
        <v>707</v>
      </c>
    </row>
    <row r="29" spans="1:23">
      <c r="H29" s="84" t="s">
        <v>303</v>
      </c>
      <c r="I29" s="85" t="s">
        <v>304</v>
      </c>
      <c r="J29" s="85" t="s">
        <v>264</v>
      </c>
      <c r="K29" s="85"/>
      <c r="L29" s="84" t="s">
        <v>266</v>
      </c>
      <c r="V29" s="85" t="s">
        <v>708</v>
      </c>
    </row>
    <row r="30" spans="1:23">
      <c r="H30" s="84" t="s">
        <v>305</v>
      </c>
      <c r="I30" s="85" t="s">
        <v>306</v>
      </c>
      <c r="J30" s="85" t="s">
        <v>264</v>
      </c>
      <c r="K30" s="85"/>
      <c r="L30" s="84" t="s">
        <v>266</v>
      </c>
    </row>
    <row r="31" spans="1:23">
      <c r="H31" s="84" t="s">
        <v>307</v>
      </c>
      <c r="I31" s="85" t="s">
        <v>308</v>
      </c>
      <c r="J31" s="85" t="s">
        <v>264</v>
      </c>
      <c r="K31" s="85"/>
      <c r="L31" s="84" t="s">
        <v>266</v>
      </c>
    </row>
    <row r="32" spans="1:23">
      <c r="H32" s="84" t="s">
        <v>309</v>
      </c>
      <c r="I32" s="85" t="s">
        <v>310</v>
      </c>
      <c r="J32" s="85" t="s">
        <v>264</v>
      </c>
      <c r="K32" s="85"/>
      <c r="L32" s="84" t="s">
        <v>266</v>
      </c>
    </row>
    <row r="33" spans="8:12">
      <c r="H33" s="84" t="s">
        <v>311</v>
      </c>
      <c r="I33" s="85" t="s">
        <v>312</v>
      </c>
      <c r="J33" s="85" t="s">
        <v>264</v>
      </c>
      <c r="K33" s="85"/>
      <c r="L33" s="84" t="s">
        <v>266</v>
      </c>
    </row>
    <row r="34" spans="8:12">
      <c r="H34" s="84" t="s">
        <v>313</v>
      </c>
      <c r="I34" s="85" t="s">
        <v>314</v>
      </c>
      <c r="J34" s="85" t="s">
        <v>264</v>
      </c>
      <c r="K34" s="85"/>
      <c r="L34" s="84" t="s">
        <v>266</v>
      </c>
    </row>
    <row r="35" spans="8:12">
      <c r="H35" s="84" t="s">
        <v>315</v>
      </c>
      <c r="I35" s="85" t="s">
        <v>316</v>
      </c>
      <c r="J35" s="85" t="s">
        <v>264</v>
      </c>
      <c r="K35" s="85"/>
      <c r="L35" s="84" t="s">
        <v>266</v>
      </c>
    </row>
    <row r="36" spans="8:12">
      <c r="H36" s="84" t="s">
        <v>317</v>
      </c>
      <c r="I36" s="85" t="s">
        <v>318</v>
      </c>
      <c r="J36" s="85" t="s">
        <v>264</v>
      </c>
      <c r="K36" s="85"/>
      <c r="L36" s="84" t="s">
        <v>266</v>
      </c>
    </row>
    <row r="37" spans="8:12">
      <c r="H37" s="84" t="s">
        <v>319</v>
      </c>
      <c r="I37" s="85" t="s">
        <v>320</v>
      </c>
      <c r="J37" s="85" t="s">
        <v>264</v>
      </c>
      <c r="K37" s="85"/>
      <c r="L37" s="84" t="s">
        <v>266</v>
      </c>
    </row>
    <row r="38" spans="8:12">
      <c r="H38" s="84" t="s">
        <v>321</v>
      </c>
      <c r="I38" s="85" t="s">
        <v>322</v>
      </c>
      <c r="J38" s="85" t="s">
        <v>264</v>
      </c>
      <c r="K38" s="85"/>
      <c r="L38" s="84" t="s">
        <v>266</v>
      </c>
    </row>
    <row r="39" spans="8:12">
      <c r="H39" s="84" t="s">
        <v>323</v>
      </c>
      <c r="I39" s="85" t="s">
        <v>324</v>
      </c>
      <c r="J39" s="85" t="s">
        <v>264</v>
      </c>
      <c r="K39" s="85"/>
      <c r="L39" s="84" t="s">
        <v>266</v>
      </c>
    </row>
    <row r="40" spans="8:12">
      <c r="H40" s="84" t="s">
        <v>325</v>
      </c>
      <c r="I40" s="85" t="s">
        <v>326</v>
      </c>
      <c r="J40" s="85" t="s">
        <v>264</v>
      </c>
      <c r="K40" s="85"/>
      <c r="L40" s="84" t="s">
        <v>266</v>
      </c>
    </row>
    <row r="41" spans="8:12">
      <c r="H41" s="84" t="s">
        <v>327</v>
      </c>
      <c r="I41" s="85" t="s">
        <v>328</v>
      </c>
      <c r="J41" s="85" t="s">
        <v>264</v>
      </c>
      <c r="K41" s="85"/>
      <c r="L41" s="84" t="s">
        <v>266</v>
      </c>
    </row>
    <row r="42" spans="8:12">
      <c r="H42" s="84" t="s">
        <v>329</v>
      </c>
      <c r="I42" s="85" t="s">
        <v>330</v>
      </c>
      <c r="J42" s="85" t="s">
        <v>264</v>
      </c>
      <c r="K42" s="85"/>
      <c r="L42" s="84" t="s">
        <v>266</v>
      </c>
    </row>
    <row r="43" spans="8:12">
      <c r="H43" s="84" t="s">
        <v>331</v>
      </c>
      <c r="I43" s="85" t="s">
        <v>332</v>
      </c>
      <c r="J43" s="85" t="s">
        <v>264</v>
      </c>
      <c r="K43" s="85"/>
      <c r="L43" s="84" t="s">
        <v>266</v>
      </c>
    </row>
    <row r="44" spans="8:12">
      <c r="H44" s="84" t="s">
        <v>333</v>
      </c>
      <c r="I44" s="85" t="s">
        <v>334</v>
      </c>
      <c r="J44" s="85" t="s">
        <v>264</v>
      </c>
      <c r="K44" s="85"/>
      <c r="L44" s="84" t="s">
        <v>266</v>
      </c>
    </row>
    <row r="45" spans="8:12">
      <c r="H45" s="84" t="s">
        <v>335</v>
      </c>
      <c r="I45" s="85" t="s">
        <v>336</v>
      </c>
      <c r="J45" s="85" t="s">
        <v>264</v>
      </c>
      <c r="K45" s="85"/>
      <c r="L45" s="84" t="s">
        <v>266</v>
      </c>
    </row>
    <row r="46" spans="8:12">
      <c r="H46" s="84" t="s">
        <v>337</v>
      </c>
      <c r="I46" s="85" t="s">
        <v>338</v>
      </c>
      <c r="J46" s="85" t="s">
        <v>264</v>
      </c>
      <c r="K46" s="85"/>
      <c r="L46" s="84" t="s">
        <v>266</v>
      </c>
    </row>
    <row r="47" spans="8:12">
      <c r="H47" s="84" t="s">
        <v>339</v>
      </c>
      <c r="I47" s="85" t="s">
        <v>340</v>
      </c>
      <c r="J47" s="85" t="s">
        <v>264</v>
      </c>
      <c r="K47" s="85"/>
      <c r="L47" s="84" t="s">
        <v>266</v>
      </c>
    </row>
    <row r="48" spans="8:12">
      <c r="H48" s="84" t="s">
        <v>341</v>
      </c>
      <c r="I48" s="85" t="s">
        <v>342</v>
      </c>
      <c r="J48" s="85" t="s">
        <v>264</v>
      </c>
      <c r="K48" s="85"/>
      <c r="L48" s="84" t="s">
        <v>266</v>
      </c>
    </row>
    <row r="49" spans="8:12">
      <c r="H49" s="84" t="s">
        <v>343</v>
      </c>
      <c r="I49" s="85" t="s">
        <v>344</v>
      </c>
      <c r="J49" s="85" t="s">
        <v>264</v>
      </c>
      <c r="K49" s="85"/>
      <c r="L49" s="84" t="s">
        <v>266</v>
      </c>
    </row>
    <row r="50" spans="8:12">
      <c r="H50" s="84" t="s">
        <v>345</v>
      </c>
      <c r="I50" s="85" t="s">
        <v>346</v>
      </c>
      <c r="J50" s="85" t="s">
        <v>264</v>
      </c>
      <c r="K50" s="85"/>
      <c r="L50" s="84" t="s">
        <v>266</v>
      </c>
    </row>
    <row r="51" spans="8:12">
      <c r="H51" s="84" t="s">
        <v>347</v>
      </c>
      <c r="I51" s="85" t="s">
        <v>348</v>
      </c>
      <c r="J51" s="85" t="s">
        <v>264</v>
      </c>
      <c r="K51" s="85"/>
      <c r="L51" s="84" t="s">
        <v>266</v>
      </c>
    </row>
    <row r="52" spans="8:12">
      <c r="H52" s="84" t="s">
        <v>349</v>
      </c>
      <c r="I52" s="85" t="s">
        <v>350</v>
      </c>
      <c r="J52" s="85" t="s">
        <v>264</v>
      </c>
      <c r="K52" s="85"/>
      <c r="L52" s="84" t="s">
        <v>266</v>
      </c>
    </row>
    <row r="53" spans="8:12">
      <c r="H53" s="84" t="s">
        <v>351</v>
      </c>
      <c r="I53" s="85" t="s">
        <v>352</v>
      </c>
      <c r="J53" s="85" t="s">
        <v>264</v>
      </c>
      <c r="K53" s="85"/>
      <c r="L53" s="84" t="s">
        <v>266</v>
      </c>
    </row>
    <row r="54" spans="8:12">
      <c r="H54" s="84" t="s">
        <v>353</v>
      </c>
      <c r="I54" s="85" t="s">
        <v>354</v>
      </c>
      <c r="J54" s="85" t="s">
        <v>264</v>
      </c>
      <c r="K54" s="85"/>
      <c r="L54" s="84" t="s">
        <v>266</v>
      </c>
    </row>
    <row r="55" spans="8:12">
      <c r="H55" s="84" t="s">
        <v>355</v>
      </c>
      <c r="I55" s="85" t="s">
        <v>356</v>
      </c>
      <c r="J55" s="85" t="s">
        <v>264</v>
      </c>
      <c r="K55" s="85"/>
      <c r="L55" s="84" t="s">
        <v>266</v>
      </c>
    </row>
    <row r="56" spans="8:12">
      <c r="H56" s="84" t="s">
        <v>357</v>
      </c>
      <c r="I56" s="85" t="s">
        <v>358</v>
      </c>
      <c r="J56" s="85" t="s">
        <v>264</v>
      </c>
      <c r="K56" s="85"/>
      <c r="L56" s="84" t="s">
        <v>266</v>
      </c>
    </row>
    <row r="57" spans="8:12">
      <c r="H57" s="84" t="s">
        <v>359</v>
      </c>
      <c r="I57" s="85" t="s">
        <v>360</v>
      </c>
      <c r="J57" s="85" t="s">
        <v>264</v>
      </c>
      <c r="K57" s="85"/>
      <c r="L57" s="84" t="s">
        <v>266</v>
      </c>
    </row>
    <row r="58" spans="8:12">
      <c r="H58" s="84" t="s">
        <v>361</v>
      </c>
      <c r="I58" s="85" t="s">
        <v>362</v>
      </c>
      <c r="J58" s="85" t="s">
        <v>264</v>
      </c>
      <c r="K58" s="85"/>
      <c r="L58" s="84" t="s">
        <v>266</v>
      </c>
    </row>
    <row r="59" spans="8:12">
      <c r="H59" s="84" t="s">
        <v>363</v>
      </c>
      <c r="I59" s="85" t="s">
        <v>364</v>
      </c>
      <c r="J59" s="85" t="s">
        <v>264</v>
      </c>
      <c r="K59" s="85"/>
      <c r="L59" s="84" t="s">
        <v>266</v>
      </c>
    </row>
    <row r="60" spans="8:12">
      <c r="H60" s="84" t="s">
        <v>365</v>
      </c>
      <c r="I60" s="85" t="s">
        <v>366</v>
      </c>
      <c r="J60" s="85" t="s">
        <v>264</v>
      </c>
      <c r="K60" s="85"/>
      <c r="L60" s="84" t="s">
        <v>266</v>
      </c>
    </row>
    <row r="61" spans="8:12">
      <c r="H61" s="84" t="s">
        <v>367</v>
      </c>
      <c r="I61" s="85" t="s">
        <v>368</v>
      </c>
      <c r="J61" s="85" t="s">
        <v>264</v>
      </c>
      <c r="K61" s="85"/>
      <c r="L61" s="84" t="s">
        <v>266</v>
      </c>
    </row>
    <row r="62" spans="8:12">
      <c r="H62" s="84" t="s">
        <v>369</v>
      </c>
      <c r="I62" s="85" t="s">
        <v>370</v>
      </c>
      <c r="J62" s="85" t="s">
        <v>264</v>
      </c>
      <c r="K62" s="85"/>
      <c r="L62" s="84" t="s">
        <v>266</v>
      </c>
    </row>
    <row r="63" spans="8:12">
      <c r="H63" s="84" t="s">
        <v>371</v>
      </c>
      <c r="I63" s="85" t="s">
        <v>372</v>
      </c>
      <c r="J63" s="85" t="s">
        <v>264</v>
      </c>
      <c r="K63" s="85"/>
      <c r="L63" s="84" t="s">
        <v>266</v>
      </c>
    </row>
    <row r="64" spans="8:12">
      <c r="H64" s="84" t="s">
        <v>373</v>
      </c>
      <c r="I64" s="85" t="s">
        <v>374</v>
      </c>
      <c r="J64" s="85" t="s">
        <v>264</v>
      </c>
      <c r="K64" s="85"/>
      <c r="L64" s="84" t="s">
        <v>266</v>
      </c>
    </row>
    <row r="65" spans="8:12">
      <c r="H65" s="84" t="s">
        <v>375</v>
      </c>
      <c r="I65" s="85" t="s">
        <v>376</v>
      </c>
      <c r="J65" s="85" t="s">
        <v>264</v>
      </c>
      <c r="K65" s="85"/>
      <c r="L65" s="84" t="s">
        <v>266</v>
      </c>
    </row>
    <row r="66" spans="8:12">
      <c r="H66" s="84" t="s">
        <v>377</v>
      </c>
      <c r="I66" s="85" t="s">
        <v>378</v>
      </c>
      <c r="J66" s="85" t="s">
        <v>264</v>
      </c>
      <c r="K66" s="85"/>
      <c r="L66" s="84" t="s">
        <v>266</v>
      </c>
    </row>
    <row r="67" spans="8:12">
      <c r="H67" s="84" t="s">
        <v>227</v>
      </c>
      <c r="I67" s="85" t="s">
        <v>379</v>
      </c>
      <c r="J67" s="85" t="s">
        <v>380</v>
      </c>
      <c r="K67" s="85" t="s">
        <v>381</v>
      </c>
      <c r="L67" s="84" t="s">
        <v>266</v>
      </c>
    </row>
    <row r="68" spans="8:12">
      <c r="H68" s="84" t="s">
        <v>382</v>
      </c>
      <c r="I68" s="85" t="s">
        <v>383</v>
      </c>
      <c r="J68" s="85" t="s">
        <v>380</v>
      </c>
      <c r="K68" s="85" t="s">
        <v>381</v>
      </c>
      <c r="L68" s="84" t="s">
        <v>266</v>
      </c>
    </row>
    <row r="69" spans="8:12">
      <c r="H69" s="84" t="s">
        <v>384</v>
      </c>
      <c r="I69" s="85" t="s">
        <v>385</v>
      </c>
      <c r="J69" s="85" t="s">
        <v>380</v>
      </c>
      <c r="K69" s="85" t="s">
        <v>381</v>
      </c>
      <c r="L69" s="84" t="s">
        <v>266</v>
      </c>
    </row>
    <row r="70" spans="8:12">
      <c r="H70" s="84" t="s">
        <v>386</v>
      </c>
      <c r="I70" s="85" t="s">
        <v>387</v>
      </c>
      <c r="J70" s="85" t="s">
        <v>380</v>
      </c>
      <c r="K70" s="85" t="s">
        <v>381</v>
      </c>
      <c r="L70" s="84" t="s">
        <v>266</v>
      </c>
    </row>
    <row r="71" spans="8:12">
      <c r="H71" s="84" t="s">
        <v>388</v>
      </c>
      <c r="I71" s="85" t="s">
        <v>389</v>
      </c>
      <c r="J71" s="85" t="s">
        <v>380</v>
      </c>
      <c r="K71" s="85" t="s">
        <v>381</v>
      </c>
      <c r="L71" s="84" t="s">
        <v>266</v>
      </c>
    </row>
    <row r="72" spans="8:12">
      <c r="H72" s="84" t="s">
        <v>390</v>
      </c>
      <c r="I72" s="85" t="s">
        <v>391</v>
      </c>
      <c r="J72" s="85" t="s">
        <v>392</v>
      </c>
      <c r="K72" s="85" t="s">
        <v>393</v>
      </c>
      <c r="L72" s="84" t="s">
        <v>266</v>
      </c>
    </row>
    <row r="73" spans="8:12">
      <c r="H73" s="84" t="s">
        <v>394</v>
      </c>
      <c r="I73" s="85" t="s">
        <v>395</v>
      </c>
      <c r="J73" s="85" t="s">
        <v>392</v>
      </c>
      <c r="K73" s="85" t="s">
        <v>393</v>
      </c>
      <c r="L73" s="84" t="s">
        <v>266</v>
      </c>
    </row>
    <row r="74" spans="8:12">
      <c r="H74" s="84" t="s">
        <v>396</v>
      </c>
      <c r="I74" s="85" t="s">
        <v>397</v>
      </c>
      <c r="J74" s="85" t="s">
        <v>392</v>
      </c>
      <c r="K74" s="85" t="s">
        <v>393</v>
      </c>
      <c r="L74" s="84" t="s">
        <v>266</v>
      </c>
    </row>
    <row r="75" spans="8:12">
      <c r="H75" s="84" t="s">
        <v>398</v>
      </c>
      <c r="I75" s="85" t="s">
        <v>399</v>
      </c>
      <c r="J75" s="85" t="s">
        <v>400</v>
      </c>
      <c r="K75" s="85" t="s">
        <v>401</v>
      </c>
      <c r="L75" s="84" t="s">
        <v>266</v>
      </c>
    </row>
    <row r="76" spans="8:12">
      <c r="H76" s="84" t="s">
        <v>402</v>
      </c>
      <c r="I76" s="85" t="s">
        <v>403</v>
      </c>
      <c r="J76" s="85" t="s">
        <v>400</v>
      </c>
      <c r="K76" s="85" t="s">
        <v>404</v>
      </c>
      <c r="L76" s="84" t="s">
        <v>266</v>
      </c>
    </row>
    <row r="77" spans="8:12">
      <c r="H77" s="84" t="s">
        <v>405</v>
      </c>
      <c r="I77" s="85" t="s">
        <v>406</v>
      </c>
      <c r="J77" s="85" t="s">
        <v>400</v>
      </c>
      <c r="K77" s="85" t="s">
        <v>407</v>
      </c>
      <c r="L77" s="84" t="s">
        <v>266</v>
      </c>
    </row>
    <row r="78" spans="8:12">
      <c r="H78" s="84" t="s">
        <v>408</v>
      </c>
      <c r="I78" s="85" t="s">
        <v>409</v>
      </c>
      <c r="J78" s="85" t="s">
        <v>400</v>
      </c>
      <c r="K78" s="85" t="s">
        <v>410</v>
      </c>
      <c r="L78" s="84" t="s">
        <v>266</v>
      </c>
    </row>
    <row r="79" spans="8:12">
      <c r="H79" s="84" t="s">
        <v>411</v>
      </c>
      <c r="I79" s="85" t="s">
        <v>412</v>
      </c>
      <c r="J79" s="85" t="s">
        <v>400</v>
      </c>
      <c r="K79" s="85" t="s">
        <v>413</v>
      </c>
      <c r="L79" s="84" t="s">
        <v>266</v>
      </c>
    </row>
    <row r="80" spans="8:12">
      <c r="H80" s="84" t="s">
        <v>414</v>
      </c>
      <c r="I80" s="85" t="s">
        <v>415</v>
      </c>
      <c r="J80" s="85" t="s">
        <v>400</v>
      </c>
      <c r="K80" s="85" t="s">
        <v>416</v>
      </c>
      <c r="L80" s="84" t="s">
        <v>266</v>
      </c>
    </row>
    <row r="81" spans="8:12">
      <c r="H81" s="84" t="s">
        <v>417</v>
      </c>
      <c r="I81" s="85" t="s">
        <v>418</v>
      </c>
      <c r="J81" s="85" t="s">
        <v>419</v>
      </c>
      <c r="K81" s="85" t="s">
        <v>420</v>
      </c>
      <c r="L81" s="84" t="s">
        <v>266</v>
      </c>
    </row>
    <row r="82" spans="8:12">
      <c r="H82" s="84" t="s">
        <v>421</v>
      </c>
      <c r="I82" s="85" t="s">
        <v>422</v>
      </c>
      <c r="J82" s="85" t="s">
        <v>419</v>
      </c>
      <c r="K82" s="85" t="s">
        <v>423</v>
      </c>
      <c r="L82" s="84" t="s">
        <v>424</v>
      </c>
    </row>
    <row r="83" spans="8:12">
      <c r="H83" s="84" t="s">
        <v>425</v>
      </c>
      <c r="I83" s="85" t="s">
        <v>426</v>
      </c>
      <c r="J83" s="85" t="s">
        <v>419</v>
      </c>
      <c r="K83" s="85" t="s">
        <v>427</v>
      </c>
      <c r="L83" s="84" t="s">
        <v>424</v>
      </c>
    </row>
    <row r="84" spans="8:12">
      <c r="H84" s="84" t="s">
        <v>428</v>
      </c>
      <c r="I84" s="85" t="s">
        <v>429</v>
      </c>
      <c r="J84" s="85" t="s">
        <v>419</v>
      </c>
      <c r="K84" s="85" t="s">
        <v>430</v>
      </c>
      <c r="L84" s="84" t="s">
        <v>424</v>
      </c>
    </row>
    <row r="85" spans="8:12">
      <c r="H85" s="84" t="s">
        <v>431</v>
      </c>
      <c r="I85" s="85" t="s">
        <v>432</v>
      </c>
      <c r="J85" s="85" t="s">
        <v>419</v>
      </c>
      <c r="K85" s="85" t="s">
        <v>430</v>
      </c>
      <c r="L85" s="84" t="s">
        <v>424</v>
      </c>
    </row>
    <row r="86" spans="8:12">
      <c r="H86" s="84" t="s">
        <v>433</v>
      </c>
      <c r="I86" s="85" t="s">
        <v>434</v>
      </c>
      <c r="J86" s="85" t="s">
        <v>419</v>
      </c>
      <c r="K86" s="85" t="s">
        <v>435</v>
      </c>
      <c r="L86" s="84" t="s">
        <v>424</v>
      </c>
    </row>
    <row r="87" spans="8:12">
      <c r="H87" s="84" t="s">
        <v>436</v>
      </c>
      <c r="I87" s="85" t="s">
        <v>437</v>
      </c>
      <c r="J87" s="85" t="s">
        <v>419</v>
      </c>
      <c r="K87" s="85" t="s">
        <v>435</v>
      </c>
      <c r="L87" s="84" t="s">
        <v>424</v>
      </c>
    </row>
    <row r="88" spans="8:12">
      <c r="H88" s="84" t="s">
        <v>438</v>
      </c>
      <c r="I88" s="85" t="s">
        <v>439</v>
      </c>
      <c r="J88" s="85" t="s">
        <v>419</v>
      </c>
      <c r="K88" s="85" t="s">
        <v>435</v>
      </c>
      <c r="L88" s="84" t="s">
        <v>424</v>
      </c>
    </row>
    <row r="89" spans="8:12">
      <c r="H89" s="84" t="s">
        <v>440</v>
      </c>
      <c r="I89" s="85" t="s">
        <v>441</v>
      </c>
      <c r="J89" s="85" t="s">
        <v>419</v>
      </c>
      <c r="K89" s="85" t="s">
        <v>442</v>
      </c>
      <c r="L89" s="84" t="s">
        <v>424</v>
      </c>
    </row>
    <row r="90" spans="8:12">
      <c r="H90" s="84" t="s">
        <v>443</v>
      </c>
      <c r="I90" s="85" t="s">
        <v>444</v>
      </c>
      <c r="J90" s="85" t="s">
        <v>419</v>
      </c>
      <c r="K90" s="85" t="s">
        <v>445</v>
      </c>
      <c r="L90" s="84" t="s">
        <v>424</v>
      </c>
    </row>
    <row r="91" spans="8:12">
      <c r="H91" s="84" t="s">
        <v>446</v>
      </c>
      <c r="I91" s="85" t="s">
        <v>447</v>
      </c>
      <c r="J91" s="85" t="s">
        <v>419</v>
      </c>
      <c r="K91" s="85" t="s">
        <v>448</v>
      </c>
      <c r="L91" s="84" t="s">
        <v>424</v>
      </c>
    </row>
    <row r="92" spans="8:12">
      <c r="H92" s="84" t="s">
        <v>214</v>
      </c>
      <c r="I92" s="85" t="s">
        <v>449</v>
      </c>
      <c r="J92" s="85" t="s">
        <v>419</v>
      </c>
      <c r="K92" s="85" t="s">
        <v>442</v>
      </c>
      <c r="L92" s="84" t="s">
        <v>424</v>
      </c>
    </row>
    <row r="93" spans="8:12">
      <c r="H93" s="84" t="s">
        <v>223</v>
      </c>
      <c r="I93" s="85" t="s">
        <v>450</v>
      </c>
      <c r="J93" s="85" t="s">
        <v>419</v>
      </c>
      <c r="K93" s="85" t="s">
        <v>442</v>
      </c>
      <c r="L93" s="84" t="s">
        <v>424</v>
      </c>
    </row>
    <row r="94" spans="8:12">
      <c r="H94" s="84" t="s">
        <v>451</v>
      </c>
      <c r="I94" s="85" t="s">
        <v>452</v>
      </c>
      <c r="J94" s="85" t="s">
        <v>419</v>
      </c>
      <c r="K94" s="85" t="s">
        <v>442</v>
      </c>
      <c r="L94" s="84" t="s">
        <v>424</v>
      </c>
    </row>
    <row r="95" spans="8:12">
      <c r="H95" s="84" t="s">
        <v>453</v>
      </c>
      <c r="I95" s="85" t="s">
        <v>454</v>
      </c>
      <c r="J95" s="85" t="s">
        <v>419</v>
      </c>
      <c r="K95" s="85" t="s">
        <v>435</v>
      </c>
      <c r="L95" s="84" t="s">
        <v>424</v>
      </c>
    </row>
    <row r="96" spans="8:12">
      <c r="H96" s="84" t="s">
        <v>455</v>
      </c>
      <c r="I96" s="85" t="s">
        <v>456</v>
      </c>
      <c r="J96" s="85" t="s">
        <v>419</v>
      </c>
      <c r="K96" s="85" t="s">
        <v>442</v>
      </c>
      <c r="L96" s="84" t="s">
        <v>424</v>
      </c>
    </row>
    <row r="97" spans="8:12">
      <c r="H97" s="84" t="s">
        <v>457</v>
      </c>
      <c r="I97" s="85" t="s">
        <v>458</v>
      </c>
      <c r="J97" s="85" t="s">
        <v>419</v>
      </c>
      <c r="K97" s="85" t="s">
        <v>459</v>
      </c>
      <c r="L97" s="84" t="s">
        <v>424</v>
      </c>
    </row>
    <row r="98" spans="8:12">
      <c r="H98" s="84" t="s">
        <v>460</v>
      </c>
      <c r="I98" s="85" t="s">
        <v>461</v>
      </c>
      <c r="J98" s="85" t="s">
        <v>419</v>
      </c>
      <c r="K98" s="85" t="s">
        <v>435</v>
      </c>
      <c r="L98" s="84" t="s">
        <v>424</v>
      </c>
    </row>
    <row r="99" spans="8:12">
      <c r="H99" s="84" t="s">
        <v>462</v>
      </c>
      <c r="I99" s="85" t="s">
        <v>463</v>
      </c>
      <c r="J99" s="85" t="s">
        <v>419</v>
      </c>
      <c r="K99" s="85" t="s">
        <v>430</v>
      </c>
      <c r="L99" s="84" t="s">
        <v>424</v>
      </c>
    </row>
    <row r="100" spans="8:12">
      <c r="H100" s="84" t="s">
        <v>464</v>
      </c>
      <c r="I100" s="85" t="s">
        <v>465</v>
      </c>
      <c r="J100" s="85" t="s">
        <v>419</v>
      </c>
      <c r="K100" s="85" t="s">
        <v>448</v>
      </c>
      <c r="L100" s="84" t="s">
        <v>424</v>
      </c>
    </row>
    <row r="101" spans="8:12">
      <c r="H101" s="84" t="s">
        <v>466</v>
      </c>
      <c r="I101" s="85" t="s">
        <v>467</v>
      </c>
      <c r="J101" s="85" t="s">
        <v>468</v>
      </c>
      <c r="K101" s="85" t="s">
        <v>469</v>
      </c>
      <c r="L101" s="84" t="s">
        <v>266</v>
      </c>
    </row>
    <row r="102" spans="8:12">
      <c r="H102" s="84" t="s">
        <v>470</v>
      </c>
      <c r="I102" s="85" t="s">
        <v>471</v>
      </c>
      <c r="J102" s="85" t="s">
        <v>468</v>
      </c>
      <c r="K102" s="85" t="s">
        <v>472</v>
      </c>
      <c r="L102" s="84" t="s">
        <v>266</v>
      </c>
    </row>
    <row r="103" spans="8:12">
      <c r="H103" s="84" t="s">
        <v>473</v>
      </c>
      <c r="I103" s="85" t="s">
        <v>474</v>
      </c>
      <c r="J103" s="85" t="s">
        <v>468</v>
      </c>
      <c r="K103" s="85" t="s">
        <v>475</v>
      </c>
      <c r="L103" s="84" t="s">
        <v>266</v>
      </c>
    </row>
    <row r="104" spans="8:12">
      <c r="H104" s="84" t="s">
        <v>476</v>
      </c>
      <c r="I104" s="85" t="s">
        <v>477</v>
      </c>
      <c r="J104" s="85" t="s">
        <v>478</v>
      </c>
      <c r="K104" s="85" t="s">
        <v>479</v>
      </c>
      <c r="L104" s="84" t="s">
        <v>266</v>
      </c>
    </row>
    <row r="105" spans="8:12">
      <c r="H105" s="84" t="s">
        <v>480</v>
      </c>
      <c r="I105" s="85" t="s">
        <v>481</v>
      </c>
      <c r="J105" s="85" t="s">
        <v>482</v>
      </c>
      <c r="K105" s="85" t="s">
        <v>483</v>
      </c>
      <c r="L105" s="84" t="s">
        <v>266</v>
      </c>
    </row>
    <row r="106" spans="8:12">
      <c r="H106" s="84" t="s">
        <v>484</v>
      </c>
      <c r="I106" s="85" t="s">
        <v>485</v>
      </c>
      <c r="J106" s="85" t="s">
        <v>486</v>
      </c>
      <c r="K106" s="85" t="s">
        <v>487</v>
      </c>
      <c r="L106" s="84" t="s">
        <v>266</v>
      </c>
    </row>
    <row r="107" spans="8:12">
      <c r="H107" s="84" t="s">
        <v>79</v>
      </c>
      <c r="I107" s="85" t="s">
        <v>240</v>
      </c>
      <c r="J107" s="85" t="s">
        <v>488</v>
      </c>
      <c r="K107" s="85" t="s">
        <v>489</v>
      </c>
      <c r="L107" s="84" t="s">
        <v>111</v>
      </c>
    </row>
    <row r="108" spans="8:12">
      <c r="H108" s="84" t="s">
        <v>66</v>
      </c>
      <c r="I108" s="85" t="s">
        <v>243</v>
      </c>
      <c r="J108" s="85" t="s">
        <v>488</v>
      </c>
      <c r="K108" s="85" t="s">
        <v>489</v>
      </c>
      <c r="L108" s="84" t="s">
        <v>111</v>
      </c>
    </row>
    <row r="109" spans="8:12">
      <c r="H109" s="84" t="s">
        <v>100</v>
      </c>
      <c r="I109" s="85" t="s">
        <v>490</v>
      </c>
      <c r="J109" s="85" t="s">
        <v>488</v>
      </c>
      <c r="K109" s="85" t="s">
        <v>489</v>
      </c>
      <c r="L109" s="84" t="s">
        <v>111</v>
      </c>
    </row>
    <row r="110" spans="8:12">
      <c r="H110" s="84" t="s">
        <v>246</v>
      </c>
      <c r="I110" s="85" t="s">
        <v>491</v>
      </c>
      <c r="J110" s="85" t="s">
        <v>488</v>
      </c>
      <c r="K110" s="85" t="s">
        <v>489</v>
      </c>
      <c r="L110" s="84" t="s">
        <v>111</v>
      </c>
    </row>
    <row r="111" spans="8:12">
      <c r="H111" s="84" t="s">
        <v>248</v>
      </c>
      <c r="I111" s="85" t="s">
        <v>492</v>
      </c>
      <c r="J111" s="85" t="s">
        <v>488</v>
      </c>
      <c r="K111" s="85" t="s">
        <v>489</v>
      </c>
      <c r="L111" s="84" t="s">
        <v>111</v>
      </c>
    </row>
    <row r="112" spans="8:12">
      <c r="H112" s="84" t="s">
        <v>250</v>
      </c>
      <c r="I112" s="85" t="s">
        <v>493</v>
      </c>
      <c r="J112" s="85" t="s">
        <v>488</v>
      </c>
      <c r="K112" s="85" t="s">
        <v>489</v>
      </c>
      <c r="L112" s="84" t="s">
        <v>111</v>
      </c>
    </row>
    <row r="113" spans="8:12">
      <c r="H113" s="84" t="s">
        <v>252</v>
      </c>
      <c r="I113" s="85" t="s">
        <v>494</v>
      </c>
      <c r="J113" s="85" t="s">
        <v>488</v>
      </c>
      <c r="K113" s="85" t="s">
        <v>489</v>
      </c>
      <c r="L113" s="84" t="s">
        <v>111</v>
      </c>
    </row>
    <row r="114" spans="8:12">
      <c r="H114" s="84" t="s">
        <v>254</v>
      </c>
      <c r="I114" s="85" t="s">
        <v>495</v>
      </c>
      <c r="J114" s="85" t="s">
        <v>488</v>
      </c>
      <c r="K114" s="85" t="s">
        <v>489</v>
      </c>
      <c r="L114" s="84" t="s">
        <v>111</v>
      </c>
    </row>
    <row r="115" spans="8:12">
      <c r="H115" s="84" t="s">
        <v>256</v>
      </c>
      <c r="I115" s="85" t="s">
        <v>496</v>
      </c>
      <c r="J115" s="85" t="s">
        <v>488</v>
      </c>
      <c r="K115" s="85" t="s">
        <v>489</v>
      </c>
      <c r="L115" s="84" t="s">
        <v>111</v>
      </c>
    </row>
    <row r="116" spans="8:12">
      <c r="H116" s="84" t="s">
        <v>258</v>
      </c>
      <c r="I116" s="85" t="s">
        <v>259</v>
      </c>
      <c r="J116" s="85" t="s">
        <v>488</v>
      </c>
      <c r="K116" s="85" t="s">
        <v>489</v>
      </c>
      <c r="L116" s="84" t="s">
        <v>111</v>
      </c>
    </row>
    <row r="117" spans="8:12">
      <c r="H117" s="84" t="s">
        <v>497</v>
      </c>
      <c r="I117" s="85"/>
      <c r="J117" s="85"/>
      <c r="K117" s="85"/>
      <c r="L117" s="84"/>
    </row>
    <row r="118" spans="8:12">
      <c r="H118" s="84" t="s">
        <v>498</v>
      </c>
      <c r="I118" s="85"/>
      <c r="J118" s="85"/>
      <c r="K118" s="85"/>
      <c r="L118" s="84"/>
    </row>
    <row r="119" spans="8:12">
      <c r="H119" s="84" t="s">
        <v>499</v>
      </c>
      <c r="I119" s="85"/>
      <c r="J119" s="85"/>
      <c r="K119" s="85"/>
      <c r="L119" s="84"/>
    </row>
    <row r="120" spans="8:12">
      <c r="H120" s="84" t="s">
        <v>500</v>
      </c>
      <c r="I120" s="85"/>
      <c r="J120" s="85"/>
      <c r="K120" s="85"/>
      <c r="L120" s="84"/>
    </row>
    <row r="121" spans="8:12">
      <c r="H121" s="84" t="s">
        <v>501</v>
      </c>
      <c r="I121" s="85"/>
      <c r="J121" s="85"/>
      <c r="K121" s="85"/>
      <c r="L121" s="84"/>
    </row>
    <row r="122" spans="8:12">
      <c r="H122" s="84" t="s">
        <v>502</v>
      </c>
      <c r="I122" s="85"/>
      <c r="J122" s="85"/>
      <c r="K122" s="85"/>
      <c r="L122" s="84"/>
    </row>
    <row r="123" spans="8:12">
      <c r="H123" s="84" t="s">
        <v>503</v>
      </c>
      <c r="I123" s="85"/>
      <c r="J123" s="85"/>
      <c r="K123" s="85"/>
      <c r="L123" s="84"/>
    </row>
    <row r="124" spans="8:12">
      <c r="H124" s="84" t="s">
        <v>504</v>
      </c>
      <c r="I124" s="85"/>
      <c r="J124" s="85"/>
      <c r="K124" s="85"/>
      <c r="L124" s="84"/>
    </row>
    <row r="125" spans="8:12">
      <c r="H125" s="84" t="s">
        <v>505</v>
      </c>
      <c r="I125" s="85"/>
      <c r="J125" s="85"/>
      <c r="K125" s="85"/>
      <c r="L125" s="84"/>
    </row>
    <row r="126" spans="8:12">
      <c r="H126" s="84" t="s">
        <v>506</v>
      </c>
      <c r="I126" s="85"/>
      <c r="J126" s="85"/>
      <c r="K126" s="85"/>
      <c r="L126" s="84"/>
    </row>
    <row r="127" spans="8:12">
      <c r="H127" s="84" t="s">
        <v>507</v>
      </c>
      <c r="I127" s="85"/>
      <c r="J127" s="85"/>
      <c r="K127" s="85"/>
      <c r="L127" s="84"/>
    </row>
    <row r="128" spans="8:12">
      <c r="H128" s="84" t="s">
        <v>508</v>
      </c>
      <c r="I128" s="85"/>
      <c r="J128" s="85"/>
      <c r="K128" s="85"/>
      <c r="L128" s="84"/>
    </row>
    <row r="129" spans="8:12">
      <c r="H129" s="84" t="s">
        <v>509</v>
      </c>
      <c r="I129" s="85"/>
      <c r="J129" s="85"/>
      <c r="K129" s="85"/>
      <c r="L129" s="84"/>
    </row>
    <row r="130" spans="8:12">
      <c r="H130" s="84" t="s">
        <v>510</v>
      </c>
      <c r="I130" s="85"/>
      <c r="J130" s="85"/>
      <c r="K130" s="85"/>
      <c r="L130" s="84"/>
    </row>
    <row r="131" spans="8:12">
      <c r="H131" s="84" t="s">
        <v>511</v>
      </c>
      <c r="I131" s="85"/>
      <c r="J131" s="85"/>
      <c r="K131" s="85"/>
      <c r="L131" s="84"/>
    </row>
    <row r="132" spans="8:12">
      <c r="H132" s="84" t="s">
        <v>512</v>
      </c>
      <c r="I132" s="85"/>
      <c r="J132" s="85"/>
      <c r="K132" s="85"/>
      <c r="L132" s="84"/>
    </row>
    <row r="133" spans="8:12">
      <c r="H133" s="84" t="s">
        <v>513</v>
      </c>
      <c r="I133" s="85"/>
      <c r="J133" s="85"/>
      <c r="K133" s="85"/>
      <c r="L133" s="84"/>
    </row>
    <row r="134" spans="8:12">
      <c r="H134" s="84" t="s">
        <v>514</v>
      </c>
      <c r="I134" s="85"/>
      <c r="J134" s="85"/>
      <c r="K134" s="85"/>
      <c r="L134" s="84"/>
    </row>
    <row r="135" spans="8:12">
      <c r="H135" s="84" t="s">
        <v>515</v>
      </c>
      <c r="I135" s="85"/>
      <c r="J135" s="85"/>
      <c r="K135" s="85"/>
      <c r="L135" s="84"/>
    </row>
    <row r="136" spans="8:12">
      <c r="H136" s="84" t="s">
        <v>516</v>
      </c>
      <c r="I136" s="85"/>
      <c r="J136" s="85"/>
      <c r="K136" s="85"/>
      <c r="L136" s="84"/>
    </row>
    <row r="137" spans="8:12">
      <c r="H137" s="84" t="s">
        <v>517</v>
      </c>
      <c r="I137" s="85"/>
      <c r="J137" s="85"/>
      <c r="K137" s="85"/>
      <c r="L137" s="84"/>
    </row>
    <row r="138" spans="8:12">
      <c r="H138" s="84" t="s">
        <v>518</v>
      </c>
      <c r="I138" s="85"/>
      <c r="J138" s="85"/>
      <c r="K138" s="85"/>
      <c r="L138" s="84"/>
    </row>
    <row r="139" spans="8:12">
      <c r="H139" s="84" t="s">
        <v>519</v>
      </c>
      <c r="I139" s="85"/>
      <c r="J139" s="85"/>
      <c r="K139" s="85"/>
      <c r="L139" s="84"/>
    </row>
    <row r="140" spans="8:12">
      <c r="H140" s="84" t="s">
        <v>520</v>
      </c>
      <c r="I140" s="85"/>
      <c r="J140" s="85"/>
      <c r="K140" s="85"/>
      <c r="L140" s="84"/>
    </row>
    <row r="141" spans="8:12">
      <c r="H141" s="84" t="s">
        <v>521</v>
      </c>
      <c r="I141" s="85"/>
      <c r="J141" s="85"/>
      <c r="K141" s="85"/>
      <c r="L141" s="84"/>
    </row>
    <row r="142" spans="8:12">
      <c r="H142" s="84" t="s">
        <v>522</v>
      </c>
      <c r="I142" s="85"/>
      <c r="J142" s="85"/>
      <c r="K142" s="85"/>
      <c r="L142" s="84"/>
    </row>
    <row r="143" spans="8:12">
      <c r="H143" s="84" t="s">
        <v>523</v>
      </c>
      <c r="I143" s="85"/>
      <c r="J143" s="85"/>
      <c r="K143" s="85"/>
      <c r="L143" s="84"/>
    </row>
    <row r="144" spans="8:12">
      <c r="H144" s="84" t="s">
        <v>524</v>
      </c>
      <c r="I144" s="85"/>
      <c r="J144" s="85"/>
      <c r="K144" s="85"/>
      <c r="L144" s="84"/>
    </row>
    <row r="145" spans="8:12">
      <c r="H145" s="84" t="s">
        <v>525</v>
      </c>
      <c r="I145" s="85"/>
      <c r="J145" s="85"/>
      <c r="K145" s="85"/>
      <c r="L145" s="84"/>
    </row>
    <row r="146" spans="8:12">
      <c r="H146" s="84" t="s">
        <v>526</v>
      </c>
      <c r="I146" s="85"/>
      <c r="J146" s="85"/>
      <c r="K146" s="85"/>
      <c r="L146" s="84"/>
    </row>
    <row r="147" spans="8:12">
      <c r="H147" s="84" t="s">
        <v>527</v>
      </c>
      <c r="I147" s="85"/>
      <c r="J147" s="85"/>
      <c r="K147" s="85"/>
      <c r="L147" s="84"/>
    </row>
    <row r="148" spans="8:12">
      <c r="H148" s="84" t="s">
        <v>528</v>
      </c>
      <c r="I148" s="85"/>
      <c r="J148" s="85"/>
      <c r="K148" s="85"/>
      <c r="L148" s="84"/>
    </row>
    <row r="149" spans="8:12">
      <c r="H149" s="84" t="s">
        <v>529</v>
      </c>
      <c r="I149" s="85"/>
      <c r="J149" s="85"/>
      <c r="K149" s="85"/>
      <c r="L149" s="84"/>
    </row>
    <row r="150" spans="8:12">
      <c r="H150" s="84" t="s">
        <v>530</v>
      </c>
      <c r="I150" s="85"/>
      <c r="J150" s="85"/>
      <c r="K150" s="85"/>
      <c r="L150" s="84"/>
    </row>
    <row r="151" spans="8:12">
      <c r="H151" s="84" t="s">
        <v>531</v>
      </c>
      <c r="I151" s="85"/>
      <c r="J151" s="85"/>
      <c r="K151" s="85"/>
      <c r="L151" s="84"/>
    </row>
    <row r="152" spans="8:12">
      <c r="H152" s="84" t="s">
        <v>532</v>
      </c>
      <c r="I152" s="85"/>
      <c r="J152" s="85"/>
      <c r="K152" s="85"/>
      <c r="L152" s="84"/>
    </row>
    <row r="153" spans="8:12">
      <c r="H153" s="84" t="s">
        <v>533</v>
      </c>
      <c r="I153" s="85"/>
      <c r="J153" s="85"/>
      <c r="K153" s="85"/>
      <c r="L153" s="84"/>
    </row>
    <row r="154" spans="8:12">
      <c r="H154" s="84" t="s">
        <v>534</v>
      </c>
      <c r="I154" s="85"/>
      <c r="J154" s="85"/>
      <c r="K154" s="85"/>
      <c r="L154" s="84"/>
    </row>
    <row r="155" spans="8:12">
      <c r="H155" s="84" t="s">
        <v>535</v>
      </c>
      <c r="I155" s="85"/>
      <c r="J155" s="85"/>
      <c r="K155" s="85"/>
      <c r="L155" s="84"/>
    </row>
    <row r="156" spans="8:12">
      <c r="H156" s="84" t="s">
        <v>536</v>
      </c>
      <c r="I156" s="85"/>
      <c r="J156" s="85"/>
      <c r="K156" s="85"/>
      <c r="L156" s="84"/>
    </row>
    <row r="157" spans="8:12">
      <c r="H157" s="84" t="s">
        <v>537</v>
      </c>
      <c r="I157" s="85"/>
      <c r="J157" s="85"/>
      <c r="K157" s="85"/>
      <c r="L157" s="84"/>
    </row>
    <row r="158" spans="8:12">
      <c r="H158" s="84" t="s">
        <v>538</v>
      </c>
      <c r="I158" s="85"/>
      <c r="J158" s="85"/>
      <c r="K158" s="85"/>
      <c r="L158" s="84"/>
    </row>
    <row r="159" spans="8:12">
      <c r="H159" s="84" t="s">
        <v>539</v>
      </c>
      <c r="I159" s="85"/>
      <c r="J159" s="85"/>
      <c r="K159" s="85"/>
      <c r="L159" s="84"/>
    </row>
    <row r="160" spans="8:12">
      <c r="H160" s="84" t="s">
        <v>540</v>
      </c>
      <c r="I160" s="85"/>
      <c r="J160" s="85"/>
      <c r="K160" s="85"/>
      <c r="L160" s="84"/>
    </row>
    <row r="161" spans="8:12">
      <c r="H161" s="84" t="s">
        <v>541</v>
      </c>
      <c r="I161" s="85"/>
      <c r="J161" s="85"/>
      <c r="K161" s="85"/>
      <c r="L161" s="84"/>
    </row>
    <row r="162" spans="8:12">
      <c r="H162" s="84" t="s">
        <v>542</v>
      </c>
      <c r="I162" s="85"/>
      <c r="J162" s="85"/>
      <c r="K162" s="85"/>
      <c r="L162" s="84"/>
    </row>
    <row r="163" spans="8:12">
      <c r="H163" s="84" t="s">
        <v>543</v>
      </c>
      <c r="I163" s="85"/>
      <c r="J163" s="85"/>
      <c r="K163" s="85"/>
      <c r="L163" s="84"/>
    </row>
    <row r="164" spans="8:12">
      <c r="H164" s="84" t="s">
        <v>544</v>
      </c>
      <c r="I164" s="85"/>
      <c r="J164" s="85"/>
      <c r="K164" s="85"/>
      <c r="L164" s="84"/>
    </row>
    <row r="165" spans="8:12">
      <c r="H165" s="84" t="s">
        <v>545</v>
      </c>
      <c r="I165" s="85"/>
      <c r="J165" s="85"/>
      <c r="K165" s="85"/>
      <c r="L165" s="84"/>
    </row>
    <row r="166" spans="8:12">
      <c r="H166" s="84" t="s">
        <v>546</v>
      </c>
      <c r="I166" s="85"/>
      <c r="J166" s="85"/>
      <c r="K166" s="85"/>
      <c r="L166" s="84"/>
    </row>
    <row r="167" spans="8:12">
      <c r="H167" s="84" t="s">
        <v>547</v>
      </c>
      <c r="I167" s="85"/>
      <c r="J167" s="85"/>
      <c r="K167" s="85"/>
      <c r="L167" s="84"/>
    </row>
    <row r="168" spans="8:12">
      <c r="H168" s="84" t="s">
        <v>548</v>
      </c>
      <c r="I168" s="85"/>
      <c r="J168" s="85"/>
      <c r="K168" s="85"/>
      <c r="L168" s="84"/>
    </row>
    <row r="169" spans="8:12">
      <c r="H169" s="84" t="s">
        <v>549</v>
      </c>
      <c r="I169" s="85"/>
      <c r="J169" s="85"/>
      <c r="K169" s="85"/>
      <c r="L169" s="84"/>
    </row>
    <row r="170" spans="8:12">
      <c r="H170" s="84" t="s">
        <v>550</v>
      </c>
      <c r="I170" s="85"/>
      <c r="J170" s="85"/>
      <c r="K170" s="85"/>
      <c r="L170" s="84"/>
    </row>
    <row r="171" spans="8:12">
      <c r="H171" s="84" t="s">
        <v>551</v>
      </c>
      <c r="I171" s="85"/>
      <c r="J171" s="85"/>
      <c r="K171" s="85"/>
      <c r="L171" s="84"/>
    </row>
    <row r="172" spans="8:12">
      <c r="H172" s="84" t="s">
        <v>552</v>
      </c>
      <c r="I172" s="85"/>
      <c r="J172" s="85"/>
      <c r="K172" s="85"/>
      <c r="L172" s="84"/>
    </row>
    <row r="173" spans="8:12">
      <c r="H173" s="84" t="s">
        <v>553</v>
      </c>
      <c r="I173" s="85"/>
      <c r="J173" s="85"/>
      <c r="K173" s="85"/>
      <c r="L173" s="84"/>
    </row>
    <row r="174" spans="8:12">
      <c r="H174" s="84" t="s">
        <v>554</v>
      </c>
      <c r="I174" s="85"/>
      <c r="J174" s="85"/>
      <c r="K174" s="85"/>
      <c r="L174" s="84"/>
    </row>
    <row r="175" spans="8:12">
      <c r="H175" s="84" t="s">
        <v>555</v>
      </c>
      <c r="I175" s="85"/>
      <c r="J175" s="85"/>
      <c r="K175" s="85"/>
      <c r="L175" s="84"/>
    </row>
    <row r="176" spans="8:12">
      <c r="H176" s="84" t="s">
        <v>556</v>
      </c>
      <c r="I176" s="85"/>
      <c r="J176" s="85"/>
      <c r="K176" s="85"/>
      <c r="L176" s="84"/>
    </row>
    <row r="177" spans="8:12">
      <c r="H177" s="84" t="s">
        <v>557</v>
      </c>
      <c r="I177" s="85"/>
      <c r="J177" s="85"/>
      <c r="K177" s="85"/>
      <c r="L177" s="84"/>
    </row>
    <row r="178" spans="8:12">
      <c r="H178" s="84" t="s">
        <v>558</v>
      </c>
      <c r="I178" s="85"/>
      <c r="J178" s="85"/>
      <c r="K178" s="85"/>
      <c r="L178" s="84"/>
    </row>
    <row r="179" spans="8:12">
      <c r="H179" s="84" t="s">
        <v>559</v>
      </c>
      <c r="I179" s="85"/>
      <c r="J179" s="85"/>
      <c r="K179" s="85"/>
      <c r="L179" s="84"/>
    </row>
    <row r="180" spans="8:12">
      <c r="H180" s="84" t="s">
        <v>560</v>
      </c>
      <c r="I180" s="85"/>
      <c r="J180" s="85"/>
      <c r="K180" s="85"/>
      <c r="L180" s="84"/>
    </row>
    <row r="181" spans="8:12">
      <c r="H181" s="84" t="s">
        <v>561</v>
      </c>
      <c r="I181" s="85"/>
      <c r="J181" s="85"/>
      <c r="K181" s="85"/>
      <c r="L181" s="84"/>
    </row>
    <row r="182" spans="8:12">
      <c r="H182" s="84" t="s">
        <v>562</v>
      </c>
      <c r="I182" s="85"/>
      <c r="J182" s="85"/>
      <c r="K182" s="85"/>
      <c r="L182" s="84"/>
    </row>
    <row r="183" spans="8:12">
      <c r="H183" s="84" t="s">
        <v>563</v>
      </c>
      <c r="I183" s="85"/>
      <c r="J183" s="85"/>
      <c r="K183" s="85"/>
      <c r="L183" s="84"/>
    </row>
    <row r="184" spans="8:12">
      <c r="H184" s="84" t="s">
        <v>564</v>
      </c>
      <c r="I184" s="85"/>
      <c r="J184" s="85"/>
      <c r="K184" s="85"/>
      <c r="L184" s="84"/>
    </row>
    <row r="185" spans="8:12">
      <c r="H185" s="84" t="s">
        <v>565</v>
      </c>
      <c r="I185" s="85"/>
      <c r="J185" s="85"/>
      <c r="K185" s="85"/>
      <c r="L185" s="84"/>
    </row>
    <row r="186" spans="8:12">
      <c r="H186" s="84" t="s">
        <v>566</v>
      </c>
      <c r="I186" s="85"/>
      <c r="J186" s="85"/>
      <c r="K186" s="85"/>
      <c r="L186" s="84"/>
    </row>
    <row r="187" spans="8:12">
      <c r="H187" s="84" t="s">
        <v>567</v>
      </c>
      <c r="I187" s="85"/>
      <c r="J187" s="85"/>
      <c r="K187" s="85"/>
      <c r="L187" s="84"/>
    </row>
    <row r="188" spans="8:12">
      <c r="H188" s="84" t="s">
        <v>568</v>
      </c>
      <c r="I188" s="85"/>
      <c r="J188" s="85"/>
      <c r="K188" s="85"/>
      <c r="L188" s="84"/>
    </row>
    <row r="189" spans="8:12">
      <c r="H189" s="84" t="s">
        <v>569</v>
      </c>
      <c r="I189" s="85"/>
      <c r="J189" s="85"/>
      <c r="K189" s="85"/>
      <c r="L189" s="84"/>
    </row>
    <row r="190" spans="8:12">
      <c r="H190" s="84" t="s">
        <v>570</v>
      </c>
      <c r="I190" s="85"/>
      <c r="J190" s="85"/>
      <c r="K190" s="85"/>
      <c r="L190" s="84"/>
    </row>
    <row r="191" spans="8:12">
      <c r="H191" s="84" t="s">
        <v>571</v>
      </c>
      <c r="I191" s="85"/>
      <c r="J191" s="85"/>
      <c r="K191" s="85"/>
      <c r="L191" s="84"/>
    </row>
    <row r="192" spans="8:12">
      <c r="H192" s="84" t="s">
        <v>572</v>
      </c>
      <c r="I192" s="85"/>
      <c r="J192" s="85"/>
      <c r="K192" s="85"/>
      <c r="L192" s="84"/>
    </row>
    <row r="193" spans="8:12">
      <c r="H193" s="84" t="s">
        <v>573</v>
      </c>
      <c r="I193" s="85"/>
      <c r="J193" s="85"/>
      <c r="K193" s="85"/>
      <c r="L193" s="84"/>
    </row>
    <row r="194" spans="8:12">
      <c r="H194" s="84" t="s">
        <v>574</v>
      </c>
      <c r="I194" s="85"/>
      <c r="J194" s="85"/>
      <c r="K194" s="85"/>
      <c r="L194" s="84"/>
    </row>
    <row r="195" spans="8:12">
      <c r="H195" s="84" t="s">
        <v>575</v>
      </c>
      <c r="I195" s="85"/>
      <c r="J195" s="85"/>
      <c r="K195" s="85"/>
      <c r="L195" s="84"/>
    </row>
    <row r="196" spans="8:12">
      <c r="H196" s="84" t="s">
        <v>576</v>
      </c>
      <c r="I196" s="85"/>
      <c r="J196" s="85"/>
      <c r="K196" s="85"/>
      <c r="L196" s="84"/>
    </row>
    <row r="197" spans="8:12">
      <c r="H197" s="84" t="s">
        <v>577</v>
      </c>
      <c r="I197" s="85"/>
      <c r="J197" s="85"/>
      <c r="K197" s="85"/>
      <c r="L197" s="84"/>
    </row>
    <row r="198" spans="8:12">
      <c r="H198" s="84" t="s">
        <v>578</v>
      </c>
      <c r="I198" s="85"/>
      <c r="J198" s="85"/>
      <c r="K198" s="85"/>
      <c r="L198" s="84"/>
    </row>
    <row r="199" spans="8:12">
      <c r="H199" s="84" t="s">
        <v>579</v>
      </c>
      <c r="I199" s="85"/>
      <c r="J199" s="85"/>
      <c r="K199" s="85"/>
      <c r="L199" s="84"/>
    </row>
    <row r="200" spans="8:12">
      <c r="H200" s="84" t="s">
        <v>580</v>
      </c>
      <c r="I200" s="85"/>
      <c r="J200" s="85"/>
      <c r="K200" s="85"/>
      <c r="L200" s="84"/>
    </row>
    <row r="201" spans="8:12">
      <c r="H201" s="84" t="s">
        <v>581</v>
      </c>
      <c r="I201" s="85"/>
      <c r="J201" s="85"/>
      <c r="K201" s="85"/>
      <c r="L201" s="84"/>
    </row>
    <row r="202" spans="8:12">
      <c r="H202" s="84" t="s">
        <v>582</v>
      </c>
      <c r="I202" s="85"/>
      <c r="J202" s="85"/>
      <c r="K202" s="85"/>
      <c r="L202" s="84"/>
    </row>
    <row r="203" spans="8:12">
      <c r="H203" s="84" t="s">
        <v>583</v>
      </c>
      <c r="I203" s="85"/>
      <c r="J203" s="85"/>
      <c r="K203" s="85"/>
      <c r="L203" s="84"/>
    </row>
    <row r="204" spans="8:12">
      <c r="H204" s="84" t="s">
        <v>584</v>
      </c>
      <c r="I204" s="85"/>
      <c r="J204" s="85"/>
      <c r="K204" s="85"/>
      <c r="L204" s="84"/>
    </row>
    <row r="205" spans="8:12">
      <c r="H205" s="84" t="s">
        <v>585</v>
      </c>
      <c r="I205" s="85"/>
      <c r="J205" s="85"/>
      <c r="K205" s="85"/>
      <c r="L205" s="84"/>
    </row>
    <row r="206" spans="8:12">
      <c r="H206" s="84" t="s">
        <v>586</v>
      </c>
      <c r="I206" s="85"/>
      <c r="J206" s="85"/>
      <c r="K206" s="85"/>
      <c r="L206" s="84"/>
    </row>
    <row r="207" spans="8:12">
      <c r="H207" s="84" t="s">
        <v>587</v>
      </c>
      <c r="I207" s="85"/>
      <c r="J207" s="85"/>
      <c r="K207" s="85"/>
      <c r="L207" s="84"/>
    </row>
    <row r="208" spans="8:12">
      <c r="H208" s="84" t="s">
        <v>588</v>
      </c>
      <c r="I208" s="85"/>
      <c r="J208" s="85"/>
      <c r="K208" s="85"/>
      <c r="L208" s="84"/>
    </row>
    <row r="209" spans="8:12">
      <c r="H209" s="84" t="s">
        <v>589</v>
      </c>
      <c r="I209" s="85"/>
      <c r="J209" s="85"/>
      <c r="K209" s="85"/>
      <c r="L209" s="84"/>
    </row>
    <row r="210" spans="8:12">
      <c r="H210" s="84" t="s">
        <v>590</v>
      </c>
      <c r="I210" s="85"/>
      <c r="J210" s="85"/>
      <c r="K210" s="85"/>
      <c r="L210" s="84"/>
    </row>
    <row r="211" spans="8:12">
      <c r="H211" s="84" t="s">
        <v>591</v>
      </c>
      <c r="I211" s="85"/>
      <c r="J211" s="85"/>
      <c r="K211" s="85"/>
      <c r="L211" s="84"/>
    </row>
    <row r="212" spans="8:12">
      <c r="H212" s="84" t="s">
        <v>592</v>
      </c>
      <c r="I212" s="85"/>
      <c r="J212" s="85"/>
      <c r="K212" s="85"/>
      <c r="L212" s="84"/>
    </row>
    <row r="213" spans="8:12">
      <c r="H213" s="84" t="s">
        <v>593</v>
      </c>
      <c r="I213" s="85"/>
      <c r="J213" s="85"/>
      <c r="K213" s="85"/>
      <c r="L213" s="84"/>
    </row>
    <row r="214" spans="8:12">
      <c r="H214" s="84" t="s">
        <v>594</v>
      </c>
      <c r="I214" s="85"/>
      <c r="J214" s="85"/>
      <c r="K214" s="85"/>
      <c r="L214" s="84"/>
    </row>
    <row r="215" spans="8:12">
      <c r="H215" s="84" t="s">
        <v>595</v>
      </c>
      <c r="I215" s="85"/>
      <c r="J215" s="85"/>
      <c r="K215" s="85"/>
      <c r="L215" s="84"/>
    </row>
    <row r="216" spans="8:12">
      <c r="H216" s="84" t="s">
        <v>596</v>
      </c>
      <c r="I216" s="85"/>
      <c r="J216" s="85"/>
      <c r="K216" s="85"/>
      <c r="L216" s="84"/>
    </row>
    <row r="217" spans="8:12">
      <c r="H217" s="84" t="s">
        <v>597</v>
      </c>
      <c r="I217" s="85"/>
      <c r="J217" s="85"/>
      <c r="K217" s="85"/>
      <c r="L217" s="84"/>
    </row>
    <row r="218" spans="8:12">
      <c r="H218" s="84" t="s">
        <v>598</v>
      </c>
      <c r="I218" s="85"/>
      <c r="J218" s="85"/>
      <c r="K218" s="85"/>
      <c r="L218" s="84"/>
    </row>
    <row r="219" spans="8:12">
      <c r="H219" s="84" t="s">
        <v>599</v>
      </c>
      <c r="I219" s="85"/>
      <c r="J219" s="85"/>
      <c r="K219" s="85"/>
      <c r="L219" s="84"/>
    </row>
    <row r="220" spans="8:12">
      <c r="H220" s="84" t="s">
        <v>600</v>
      </c>
      <c r="I220" s="85"/>
      <c r="J220" s="85"/>
      <c r="K220" s="85"/>
      <c r="L220" s="84"/>
    </row>
    <row r="221" spans="8:12">
      <c r="H221" s="84" t="s">
        <v>601</v>
      </c>
      <c r="I221" s="85"/>
      <c r="J221" s="85"/>
      <c r="K221" s="85"/>
      <c r="L221" s="84"/>
    </row>
    <row r="222" spans="8:12">
      <c r="H222" s="84" t="s">
        <v>602</v>
      </c>
      <c r="I222" s="85"/>
      <c r="J222" s="85"/>
      <c r="K222" s="85"/>
      <c r="L222" s="84"/>
    </row>
    <row r="223" spans="8:12">
      <c r="H223" s="84" t="s">
        <v>603</v>
      </c>
      <c r="I223" s="85"/>
      <c r="J223" s="85"/>
      <c r="K223" s="85"/>
      <c r="L223" s="84"/>
    </row>
    <row r="224" spans="8:12">
      <c r="H224" s="84" t="s">
        <v>604</v>
      </c>
      <c r="I224" s="85"/>
      <c r="J224" s="85"/>
      <c r="K224" s="85"/>
      <c r="L224" s="84"/>
    </row>
    <row r="225" spans="8:12">
      <c r="H225" s="84" t="s">
        <v>605</v>
      </c>
      <c r="I225" s="85"/>
      <c r="J225" s="85"/>
      <c r="K225" s="85"/>
      <c r="L225" s="84"/>
    </row>
    <row r="226" spans="8:12">
      <c r="H226" s="84" t="s">
        <v>606</v>
      </c>
      <c r="I226" s="85"/>
      <c r="J226" s="85"/>
      <c r="K226" s="85"/>
      <c r="L226" s="84"/>
    </row>
    <row r="227" spans="8:12">
      <c r="H227" s="84" t="s">
        <v>607</v>
      </c>
      <c r="I227" s="85"/>
      <c r="J227" s="85"/>
      <c r="K227" s="85"/>
      <c r="L227" s="84"/>
    </row>
    <row r="228" spans="8:12">
      <c r="H228" s="84" t="s">
        <v>608</v>
      </c>
      <c r="I228" s="85"/>
      <c r="J228" s="85"/>
      <c r="K228" s="85"/>
      <c r="L228" s="84"/>
    </row>
    <row r="229" spans="8:12">
      <c r="H229" s="84" t="s">
        <v>609</v>
      </c>
      <c r="I229" s="85"/>
      <c r="J229" s="85"/>
      <c r="K229" s="85"/>
      <c r="L229" s="84"/>
    </row>
    <row r="230" spans="8:12">
      <c r="H230" s="84" t="s">
        <v>610</v>
      </c>
      <c r="I230" s="85"/>
      <c r="J230" s="85"/>
      <c r="K230" s="85"/>
      <c r="L230" s="84"/>
    </row>
    <row r="231" spans="8:12">
      <c r="H231" s="84" t="s">
        <v>611</v>
      </c>
      <c r="I231" s="85"/>
      <c r="J231" s="85"/>
      <c r="K231" s="85"/>
      <c r="L231" s="84"/>
    </row>
    <row r="232" spans="8:12">
      <c r="H232" s="84" t="s">
        <v>612</v>
      </c>
      <c r="I232" s="85"/>
      <c r="J232" s="85"/>
      <c r="K232" s="85"/>
      <c r="L232" s="84"/>
    </row>
    <row r="233" spans="8:12">
      <c r="H233" s="84" t="s">
        <v>613</v>
      </c>
      <c r="I233" s="85"/>
      <c r="J233" s="85"/>
      <c r="K233" s="85"/>
      <c r="L233" s="84"/>
    </row>
    <row r="234" spans="8:12">
      <c r="H234" s="84" t="s">
        <v>614</v>
      </c>
      <c r="I234" s="85"/>
      <c r="J234" s="85"/>
      <c r="K234" s="85"/>
      <c r="L234" s="84"/>
    </row>
    <row r="235" spans="8:12">
      <c r="H235" s="84" t="s">
        <v>615</v>
      </c>
      <c r="I235" s="85"/>
      <c r="J235" s="85"/>
      <c r="K235" s="85"/>
      <c r="L235" s="84"/>
    </row>
    <row r="236" spans="8:12">
      <c r="H236" s="84" t="s">
        <v>616</v>
      </c>
      <c r="I236" s="85"/>
      <c r="J236" s="85"/>
      <c r="K236" s="85"/>
      <c r="L236" s="84"/>
    </row>
    <row r="237" spans="8:12">
      <c r="H237" s="84" t="s">
        <v>617</v>
      </c>
      <c r="I237" s="85"/>
      <c r="J237" s="85"/>
      <c r="K237" s="85"/>
      <c r="L237" s="84"/>
    </row>
    <row r="238" spans="8:12">
      <c r="H238" s="84" t="s">
        <v>618</v>
      </c>
      <c r="I238" s="85"/>
      <c r="J238" s="85"/>
      <c r="K238" s="85"/>
      <c r="L238" s="84"/>
    </row>
    <row r="239" spans="8:12">
      <c r="H239" s="84" t="s">
        <v>619</v>
      </c>
      <c r="I239" s="85"/>
      <c r="J239" s="85"/>
      <c r="K239" s="85"/>
      <c r="L239" s="84"/>
    </row>
    <row r="240" spans="8:12">
      <c r="H240" s="84" t="s">
        <v>620</v>
      </c>
      <c r="I240" s="85"/>
      <c r="J240" s="85"/>
      <c r="K240" s="85"/>
      <c r="L240" s="84"/>
    </row>
    <row r="241" spans="8:12">
      <c r="H241" s="84" t="s">
        <v>621</v>
      </c>
      <c r="I241" s="85"/>
      <c r="J241" s="85"/>
      <c r="K241" s="85"/>
      <c r="L241" s="84"/>
    </row>
    <row r="242" spans="8:12">
      <c r="H242" s="84" t="s">
        <v>622</v>
      </c>
      <c r="I242" s="85"/>
      <c r="J242" s="85"/>
      <c r="K242" s="85"/>
      <c r="L242" s="84"/>
    </row>
    <row r="243" spans="8:12">
      <c r="H243" s="84" t="s">
        <v>623</v>
      </c>
      <c r="I243" s="85"/>
      <c r="J243" s="85"/>
      <c r="K243" s="85"/>
      <c r="L243" s="84"/>
    </row>
    <row r="244" spans="8:12">
      <c r="H244" s="84" t="s">
        <v>624</v>
      </c>
      <c r="I244" s="85"/>
      <c r="J244" s="85"/>
      <c r="K244" s="85"/>
      <c r="L244" s="84"/>
    </row>
    <row r="245" spans="8:12">
      <c r="H245" s="84" t="s">
        <v>625</v>
      </c>
      <c r="I245" s="85"/>
      <c r="J245" s="85"/>
      <c r="K245" s="85"/>
      <c r="L245" s="84"/>
    </row>
    <row r="246" spans="8:12">
      <c r="H246" s="84" t="s">
        <v>626</v>
      </c>
      <c r="I246" s="85"/>
      <c r="J246" s="85"/>
      <c r="K246" s="85"/>
      <c r="L246" s="84"/>
    </row>
    <row r="247" spans="8:12">
      <c r="H247" s="84" t="s">
        <v>627</v>
      </c>
      <c r="I247" s="85"/>
      <c r="J247" s="85"/>
      <c r="K247" s="85"/>
      <c r="L247" s="84"/>
    </row>
    <row r="248" spans="8:12">
      <c r="H248" s="84" t="s">
        <v>628</v>
      </c>
      <c r="I248" s="85"/>
      <c r="J248" s="85"/>
      <c r="K248" s="85"/>
      <c r="L248" s="84"/>
    </row>
    <row r="249" spans="8:12">
      <c r="H249" s="84" t="s">
        <v>629</v>
      </c>
      <c r="I249" s="85"/>
      <c r="J249" s="85"/>
      <c r="K249" s="85"/>
      <c r="L249" s="84"/>
    </row>
    <row r="250" spans="8:12">
      <c r="H250" s="84" t="s">
        <v>630</v>
      </c>
      <c r="I250" s="85"/>
      <c r="J250" s="85"/>
      <c r="K250" s="85"/>
      <c r="L250" s="84"/>
    </row>
    <row r="251" spans="8:12">
      <c r="H251" s="84" t="s">
        <v>631</v>
      </c>
      <c r="I251" s="85"/>
      <c r="J251" s="85"/>
      <c r="K251" s="85"/>
      <c r="L251" s="84"/>
    </row>
    <row r="252" spans="8:12">
      <c r="H252" s="84" t="s">
        <v>632</v>
      </c>
      <c r="I252" s="85"/>
      <c r="J252" s="85"/>
      <c r="K252" s="85"/>
      <c r="L252" s="84"/>
    </row>
    <row r="253" spans="8:12">
      <c r="H253" s="84" t="s">
        <v>633</v>
      </c>
      <c r="I253" s="85"/>
      <c r="J253" s="85"/>
      <c r="K253" s="85"/>
      <c r="L253" s="84"/>
    </row>
    <row r="254" spans="8:12">
      <c r="H254" s="84" t="s">
        <v>634</v>
      </c>
      <c r="I254" s="85"/>
      <c r="J254" s="85"/>
      <c r="K254" s="85"/>
      <c r="L254" s="84"/>
    </row>
    <row r="255" spans="8:12">
      <c r="H255" s="84" t="s">
        <v>635</v>
      </c>
      <c r="I255" s="85"/>
      <c r="J255" s="85"/>
      <c r="K255" s="85"/>
      <c r="L255" s="84"/>
    </row>
    <row r="256" spans="8:12">
      <c r="H256" s="84" t="s">
        <v>636</v>
      </c>
      <c r="I256" s="85"/>
      <c r="J256" s="85"/>
      <c r="K256" s="85"/>
      <c r="L256" s="84"/>
    </row>
    <row r="257" spans="8:12">
      <c r="H257" s="84" t="s">
        <v>637</v>
      </c>
      <c r="I257" s="85"/>
      <c r="J257" s="85"/>
      <c r="K257" s="85"/>
      <c r="L257" s="84"/>
    </row>
    <row r="258" spans="8:12">
      <c r="H258" s="84" t="s">
        <v>638</v>
      </c>
      <c r="I258" s="85"/>
      <c r="J258" s="85"/>
      <c r="K258" s="85"/>
      <c r="L258" s="84"/>
    </row>
    <row r="259" spans="8:12">
      <c r="H259" s="84" t="s">
        <v>639</v>
      </c>
      <c r="I259" s="85"/>
      <c r="J259" s="85"/>
      <c r="K259" s="85"/>
      <c r="L259" s="84"/>
    </row>
  </sheetData>
  <sheetProtection sheet="1" objects="1" scenarios="1" selectUnlockedCells="1"/>
  <mergeCells count="5">
    <mergeCell ref="A1:W1"/>
    <mergeCell ref="A2:W2"/>
    <mergeCell ref="A9:F9"/>
    <mergeCell ref="H9:L9"/>
    <mergeCell ref="N9:S9"/>
  </mergeCells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61"/>
  <sheetViews>
    <sheetView showGridLines="0" rightToLeft="1" zoomScale="85" zoomScaleNormal="85" workbookViewId="0"/>
  </sheetViews>
  <sheetFormatPr defaultRowHeight="15"/>
  <sheetData>
    <row r="1" spans="1:9" ht="6" customHeight="1">
      <c r="A1" s="1"/>
      <c r="B1" s="1"/>
      <c r="C1" s="1"/>
      <c r="D1" s="1"/>
      <c r="E1" s="1"/>
      <c r="F1" s="1"/>
      <c r="G1" s="1"/>
      <c r="H1" s="1"/>
      <c r="I1" s="1"/>
    </row>
    <row r="2" spans="1:9" ht="18" customHeight="1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9" ht="38.25" customHeight="1">
      <c r="A3" s="3" t="s">
        <v>714</v>
      </c>
      <c r="B3" s="3"/>
      <c r="C3" s="3"/>
      <c r="D3" s="3"/>
      <c r="E3" s="3"/>
      <c r="F3" s="3"/>
      <c r="G3" s="3"/>
      <c r="H3" s="3"/>
      <c r="I3" s="3"/>
    </row>
    <row r="4" spans="1:9" ht="21.75" customHeight="1">
      <c r="A4" s="4" t="s">
        <v>715</v>
      </c>
      <c r="B4" s="4"/>
      <c r="C4" s="4"/>
      <c r="D4" s="4"/>
      <c r="E4" s="4"/>
      <c r="F4" s="4"/>
      <c r="G4" s="4"/>
      <c r="H4" s="4"/>
      <c r="I4" s="4"/>
    </row>
    <row r="5" spans="1:9" ht="3.75" customHeight="1">
      <c r="A5" s="5"/>
      <c r="B5" s="5"/>
      <c r="C5" s="5"/>
      <c r="D5" s="5"/>
      <c r="E5" s="5"/>
      <c r="F5" s="5"/>
      <c r="G5" s="5"/>
      <c r="H5" s="5"/>
      <c r="I5" s="5"/>
    </row>
    <row r="7" spans="1:9" ht="26.25" customHeight="1">
      <c r="A7" s="11" t="s">
        <v>716</v>
      </c>
      <c r="B7" s="11"/>
      <c r="C7" s="11"/>
      <c r="D7" s="11"/>
      <c r="E7" s="11"/>
      <c r="F7" s="11"/>
      <c r="G7" s="11"/>
      <c r="H7" s="12" t="s">
        <v>8</v>
      </c>
      <c r="I7" s="12"/>
    </row>
    <row r="8" spans="1:9" ht="32.25" customHeight="1">
      <c r="A8" s="88" t="s">
        <v>717</v>
      </c>
      <c r="B8" s="88"/>
      <c r="C8" s="88"/>
      <c r="D8" s="88"/>
      <c r="E8" s="88"/>
      <c r="F8" s="88"/>
      <c r="G8" s="88"/>
      <c r="H8" s="88"/>
      <c r="I8" s="88"/>
    </row>
    <row r="9" spans="1:9" ht="27.75" customHeight="1">
      <c r="A9" s="89" t="s">
        <v>718</v>
      </c>
      <c r="B9" s="89"/>
      <c r="C9" s="89"/>
      <c r="D9" s="89"/>
      <c r="E9" s="89"/>
      <c r="F9" s="89"/>
      <c r="G9" s="89"/>
      <c r="H9" s="89"/>
      <c r="I9" s="89"/>
    </row>
    <row r="10" spans="1:9" ht="27.75" customHeight="1">
      <c r="A10" s="89" t="s">
        <v>719</v>
      </c>
      <c r="B10" s="89"/>
      <c r="C10" s="89"/>
      <c r="D10" s="89"/>
      <c r="E10" s="89"/>
      <c r="F10" s="89"/>
      <c r="G10" s="89"/>
      <c r="H10" s="89"/>
      <c r="I10" s="89"/>
    </row>
    <row r="11" spans="1:9" ht="27.75" customHeight="1">
      <c r="A11" s="89" t="s">
        <v>720</v>
      </c>
      <c r="B11" s="89"/>
      <c r="C11" s="89"/>
      <c r="D11" s="89"/>
      <c r="E11" s="89"/>
      <c r="F11" s="89"/>
      <c r="G11" s="89"/>
      <c r="H11" s="89"/>
      <c r="I11" s="89"/>
    </row>
    <row r="12" spans="1:9" ht="27.75" customHeight="1">
      <c r="A12" s="89" t="s">
        <v>721</v>
      </c>
      <c r="B12" s="89"/>
      <c r="C12" s="89"/>
      <c r="D12" s="89"/>
      <c r="E12" s="89"/>
      <c r="F12" s="89"/>
      <c r="G12" s="89"/>
      <c r="H12" s="89"/>
      <c r="I12" s="89"/>
    </row>
    <row r="14" spans="1:9" ht="26.25" customHeight="1">
      <c r="A14" s="11" t="s">
        <v>722</v>
      </c>
      <c r="B14" s="11"/>
      <c r="C14" s="11"/>
      <c r="D14" s="11"/>
      <c r="E14" s="11"/>
      <c r="F14" s="11"/>
      <c r="G14" s="11"/>
      <c r="H14" s="12" t="s">
        <v>22</v>
      </c>
      <c r="I14" s="12"/>
    </row>
    <row r="15" spans="1:9" ht="32.25" customHeight="1">
      <c r="A15" s="88" t="s">
        <v>723</v>
      </c>
      <c r="B15" s="88"/>
      <c r="C15" s="88"/>
      <c r="D15" s="88"/>
      <c r="E15" s="88"/>
      <c r="F15" s="88"/>
      <c r="G15" s="88"/>
      <c r="H15" s="88"/>
      <c r="I15" s="88"/>
    </row>
    <row r="16" spans="1:9" ht="27.75" customHeight="1">
      <c r="A16" s="89" t="s">
        <v>724</v>
      </c>
      <c r="B16" s="89"/>
      <c r="C16" s="89"/>
      <c r="D16" s="89"/>
      <c r="E16" s="89"/>
      <c r="F16" s="89"/>
      <c r="G16" s="89"/>
      <c r="H16" s="89"/>
      <c r="I16" s="89"/>
    </row>
    <row r="17" spans="1:9" ht="27.75" customHeight="1">
      <c r="A17" s="89" t="s">
        <v>725</v>
      </c>
      <c r="B17" s="89"/>
      <c r="C17" s="89"/>
      <c r="D17" s="89"/>
      <c r="E17" s="89"/>
      <c r="F17" s="89"/>
      <c r="G17" s="89"/>
      <c r="H17" s="89"/>
      <c r="I17" s="89"/>
    </row>
    <row r="18" spans="1:9" ht="27.75" customHeight="1">
      <c r="A18" s="89" t="s">
        <v>726</v>
      </c>
      <c r="B18" s="89"/>
      <c r="C18" s="89"/>
      <c r="D18" s="89"/>
      <c r="E18" s="89"/>
      <c r="F18" s="89"/>
      <c r="G18" s="89"/>
      <c r="H18" s="89"/>
      <c r="I18" s="89"/>
    </row>
    <row r="19" spans="1:9" ht="27.75" customHeight="1">
      <c r="A19" s="89" t="s">
        <v>727</v>
      </c>
      <c r="B19" s="89"/>
      <c r="C19" s="89"/>
      <c r="D19" s="89"/>
      <c r="E19" s="89"/>
      <c r="F19" s="89"/>
      <c r="G19" s="89"/>
      <c r="H19" s="89"/>
      <c r="I19" s="89"/>
    </row>
    <row r="20" spans="1:9" ht="27.75" customHeight="1">
      <c r="A20" s="89" t="s">
        <v>728</v>
      </c>
      <c r="B20" s="89"/>
      <c r="C20" s="89"/>
      <c r="D20" s="89"/>
      <c r="E20" s="89"/>
      <c r="F20" s="89"/>
      <c r="G20" s="89"/>
      <c r="H20" s="89"/>
      <c r="I20" s="89"/>
    </row>
    <row r="22" spans="1:9" ht="26.25" customHeight="1">
      <c r="A22" s="11" t="s">
        <v>729</v>
      </c>
      <c r="B22" s="11"/>
      <c r="C22" s="11"/>
      <c r="D22" s="11"/>
      <c r="E22" s="11"/>
      <c r="F22" s="11"/>
      <c r="G22" s="11"/>
      <c r="H22" s="12" t="s">
        <v>175</v>
      </c>
      <c r="I22" s="12"/>
    </row>
    <row r="23" spans="1:9" ht="32.25" customHeight="1">
      <c r="A23" s="88" t="s">
        <v>730</v>
      </c>
      <c r="B23" s="88"/>
      <c r="C23" s="88"/>
      <c r="D23" s="88"/>
      <c r="E23" s="88"/>
      <c r="F23" s="88"/>
      <c r="G23" s="88"/>
      <c r="H23" s="88"/>
      <c r="I23" s="88"/>
    </row>
    <row r="24" spans="1:9" ht="27.75" customHeight="1">
      <c r="A24" s="89" t="s">
        <v>731</v>
      </c>
      <c r="B24" s="89"/>
      <c r="C24" s="89"/>
      <c r="D24" s="89"/>
      <c r="E24" s="89"/>
      <c r="F24" s="89"/>
      <c r="G24" s="89"/>
      <c r="H24" s="89"/>
      <c r="I24" s="89"/>
    </row>
    <row r="25" spans="1:9" ht="27.75" customHeight="1">
      <c r="A25" s="89" t="s">
        <v>732</v>
      </c>
      <c r="B25" s="89"/>
      <c r="C25" s="89"/>
      <c r="D25" s="89"/>
      <c r="E25" s="89"/>
      <c r="F25" s="89"/>
      <c r="G25" s="89"/>
      <c r="H25" s="89"/>
      <c r="I25" s="89"/>
    </row>
    <row r="26" spans="1:9" ht="27.75" customHeight="1">
      <c r="A26" s="89" t="s">
        <v>733</v>
      </c>
      <c r="B26" s="89"/>
      <c r="C26" s="89"/>
      <c r="D26" s="89"/>
      <c r="E26" s="89"/>
      <c r="F26" s="89"/>
      <c r="G26" s="89"/>
      <c r="H26" s="89"/>
      <c r="I26" s="89"/>
    </row>
    <row r="27" spans="1:9" ht="27.75" customHeight="1">
      <c r="A27" s="89" t="s">
        <v>734</v>
      </c>
      <c r="B27" s="89"/>
      <c r="C27" s="89"/>
      <c r="D27" s="89"/>
      <c r="E27" s="89"/>
      <c r="F27" s="89"/>
      <c r="G27" s="89"/>
      <c r="H27" s="89"/>
      <c r="I27" s="89"/>
    </row>
    <row r="28" spans="1:9" ht="27.75" customHeight="1">
      <c r="A28" s="89" t="s">
        <v>735</v>
      </c>
      <c r="B28" s="89"/>
      <c r="C28" s="89"/>
      <c r="D28" s="89"/>
      <c r="E28" s="89"/>
      <c r="F28" s="89"/>
      <c r="G28" s="89"/>
      <c r="H28" s="89"/>
      <c r="I28" s="89"/>
    </row>
    <row r="30" spans="1:9" ht="26.25" customHeight="1">
      <c r="A30" s="11" t="s">
        <v>736</v>
      </c>
      <c r="B30" s="11"/>
      <c r="C30" s="11"/>
      <c r="D30" s="11"/>
      <c r="E30" s="11"/>
      <c r="F30" s="11"/>
      <c r="G30" s="11"/>
      <c r="H30" s="12" t="s">
        <v>737</v>
      </c>
      <c r="I30" s="12"/>
    </row>
    <row r="31" spans="1:9" ht="32.25" customHeight="1">
      <c r="A31" s="88" t="s">
        <v>738</v>
      </c>
      <c r="B31" s="88"/>
      <c r="C31" s="88"/>
      <c r="D31" s="88"/>
      <c r="E31" s="88"/>
      <c r="F31" s="88"/>
      <c r="G31" s="88"/>
      <c r="H31" s="88"/>
      <c r="I31" s="88"/>
    </row>
    <row r="32" spans="1:9" ht="27.75" customHeight="1">
      <c r="A32" s="89" t="s">
        <v>739</v>
      </c>
      <c r="B32" s="89"/>
      <c r="C32" s="89"/>
      <c r="D32" s="89"/>
      <c r="E32" s="89"/>
      <c r="F32" s="89"/>
      <c r="G32" s="89"/>
      <c r="H32" s="89"/>
      <c r="I32" s="89"/>
    </row>
    <row r="33" spans="1:9" ht="27.75" customHeight="1">
      <c r="A33" s="89" t="s">
        <v>740</v>
      </c>
      <c r="B33" s="89"/>
      <c r="C33" s="89"/>
      <c r="D33" s="89"/>
      <c r="E33" s="89"/>
      <c r="F33" s="89"/>
      <c r="G33" s="89"/>
      <c r="H33" s="89"/>
      <c r="I33" s="89"/>
    </row>
    <row r="35" spans="1:9" ht="26.25" customHeight="1">
      <c r="A35" s="11" t="s">
        <v>741</v>
      </c>
      <c r="B35" s="11"/>
      <c r="C35" s="11"/>
      <c r="D35" s="11"/>
      <c r="E35" s="11"/>
      <c r="F35" s="11"/>
      <c r="G35" s="11"/>
      <c r="H35" s="12" t="s">
        <v>742</v>
      </c>
      <c r="I35" s="12"/>
    </row>
    <row r="36" spans="1:9" ht="32.25" customHeight="1">
      <c r="A36" s="88" t="s">
        <v>743</v>
      </c>
      <c r="B36" s="88"/>
      <c r="C36" s="88"/>
      <c r="D36" s="88"/>
      <c r="E36" s="88"/>
      <c r="F36" s="88"/>
      <c r="G36" s="88"/>
      <c r="H36" s="88"/>
      <c r="I36" s="88"/>
    </row>
    <row r="37" spans="1:9" ht="27.75" customHeight="1">
      <c r="A37" s="89" t="s">
        <v>744</v>
      </c>
      <c r="B37" s="89"/>
      <c r="C37" s="89"/>
      <c r="D37" s="89"/>
      <c r="E37" s="89"/>
      <c r="F37" s="89"/>
      <c r="G37" s="89"/>
      <c r="H37" s="89"/>
      <c r="I37" s="89"/>
    </row>
    <row r="38" spans="1:9" ht="27.75" customHeight="1">
      <c r="A38" s="89" t="s">
        <v>745</v>
      </c>
      <c r="B38" s="89"/>
      <c r="C38" s="89"/>
      <c r="D38" s="89"/>
      <c r="E38" s="89"/>
      <c r="F38" s="89"/>
      <c r="G38" s="89"/>
      <c r="H38" s="89"/>
      <c r="I38" s="89"/>
    </row>
    <row r="39" spans="1:9" ht="27.75" customHeight="1">
      <c r="A39" s="89" t="s">
        <v>746</v>
      </c>
      <c r="B39" s="89"/>
      <c r="C39" s="89"/>
      <c r="D39" s="89"/>
      <c r="E39" s="89"/>
      <c r="F39" s="89"/>
      <c r="G39" s="89"/>
      <c r="H39" s="89"/>
      <c r="I39" s="89"/>
    </row>
    <row r="41" spans="1:9" ht="26.25" customHeight="1">
      <c r="A41" s="11" t="s">
        <v>747</v>
      </c>
      <c r="B41" s="11"/>
      <c r="C41" s="11"/>
      <c r="D41" s="11"/>
      <c r="E41" s="11"/>
      <c r="F41" s="11"/>
      <c r="G41" s="11"/>
      <c r="H41" s="12" t="s">
        <v>748</v>
      </c>
      <c r="I41" s="12"/>
    </row>
    <row r="42" spans="1:9" ht="32.25" customHeight="1">
      <c r="A42" s="88" t="s">
        <v>749</v>
      </c>
      <c r="B42" s="88"/>
      <c r="C42" s="88"/>
      <c r="D42" s="88"/>
      <c r="E42" s="88"/>
      <c r="F42" s="88"/>
      <c r="G42" s="88"/>
      <c r="H42" s="88"/>
      <c r="I42" s="88"/>
    </row>
    <row r="43" spans="1:9" ht="27.75" customHeight="1">
      <c r="A43" s="89" t="s">
        <v>750</v>
      </c>
      <c r="B43" s="89"/>
      <c r="C43" s="89"/>
      <c r="D43" s="89"/>
      <c r="E43" s="89"/>
      <c r="F43" s="89"/>
      <c r="G43" s="89"/>
      <c r="H43" s="89"/>
      <c r="I43" s="89"/>
    </row>
    <row r="44" spans="1:9" ht="27.75" customHeight="1">
      <c r="A44" s="89" t="s">
        <v>751</v>
      </c>
      <c r="B44" s="89"/>
      <c r="C44" s="89"/>
      <c r="D44" s="89"/>
      <c r="E44" s="89"/>
      <c r="F44" s="89"/>
      <c r="G44" s="89"/>
      <c r="H44" s="89"/>
      <c r="I44" s="89"/>
    </row>
    <row r="46" spans="1:9" ht="26.25" customHeight="1">
      <c r="A46" s="11" t="s">
        <v>752</v>
      </c>
      <c r="B46" s="11"/>
      <c r="C46" s="11"/>
      <c r="D46" s="11"/>
      <c r="E46" s="11"/>
      <c r="F46" s="11"/>
      <c r="G46" s="11"/>
      <c r="H46" s="12" t="s">
        <v>753</v>
      </c>
      <c r="I46" s="12"/>
    </row>
    <row r="47" spans="1:9" ht="27.75" customHeight="1">
      <c r="A47" s="89" t="s">
        <v>754</v>
      </c>
      <c r="B47" s="89"/>
      <c r="C47" s="89"/>
      <c r="D47" s="89"/>
      <c r="E47" s="89"/>
      <c r="F47" s="89"/>
      <c r="G47" s="89"/>
      <c r="H47" s="89"/>
      <c r="I47" s="89"/>
    </row>
    <row r="48" spans="1:9" ht="27.75" customHeight="1">
      <c r="A48" s="89" t="s">
        <v>755</v>
      </c>
      <c r="B48" s="89"/>
      <c r="C48" s="89"/>
      <c r="D48" s="89"/>
      <c r="E48" s="89"/>
      <c r="F48" s="89"/>
      <c r="G48" s="89"/>
      <c r="H48" s="89"/>
      <c r="I48" s="89"/>
    </row>
    <row r="49" spans="1:9" ht="27.75" customHeight="1">
      <c r="A49" s="89" t="s">
        <v>756</v>
      </c>
      <c r="B49" s="89"/>
      <c r="C49" s="89"/>
      <c r="D49" s="89"/>
      <c r="E49" s="89"/>
      <c r="F49" s="89"/>
      <c r="G49" s="89"/>
      <c r="H49" s="89"/>
      <c r="I49" s="89"/>
    </row>
    <row r="50" spans="1:9" ht="27.75" customHeight="1">
      <c r="A50" s="89" t="s">
        <v>757</v>
      </c>
      <c r="B50" s="89"/>
      <c r="C50" s="89"/>
      <c r="D50" s="89"/>
      <c r="E50" s="89"/>
      <c r="F50" s="89"/>
      <c r="G50" s="89"/>
      <c r="H50" s="89"/>
      <c r="I50" s="89"/>
    </row>
    <row r="52" spans="1:9" ht="26.25" customHeight="1">
      <c r="A52" s="11" t="s">
        <v>758</v>
      </c>
      <c r="B52" s="11"/>
      <c r="C52" s="11"/>
      <c r="D52" s="11"/>
      <c r="E52" s="11"/>
      <c r="F52" s="11"/>
      <c r="G52" s="11"/>
      <c r="H52" s="12" t="s">
        <v>759</v>
      </c>
      <c r="I52" s="12"/>
    </row>
    <row r="53" spans="1:9" ht="32.25" customHeight="1">
      <c r="A53" s="88" t="s">
        <v>760</v>
      </c>
      <c r="B53" s="88"/>
      <c r="C53" s="88"/>
      <c r="D53" s="88"/>
      <c r="E53" s="88"/>
      <c r="F53" s="88"/>
      <c r="G53" s="88"/>
      <c r="H53" s="88"/>
      <c r="I53" s="88"/>
    </row>
    <row r="54" spans="1:9" ht="27.75" customHeight="1">
      <c r="A54" s="89" t="s">
        <v>761</v>
      </c>
      <c r="B54" s="89"/>
      <c r="C54" s="89"/>
      <c r="D54" s="89"/>
      <c r="E54" s="89"/>
      <c r="F54" s="89"/>
      <c r="G54" s="89"/>
      <c r="H54" s="89"/>
      <c r="I54" s="89"/>
    </row>
    <row r="56" spans="1:9" ht="26.25" customHeight="1">
      <c r="A56" s="11" t="s">
        <v>762</v>
      </c>
      <c r="B56" s="11"/>
      <c r="C56" s="11"/>
      <c r="D56" s="11"/>
      <c r="E56" s="11"/>
      <c r="F56" s="11"/>
      <c r="G56" s="11"/>
      <c r="H56" s="12" t="s">
        <v>763</v>
      </c>
      <c r="I56" s="12"/>
    </row>
    <row r="57" spans="1:9" ht="27.75" customHeight="1">
      <c r="A57" s="89" t="s">
        <v>764</v>
      </c>
      <c r="B57" s="89"/>
      <c r="C57" s="89"/>
      <c r="D57" s="89"/>
      <c r="E57" s="89"/>
      <c r="F57" s="89"/>
      <c r="G57" s="89"/>
      <c r="H57" s="89"/>
      <c r="I57" s="89"/>
    </row>
    <row r="58" spans="1:9" ht="27.75" customHeight="1">
      <c r="A58" s="89" t="s">
        <v>765</v>
      </c>
      <c r="B58" s="89"/>
      <c r="C58" s="89"/>
      <c r="D58" s="89"/>
      <c r="E58" s="89"/>
      <c r="F58" s="89"/>
      <c r="G58" s="89"/>
      <c r="H58" s="89"/>
      <c r="I58" s="89"/>
    </row>
    <row r="59" spans="1:9" ht="27.75" customHeight="1">
      <c r="A59" s="89" t="s">
        <v>766</v>
      </c>
      <c r="B59" s="89"/>
      <c r="C59" s="89"/>
      <c r="D59" s="89"/>
      <c r="E59" s="89"/>
      <c r="F59" s="89"/>
      <c r="G59" s="89"/>
      <c r="H59" s="89"/>
      <c r="I59" s="89"/>
    </row>
    <row r="60" spans="1:9" ht="27.75" customHeight="1">
      <c r="A60" s="89" t="s">
        <v>767</v>
      </c>
      <c r="B60" s="89"/>
      <c r="C60" s="89"/>
      <c r="D60" s="89"/>
      <c r="E60" s="89"/>
      <c r="F60" s="89"/>
      <c r="G60" s="89"/>
      <c r="H60" s="89"/>
      <c r="I60" s="89"/>
    </row>
    <row r="61" spans="1:9" ht="27.75" customHeight="1">
      <c r="A61" s="89" t="s">
        <v>768</v>
      </c>
      <c r="B61" s="89"/>
      <c r="C61" s="89"/>
      <c r="D61" s="89"/>
      <c r="E61" s="89"/>
      <c r="F61" s="89"/>
      <c r="G61" s="89"/>
      <c r="H61" s="89"/>
      <c r="I61" s="89"/>
    </row>
  </sheetData>
  <mergeCells count="59">
    <mergeCell ref="A2:I2"/>
    <mergeCell ref="A3:I3"/>
    <mergeCell ref="A4:I4"/>
    <mergeCell ref="A7:G7"/>
    <mergeCell ref="H7:I7"/>
    <mergeCell ref="A8:I8"/>
    <mergeCell ref="A9:I9"/>
    <mergeCell ref="A10:I10"/>
    <mergeCell ref="A11:I11"/>
    <mergeCell ref="A12:I12"/>
    <mergeCell ref="A14:G14"/>
    <mergeCell ref="H14:I14"/>
    <mergeCell ref="A15:I15"/>
    <mergeCell ref="A16:I16"/>
    <mergeCell ref="A17:I17"/>
    <mergeCell ref="A18:I18"/>
    <mergeCell ref="A19:I19"/>
    <mergeCell ref="A20:I20"/>
    <mergeCell ref="A22:G22"/>
    <mergeCell ref="H22:I22"/>
    <mergeCell ref="A23:I23"/>
    <mergeCell ref="A24:I24"/>
    <mergeCell ref="A25:I25"/>
    <mergeCell ref="A26:I26"/>
    <mergeCell ref="A27:I27"/>
    <mergeCell ref="A28:I28"/>
    <mergeCell ref="A30:G30"/>
    <mergeCell ref="H30:I30"/>
    <mergeCell ref="A31:I31"/>
    <mergeCell ref="A32:I32"/>
    <mergeCell ref="A33:I33"/>
    <mergeCell ref="A35:G35"/>
    <mergeCell ref="H35:I35"/>
    <mergeCell ref="A36:I36"/>
    <mergeCell ref="A37:I37"/>
    <mergeCell ref="A38:I38"/>
    <mergeCell ref="A39:I39"/>
    <mergeCell ref="A41:G41"/>
    <mergeCell ref="H41:I41"/>
    <mergeCell ref="A42:I42"/>
    <mergeCell ref="A43:I43"/>
    <mergeCell ref="A44:I44"/>
    <mergeCell ref="A46:G46"/>
    <mergeCell ref="H46:I46"/>
    <mergeCell ref="A47:I47"/>
    <mergeCell ref="A48:I48"/>
    <mergeCell ref="A49:I49"/>
    <mergeCell ref="A50:I50"/>
    <mergeCell ref="A52:G52"/>
    <mergeCell ref="H52:I52"/>
    <mergeCell ref="A53:I53"/>
    <mergeCell ref="A54:I54"/>
    <mergeCell ref="A56:G56"/>
    <mergeCell ref="H56:I56"/>
    <mergeCell ref="A57:I57"/>
    <mergeCell ref="A58:I58"/>
    <mergeCell ref="A59:I59"/>
    <mergeCell ref="A60:I60"/>
    <mergeCell ref="A61:I61"/>
  </mergeCells>
  <printOptions horizontalCentered="1"/>
  <pageMargins left="0.28" right="0.28" top="0.42" bottom="0.48" header="0.22" footer="0.22"/>
  <pageSetup paperSize="9" fitToHeight="0" orientation="portrait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31</vt:i4>
      </vt:variant>
    </vt:vector>
  </HeadingPairs>
  <TitlesOfParts>
    <vt:vector size="41" baseType="lpstr">
      <vt:lpstr>Home</vt:lpstr>
      <vt:lpstr>Txn</vt:lpstr>
      <vt:lpstr>Post</vt:lpstr>
      <vt:lpstr>Sum</vt:lpstr>
      <vt:lpstr>Flow</vt:lpstr>
      <vt:lpstr>Anal</vt:lpstr>
      <vt:lpstr>Card</vt:lpstr>
      <vt:lpstr>Chq</vt:lpstr>
      <vt:lpstr>Sync</vt:lpstr>
      <vt:lpstr>Help</vt:lpstr>
      <vt:lpstr>AcctTbl</vt:lpstr>
      <vt:lpstr>BankAccts</vt:lpstr>
      <vt:lpstr>BankOpTbl</vt:lpstr>
      <vt:lpstr>BankTbl</vt:lpstr>
      <vt:lpstr>ListAllCodes</vt:lpstr>
      <vt:lpstr>ListBankOps</vt:lpstr>
      <vt:lpstr>ListBanks</vt:lpstr>
      <vt:lpstr>ListChequeStatus</vt:lpstr>
      <vt:lpstr>ListChequeTypes</vt:lpstr>
      <vt:lpstr>ListGroups</vt:lpstr>
      <vt:lpstr>ListOtherScales</vt:lpstr>
      <vt:lpstr>ListPayMethods</vt:lpstr>
      <vt:lpstr>Anal!Print_Area</vt:lpstr>
      <vt:lpstr>Card!Print_Area</vt:lpstr>
      <vt:lpstr>Chq!Print_Area</vt:lpstr>
      <vt:lpstr>Flow!Print_Area</vt:lpstr>
      <vt:lpstr>Help!Print_Area</vt:lpstr>
      <vt:lpstr>Home!Print_Area</vt:lpstr>
      <vt:lpstr>Post!Print_Area</vt:lpstr>
      <vt:lpstr>Sum!Print_Area</vt:lpstr>
      <vt:lpstr>Sync!Print_Area</vt:lpstr>
      <vt:lpstr>Txn!Print_Area</vt:lpstr>
      <vt:lpstr>Anal!Print_Titles</vt:lpstr>
      <vt:lpstr>Card!Print_Titles</vt:lpstr>
      <vt:lpstr>Chq!Print_Titles</vt:lpstr>
      <vt:lpstr>Flow!Print_Titles</vt:lpstr>
      <vt:lpstr>Help!Print_Titles</vt:lpstr>
      <vt:lpstr>Post!Print_Titles</vt:lpstr>
      <vt:lpstr>Sum!Print_Titles</vt:lpstr>
      <vt:lpstr>Sync!Print_Titles</vt:lpstr>
      <vt:lpstr>Txn!Print_Titles</vt:lpstr>
    </vt:vector>
  </TitlesOfParts>
  <Company>سورتینگ و بسته‌بندی مرکبات مازندشت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مازندشت — تراکنش‌های بانکی</dc:title>
  <dc:subject>ثبت و تحلیل تراکنش بانکی</dc:subject>
  <dc:creator>MAZANDASHT</dc:creator>
  <dc:description>نسخه ۰۳ — Excel 2013</dc:description>
  <cp:lastModifiedBy>MAZANDASHT</cp:lastModifiedBy>
  <dcterms:created xsi:type="dcterms:W3CDTF">2026-10-24T09:58:51Z</dcterms:created>
  <dcterms:modified xsi:type="dcterms:W3CDTF">2026-10-24T09:58:51Z</dcterms:modified>
</cp:coreProperties>
</file>