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Inv" sheetId="2" r:id="rId2"/>
    <sheet name="Sync" sheetId="3" r:id="rId3"/>
    <sheet name="Help" sheetId="4" r:id="rId4"/>
  </sheets>
  <externalReferences>
    <externalReference r:id="rId8"/>
  </externalReferences>
  <definedNames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_xlnm.Print_Area" localSheetId="3">Help!$A$1:$I$30</definedName>
    <definedName name="_xlnm.Print_Area" localSheetId="1">Inv!$A$1:$J$61</definedName>
    <definedName name="_xlnm.Print_Area" localSheetId="2">Sync!$A$1:$CR$260</definedName>
    <definedName name="_xlnm.Print_Titles" localSheetId="3">Help!$7:$9</definedName>
    <definedName name="ProductTbl">Sync!$AH$10:$AI$29</definedName>
  </definedNames>
  <calcPr calcId="124519" fullCalcOnLoad="1"/>
</workbook>
</file>

<file path=xl/comments1.xml><?xml version="1.0" encoding="utf-8"?>
<comments xmlns="http://schemas.openxmlformats.org/spreadsheetml/2006/main">
  <authors>
    <author>راهنما</author>
  </authors>
  <commentList>
    <comment ref="C6" authorId="0">
      <text>
        <r>
          <rPr>
            <sz val="8"/>
            <color indexed="81"/>
            <rFont val="Tahoma"/>
            <family val="2"/>
          </rPr>
          <t>کد حساب را از فهرست انتخاب کنید (INFO/Accounts).</t>
        </r>
      </text>
    </comment>
  </commentList>
</comments>
</file>

<file path=xl/sharedStrings.xml><?xml version="1.0" encoding="utf-8"?>
<sst xmlns="http://schemas.openxmlformats.org/spreadsheetml/2006/main" count="1267" uniqueCount="636">
  <si>
    <t>تاریخ</t>
  </si>
  <si>
    <t>سند</t>
  </si>
  <si>
    <t>حساب</t>
  </si>
  <si>
    <t>شرح</t>
  </si>
  <si>
    <t>گروه</t>
  </si>
  <si>
    <t>نوع</t>
  </si>
  <si>
    <t>بدهکار</t>
  </si>
  <si>
    <t>بستانکار</t>
  </si>
  <si>
    <t>مبلغ</t>
  </si>
  <si>
    <t>پوز</t>
  </si>
  <si>
    <t>محصول</t>
  </si>
  <si>
    <t>سبد</t>
  </si>
  <si>
    <t>وزن خالص</t>
  </si>
  <si>
    <t>ماه</t>
  </si>
  <si>
    <t>مازندشت — سورتینگ و بسته‌بندی مرکبات</t>
  </si>
  <si>
    <t>MAZANDASHT · INVOICE</t>
  </si>
  <si>
    <t>صورت‌حساب / فاکتور طرف حساب</t>
  </si>
  <si>
    <t>کد حساب را انتخاب کنید، سطرهای موردنظر را تیک بزنید؛ جمع فاکتور خودکار حساب می‌شود.</t>
  </si>
  <si>
    <t>کد حساب</t>
  </si>
  <si>
    <t>شماره فاکتور</t>
  </si>
  <si>
    <t>نمایش</t>
  </si>
  <si>
    <t>جمع سطرهای انتخاب‌شده</t>
  </si>
  <si>
    <t>مانده نهایی حساب (کل گردش، نه فقط انتخاب‌شده‌ها)</t>
  </si>
  <si>
    <t>مهر و امضای فروشنده</t>
  </si>
  <si>
    <t>امضای خریدار</t>
  </si>
  <si>
    <t>داده‌های ثابت — کپی کامل از 00_Master.xlsx (بدون وابستگی)</t>
  </si>
  <si>
    <t>این شیت فقط نمایش است و قفل شده. همه کشوها و فرمول‌ها از همین‌جا می‌خوانند؛ برای تغییر، 00_Master.xlsx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فاکتور از دفتر ثبت روزانه می‌خواند.</t>
  </si>
  <si>
    <t>MAZANDASHT · INFO MASTER DATA (READ ONLY)</t>
  </si>
  <si>
    <t>حساب‌ها — کد، نام، گروه، زیرگروه، نوع و مانده اولیه</t>
  </si>
  <si>
    <t>ACCOUNTS</t>
  </si>
  <si>
    <t>C001</t>
  </si>
  <si>
    <t>زینب زاهدی</t>
  </si>
  <si>
    <t>باغدار</t>
  </si>
  <si>
    <t>عمده</t>
  </si>
  <si>
    <t>طرف حساب</t>
  </si>
  <si>
    <t>C002</t>
  </si>
  <si>
    <t>سید عباس موسوی</t>
  </si>
  <si>
    <t>صادراتی</t>
  </si>
  <si>
    <t>C003</t>
  </si>
  <si>
    <t>حاج احمد عیسی پور</t>
  </si>
  <si>
    <t>خرده‌فروش</t>
  </si>
  <si>
    <t>C004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</si>
  <si>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</si>
  <si>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</si>
  <si>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</si>
  <si>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</si>
  <si>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</si>
  <si>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</si>
  <si>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</si>
  <si>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</si>
  <si>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</si>
  <si>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</si>
  <si>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</si>
  <si>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</si>
  <si>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</si>
  <si>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</si>
  <si>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</si>
  <si>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</si>
  <si>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</si>
  <si>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</si>
  <si>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</si>
  <si>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</si>
  <si>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</si>
  <si>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</si>
  <si>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</si>
  <si>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</si>
  <si>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</si>
  <si>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</si>
  <si>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</si>
  <si>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</si>
  <si>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</si>
  <si>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</si>
  <si>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</si>
  <si>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</si>
  <si>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</si>
  <si>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</si>
  <si>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</si>
  <si>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</si>
  <si>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</si>
  <si>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</si>
  <si>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</si>
  <si>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</si>
  <si>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</si>
  <si>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</si>
  <si>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</si>
  <si>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</si>
  <si>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</si>
  <si>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</si>
  <si>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</si>
  <si>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</si>
  <si>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</si>
  <si>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</si>
  <si>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</si>
  <si>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</si>
  <si>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</si>
  <si>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</si>
  <si>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</si>
  <si>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</si>
  <si>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</si>
  <si>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</si>
  <si>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</si>
  <si>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</si>
  <si>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</si>
  <si>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</si>
  <si>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</si>
  <si>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</si>
  <si>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</si>
  <si>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</si>
  <si>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</si>
  <si>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</si>
  <si>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</si>
  <si>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</si>
  <si>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</si>
  <si>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</si>
  <si>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</si>
  <si>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</si>
  <si>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</si>
  <si>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</si>
  <si>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</si>
  <si>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</si>
  <si>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</si>
  <si>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</si>
  <si>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</si>
  <si>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</si>
  <si>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</si>
  <si>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</si>
  <si>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</si>
  <si>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</si>
  <si>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</si>
  <si>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</si>
  <si>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</si>
  <si>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</si>
  <si>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</si>
  <si>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</si>
  <si>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</si>
  <si>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</si>
  <si>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</si>
  <si>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</si>
  <si>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</si>
  <si>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</si>
  <si>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</si>
  <si>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</si>
  <si>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</si>
  <si>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</si>
  <si>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</si>
  <si>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</si>
  <si>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</si>
  <si>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</si>
  <si>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</si>
  <si>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SL001</t>
  </si>
  <si>
    <t>قم — سید حسین حسینی</t>
  </si>
  <si>
    <t>بارفروش</t>
  </si>
  <si>
    <t>میدان بار شهرستان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</si>
  <si>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</si>
  <si>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</si>
  <si>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</si>
  <si>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</si>
  <si>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</si>
  <si>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</si>
  <si>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</si>
  <si>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</si>
  <si>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S001</t>
  </si>
  <si>
    <t>حسن کوچک‌زاده</t>
  </si>
  <si>
    <t>فروشنده سبد</t>
  </si>
  <si>
    <t>سبد پلاستیکی</t>
  </si>
  <si>
    <t>S002</t>
  </si>
  <si>
    <t>سید محمد موسویان</t>
  </si>
  <si>
    <t>S003</t>
  </si>
  <si>
    <t>سید ربیع موسویان</t>
  </si>
  <si>
    <t>E001</t>
  </si>
  <si>
    <t>قاسم زاهدی تیر</t>
  </si>
  <si>
    <t>کارمند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</si>
  <si>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</si>
  <si>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</si>
  <si>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</si>
  <si>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</si>
  <si>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</si>
  <si>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</si>
  <si>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</si>
  <si>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</si>
  <si>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</si>
  <si>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</si>
  <si>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</si>
  <si>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</si>
  <si>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</si>
  <si>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</si>
  <si>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</si>
  <si>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</si>
  <si>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</si>
  <si>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انعام مصطفی</t>
  </si>
  <si>
    <t>سایر حساب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</si>
  <si>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</si>
  <si>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</si>
  <si>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</si>
  <si>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</si>
  <si>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</si>
  <si>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</si>
  <si>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</si>
  <si>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</si>
  <si>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</si>
  <si>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</si>
  <si>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</si>
  <si>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</si>
  <si>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موجودی سبد و ظروف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</si>
  <si>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</si>
  <si>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</si>
  <si>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</si>
  <si>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</si>
  <si>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</si>
  <si>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</si>
  <si>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</si>
  <si>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</si>
  <si>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</si>
  <si>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</si>
  <si>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</si>
  <si>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</si>
  <si>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</si>
  <si>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</si>
  <si>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عملیات</t>
  </si>
  <si>
    <t>حساب واسط</t>
  </si>
  <si>
    <t>X012</t>
  </si>
  <si>
    <t>هزینه حمل و تخلیه</t>
  </si>
  <si>
    <t>X013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</si>
  <si>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</si>
  <si>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</si>
  <si>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</si>
  <si>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</si>
  <si>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</si>
  <si>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</si>
  <si>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</si>
  <si>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</si>
  <si>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</si>
  <si>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</si>
  <si>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</si>
  <si>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</si>
  <si>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</si>
  <si>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</si>
  <si>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</si>
  <si>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</si>
  <si>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</si>
  <si>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</si>
  <si>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دارایی ثابت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</si>
  <si>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</si>
  <si>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</si>
  <si>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</si>
  <si>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</si>
  <si>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</si>
  <si>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</si>
  <si>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</si>
  <si>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</si>
  <si>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</si>
  <si>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و تسهیلات</t>
  </si>
  <si>
    <t>وام بانکی</t>
  </si>
  <si>
    <t>CAP001</t>
  </si>
  <si>
    <t>سرمایه و آورده صاحبان (نمونه)</t>
  </si>
  <si>
    <t>سرمایه و آورده صاحبان</t>
  </si>
  <si>
    <t>سرمایه اولیه</t>
  </si>
  <si>
    <t>BD001</t>
  </si>
  <si>
    <t>باسکول میدان بار (نمونه)</t>
  </si>
  <si>
    <t>باسکول دیگران</t>
  </si>
  <si>
    <t>باسکول محلی</t>
  </si>
  <si>
    <t>BN01</t>
  </si>
  <si>
    <t>صادرات ۹۰۰۹ — جاری اصلی</t>
  </si>
  <si>
    <t>بانک و صندوق</t>
  </si>
  <si>
    <t>حساب‌های بانکی</t>
  </si>
  <si>
    <t>بانک</t>
  </si>
  <si>
    <t>BN02</t>
  </si>
  <si>
    <t>صادرات ۲۰۰۶ — پوز باسکول</t>
  </si>
  <si>
    <t>BN03</t>
  </si>
  <si>
    <t>بانک ملت</t>
  </si>
  <si>
    <t>BN04</t>
  </si>
  <si>
    <t>بانک کشاورزی</t>
  </si>
  <si>
    <t>BN05</t>
  </si>
  <si>
    <t>بانک سپه</t>
  </si>
  <si>
    <t>BN06</t>
  </si>
  <si>
    <t>بانک مهر ایران</t>
  </si>
  <si>
    <t>BN07</t>
  </si>
  <si>
    <t>بانک تجارت</t>
  </si>
  <si>
    <t>BN08</t>
  </si>
  <si>
    <t>بانک پاسارگاد</t>
  </si>
  <si>
    <t>BN09</t>
  </si>
  <si>
    <t>بانک رفاه</t>
  </si>
  <si>
    <t>BN10</t>
  </si>
  <si>
    <t>قرض‌الحسنه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</si>
  <si>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</si>
  <si>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</si>
  <si>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</si>
  <si>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</si>
  <si>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</si>
  <si>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</si>
  <si>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</si>
  <si>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</si>
  <si>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</si>
  <si>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</si>
  <si>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</si>
  <si>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</si>
  <si>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</si>
  <si>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</si>
  <si>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</si>
  <si>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</si>
  <si>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</si>
  <si>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</si>
  <si>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</si>
  <si>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</si>
  <si>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</si>
  <si>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</si>
  <si>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</si>
  <si>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</si>
  <si>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</si>
  <si>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</si>
  <si>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</si>
  <si>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</si>
  <si>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</si>
  <si>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</si>
  <si>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</si>
  <si>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</si>
  <si>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</si>
  <si>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</si>
  <si>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</si>
  <si>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</si>
  <si>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</si>
  <si>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</si>
  <si>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</si>
  <si>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</si>
  <si>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</si>
  <si>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</si>
  <si>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</si>
  <si>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</si>
  <si>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</si>
  <si>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</si>
  <si>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</si>
  <si>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</si>
  <si>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</si>
  <si>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</si>
  <si>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</si>
  <si>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</si>
  <si>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</si>
  <si>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</si>
  <si>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</si>
  <si>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</si>
  <si>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</si>
  <si>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</si>
  <si>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</si>
  <si>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</si>
  <si>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</si>
  <si>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</si>
  <si>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</si>
  <si>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</si>
  <si>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</si>
  <si>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</si>
  <si>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</si>
  <si>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</si>
  <si>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</si>
  <si>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</si>
  <si>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</si>
  <si>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</si>
  <si>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</si>
  <si>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</si>
  <si>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</si>
  <si>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</si>
  <si>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</si>
  <si>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</si>
  <si>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</si>
  <si>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</si>
  <si>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</si>
  <si>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</si>
  <si>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</si>
  <si>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</si>
  <si>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</si>
  <si>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</si>
  <si>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</si>
  <si>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</si>
  <si>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</si>
  <si>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</si>
  <si>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</si>
  <si>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</si>
  <si>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</si>
  <si>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</si>
  <si>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</si>
  <si>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</si>
  <si>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</si>
  <si>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</si>
  <si>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</si>
  <si>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</si>
  <si>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</si>
  <si>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</si>
  <si>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</si>
  <si>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</si>
  <si>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</si>
  <si>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</si>
  <si>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</si>
  <si>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</si>
  <si>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</si>
  <si>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</si>
  <si>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</si>
  <si>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</si>
  <si>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</si>
  <si>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</si>
  <si>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</si>
  <si>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</si>
  <si>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</si>
  <si>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</si>
  <si>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</si>
  <si>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</si>
  <si>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</si>
  <si>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</si>
  <si>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</si>
  <si>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</si>
  <si>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</si>
  <si>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</si>
  <si>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</si>
  <si>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</si>
  <si>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</si>
  <si>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</si>
  <si>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</si>
  <si>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</si>
  <si>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</si>
  <si>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</si>
  <si>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</si>
  <si>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</si>
  <si>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</si>
  <si>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</si>
  <si>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</si>
  <si>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</si>
  <si>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</si>
  <si>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</si>
  <si>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</si>
  <si>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عملیات — قاعده بدهکار/بستانکار</t>
  </si>
  <si>
    <t>OPERATIONS</t>
  </si>
  <si>
    <t>خرید مرکبات</t>
  </si>
  <si>
    <t>ورود</t>
  </si>
  <si>
    <t>خرید</t>
  </si>
  <si>
    <t>بله</t>
  </si>
  <si>
    <t>وزن</t>
  </si>
  <si>
    <t>افزودن</t>
  </si>
  <si>
    <t>—</t>
  </si>
  <si>
    <t>فروش بار (بارفروش)</t>
  </si>
  <si>
    <t>خروج</t>
  </si>
  <si>
    <t>فروش</t>
  </si>
  <si>
    <t>BANK02</t>
  </si>
  <si>
    <t>فروش متفرقه / صادراتی</t>
  </si>
  <si>
    <t>آبگیری</t>
  </si>
  <si>
    <t>خودکار</t>
  </si>
  <si>
    <t>هیچ</t>
  </si>
  <si>
    <t>انعام</t>
  </si>
  <si>
    <t>خیر</t>
  </si>
  <si>
    <t>درآمد پوز باسکول (بدون طرف)</t>
  </si>
  <si>
    <t>مرجوعی خرید</t>
  </si>
  <si>
    <t>مرجوعی فروش</t>
  </si>
  <si>
    <t>ضایعات / افت انبار</t>
  </si>
  <si>
    <t>انتقال بین انبار</t>
  </si>
  <si>
    <t>انتقال</t>
  </si>
  <si>
    <t>سایر ورود</t>
  </si>
  <si>
    <t>سایر</t>
  </si>
  <si>
    <t>سایر خروج</t>
  </si>
  <si>
    <t>هزینه باسکول نقدی (درآمد)</t>
  </si>
  <si>
    <t>خرید سبد</t>
  </si>
  <si>
    <t>مرجوعی خرید سبد</t>
  </si>
  <si>
    <t>مرجوعی فروش سبد</t>
  </si>
  <si>
    <t>انتقال سبد بین انبار</t>
  </si>
  <si>
    <t>سبدها — برچسب، کد، نام، تار، ظرفیت، خرید، فروش، موجودی</t>
  </si>
  <si>
    <t>BASKETS</t>
  </si>
  <si>
    <t>BK01 – ۶ک مشکی</t>
  </si>
  <si>
    <t>BK01</t>
  </si>
  <si>
    <t>۶ک مشکی</t>
  </si>
  <si>
    <t>BK02 – درب‌۶ک</t>
  </si>
  <si>
    <t>BK02</t>
  </si>
  <si>
    <t>درب‌۶ک</t>
  </si>
  <si>
    <t>BK03 – ۹ک مشکی</t>
  </si>
  <si>
    <t>BK03</t>
  </si>
  <si>
    <t>۹ک مشکی</t>
  </si>
  <si>
    <t>BK04 – ریلی کوچک آبی</t>
  </si>
  <si>
    <t>BK04</t>
  </si>
  <si>
    <t>ریلی کوچک آبی</t>
  </si>
  <si>
    <t>BK05 – تک‌رج آبی بزرگ</t>
  </si>
  <si>
    <t>BK05</t>
  </si>
  <si>
    <t>تک‌رج آبی بزرگ</t>
  </si>
  <si>
    <t>BK06 – آبی ۲۵×۲۰</t>
  </si>
  <si>
    <t>BK06</t>
  </si>
  <si>
    <t>آبی ۲۵×۲۰</t>
  </si>
  <si>
    <t>BK07 – ۸ک مشکی</t>
  </si>
  <si>
    <t>BK07</t>
  </si>
  <si>
    <t>۸ک مشکی</t>
  </si>
  <si>
    <t xml:space="preserve">BK08 – </t>
  </si>
  <si>
    <t>BK08</t>
  </si>
  <si>
    <t xml:space="preserve">BK09 – </t>
  </si>
  <si>
    <t>BK09</t>
  </si>
  <si>
    <t xml:space="preserve">BK10 – </t>
  </si>
  <si>
    <t>BK10</t>
  </si>
  <si>
    <t xml:space="preserve">BK11 – </t>
  </si>
  <si>
    <t>BK11</t>
  </si>
  <si>
    <t xml:space="preserve">BK12 – </t>
  </si>
  <si>
    <t>BK12</t>
  </si>
  <si>
    <t>محصولات</t>
  </si>
  <si>
    <t>PRODUCTS</t>
  </si>
  <si>
    <t>پرتقال تامسون</t>
  </si>
  <si>
    <t>پرتقال</t>
  </si>
  <si>
    <t>پرتقال خونی</t>
  </si>
  <si>
    <t>پرتقال کاراکارا</t>
  </si>
  <si>
    <t>پرتقال بیروتی</t>
  </si>
  <si>
    <t>پرتقال یافا</t>
  </si>
  <si>
    <t>نارنگی پیچ</t>
  </si>
  <si>
    <t>نارنگی</t>
  </si>
  <si>
    <t>نارنگی ژاپنی</t>
  </si>
  <si>
    <t>نارنگی اونشو</t>
  </si>
  <si>
    <t>نارنگی یافا</t>
  </si>
  <si>
    <t>لیمو شیرین</t>
  </si>
  <si>
    <t>لیمو</t>
  </si>
  <si>
    <t>لیمو ترش</t>
  </si>
  <si>
    <t>کامکوات</t>
  </si>
  <si>
    <t>گریپ‌فرویت</t>
  </si>
  <si>
    <t>خرمالو</t>
  </si>
  <si>
    <t>نارنج</t>
  </si>
  <si>
    <t>بانک‌ها — کد، عنوان، مانده، حساب معین</t>
  </si>
  <si>
    <t>BANKS</t>
  </si>
  <si>
    <t>BANK01</t>
  </si>
  <si>
    <t>BANK03</t>
  </si>
  <si>
    <t>ملت</t>
  </si>
  <si>
    <t>BANK04</t>
  </si>
  <si>
    <t>کشاورزی</t>
  </si>
  <si>
    <t>BANK05</t>
  </si>
  <si>
    <t>سپه</t>
  </si>
  <si>
    <t>BANK06</t>
  </si>
  <si>
    <t>مهر ایران</t>
  </si>
  <si>
    <t>BANK07</t>
  </si>
  <si>
    <t>تجارت</t>
  </si>
  <si>
    <t>BANK08</t>
  </si>
  <si>
    <t>پاسارگاد</t>
  </si>
  <si>
    <t>BANK09</t>
  </si>
  <si>
    <t>رفاه</t>
  </si>
  <si>
    <t>BANK10</t>
  </si>
  <si>
    <t>پارامترها</t>
  </si>
  <si>
    <t>PARAMS</t>
  </si>
  <si>
    <t>P01</t>
  </si>
  <si>
    <t>P02</t>
  </si>
  <si>
    <t>P03</t>
  </si>
  <si>
    <t>P04</t>
  </si>
  <si>
    <t>1405</t>
  </si>
  <si>
    <t>P05</t>
  </si>
  <si>
    <t>P06</t>
  </si>
  <si>
    <t>P07</t>
  </si>
  <si>
    <t>خرید-</t>
  </si>
  <si>
    <t>P08</t>
  </si>
  <si>
    <t>فروش-</t>
  </si>
  <si>
    <t>P09</t>
  </si>
  <si>
    <t>P10</t>
  </si>
  <si>
    <t>P11</t>
  </si>
  <si>
    <t>ریال</t>
  </si>
  <si>
    <t>P12</t>
  </si>
  <si>
    <t>گروه‌ها و زیرگروه‌ها</t>
  </si>
  <si>
    <t>GROUPS</t>
  </si>
  <si>
    <t>سردرختی</t>
  </si>
  <si>
    <t>انباری</t>
  </si>
  <si>
    <t>میدان بار</t>
  </si>
  <si>
    <t>حجره‌دار</t>
  </si>
  <si>
    <t>واسطه</t>
  </si>
  <si>
    <t>نقدی</t>
  </si>
  <si>
    <t>سبد چوبی</t>
  </si>
  <si>
    <t>سبد مقوایی</t>
  </si>
  <si>
    <t>تأمین‌کننده</t>
  </si>
  <si>
    <t>مواد بسته‌بندی</t>
  </si>
  <si>
    <t>واکس و رنگ</t>
  </si>
  <si>
    <t>حمل‌ونقل</t>
  </si>
  <si>
    <t>خدمات</t>
  </si>
  <si>
    <t>باسکول خصوصی</t>
  </si>
  <si>
    <t>آورده نقدی</t>
  </si>
  <si>
    <t>برداشت سرمایه</t>
  </si>
  <si>
    <t>گروه‌های اصلی</t>
  </si>
  <si>
    <t>GROUP LIST</t>
  </si>
  <si>
    <t>عملیات سبد</t>
  </si>
  <si>
    <t>BASKET OPS</t>
  </si>
  <si>
    <t>OTHER SCALES</t>
  </si>
  <si>
    <t>عملیات باسکول</t>
  </si>
  <si>
    <t>BASKOL OPS</t>
  </si>
  <si>
    <t>کیلوگرم</t>
  </si>
  <si>
    <t>جعبه</t>
  </si>
  <si>
    <t>تن</t>
  </si>
  <si>
    <t>عدد</t>
  </si>
  <si>
    <t>نقد</t>
  </si>
  <si>
    <t>چک</t>
  </si>
  <si>
    <t>انتقال بانکی</t>
  </si>
  <si>
    <t>کارت/پوز</t>
  </si>
  <si>
    <t>پاس چک</t>
  </si>
  <si>
    <t>انتقال داخلی</t>
  </si>
  <si>
    <t>در جریان</t>
  </si>
  <si>
    <t>پاس شده</t>
  </si>
  <si>
    <t>برگشتی</t>
  </si>
  <si>
    <t>باطل</t>
  </si>
  <si>
    <t>☑</t>
  </si>
  <si>
    <t>☐</t>
  </si>
  <si>
    <t>تعدیل</t>
  </si>
  <si>
    <t>✓</t>
  </si>
  <si>
    <t>⚠</t>
  </si>
  <si>
    <t>Growers</t>
  </si>
  <si>
    <t>LoadBuyers</t>
  </si>
  <si>
    <t>BasketSellers</t>
  </si>
  <si>
    <t>Suppliers</t>
  </si>
  <si>
    <t>Staff</t>
  </si>
  <si>
    <t>Other</t>
  </si>
  <si>
    <t>OtherScales</t>
  </si>
  <si>
    <t>Assets</t>
  </si>
  <si>
    <t>Liabilities</t>
  </si>
  <si>
    <t>Equity</t>
  </si>
  <si>
    <t>mint</t>
  </si>
  <si>
    <t>sky</t>
  </si>
  <si>
    <t>lavender</t>
  </si>
  <si>
    <t>rose</t>
  </si>
  <si>
    <t>sand</t>
  </si>
  <si>
    <t>grey</t>
  </si>
  <si>
    <t>teal</t>
  </si>
  <si>
    <t>peach</t>
  </si>
  <si>
    <t>بهار</t>
  </si>
  <si>
    <t>تابستان</t>
  </si>
  <si>
    <t>پاییز</t>
  </si>
  <si>
    <t>زمستان</t>
  </si>
  <si>
    <t>پرداخت</t>
  </si>
  <si>
    <t>دریافت</t>
  </si>
  <si>
    <t>MAZANDASHT  ·  CITRUS SORTING &amp; PACKING</t>
  </si>
  <si>
    <t>راهنمای فاکتور</t>
  </si>
  <si>
    <t>چطور یک فاکتور تمیز و قابل چاپ بسازم</t>
  </si>
  <si>
    <t>راهنما</t>
  </si>
  <si>
    <t>ورود دستی</t>
  </si>
  <si>
    <t>هشدار</t>
  </si>
  <si>
    <t>ستون‌های زرد = ورود شما  |  ستون‌های خاکستری = محاسبه خودکار  |  روی سرستون‌ها بایستید تا راهنما باز شود</t>
  </si>
  <si>
    <t>•</t>
  </si>
  <si>
    <t>گام ۱ — کد حساب</t>
  </si>
  <si>
    <t>کد حساب را در کادر «کد حساب» انتخاب کنید. همه گردش‌های آن حساب — خرید، پرداخت، چک، برگشت — به ترتیب تاریخ پایین می‌آید.</t>
  </si>
  <si>
    <t>گام ۲ — تیک بزنید</t>
  </si>
  <si>
    <t>ستون «نمایش»: ۱ یعنی این سطر در فاکتور حساب شود، ۰ یعنی حذف. جمع پایین صفحه فقط سطرهای تیک‌خورده را جمع می‌زند.</t>
  </si>
  <si>
    <t>گام ۳ — چاپ</t>
  </si>
  <si>
    <t>Ctrl+P. صفحه برای A4 افقی تنظیم شده و همه ستون‌ها در یک صفحه جا می‌شوند. سربرگ شرکت و محل امضا آماده است.</t>
  </si>
  <si>
    <t>نکته</t>
  </si>
  <si>
    <t>مبلغ‌ها به ریال و بدون اعشار است. اگر اعداد صفر بود: Data ← Edit Links ← Update Values.</t>
  </si>
  <si>
    <t>مانده حساب</t>
  </si>
  <si>
    <t>«مانده نهایی» کل گردش حساب است؛ با جمع سطرهای انتخاب‌شده اشتباه نشود.</t>
  </si>
  <si>
    <t>برای ویرایش داده‌ها به ثبت روزانه برگردید.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</si>
</sst>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36">
    <font>
      <sz val="11"/>
      <color theme="1"/>
      <name val="Calibri"/>
      <family val="2"/>
      <scheme val="minor"/>
    </font>
    <font>
      <b/>
      <sz val="9"/>
      <color rgb="FFFFFFFF"/>
      <name val="B Nazanin"/>
      <family val="2"/>
    </font>
    <font>
      <sz val="8.5"/>
      <color theme="1"/>
      <name val="Tahoma"/>
      <family val="2"/>
    </font>
    <font>
      <sz val="9"/>
      <color theme="1"/>
      <name val="Tahoma"/>
      <family val="2"/>
    </font>
    <font>
      <b/>
      <sz val="11"/>
      <color rgb="FF14453D"/>
      <name val="B Nazanin"/>
      <family val="2"/>
    </font>
    <font>
      <b/>
      <sz val="7"/>
      <color rgb="FFC89B3C"/>
      <name val="Tahoma"/>
      <family val="2"/>
    </font>
    <font>
      <b/>
      <sz val="22"/>
      <color rgb="FF14453D"/>
      <name val="B Nazanin"/>
      <family val="2"/>
    </font>
    <font>
      <sz val="10"/>
      <color rgb="FF6B7A76"/>
      <name val="B Nazanin"/>
      <family val="2"/>
    </font>
    <font>
      <b/>
      <sz val="9.5"/>
      <color rgb="FF14453D"/>
      <name val="B Nazanin"/>
      <family val="2"/>
    </font>
    <font>
      <b/>
      <sz val="11"/>
      <color rgb="FF3A3327"/>
      <name val="Tahoma"/>
      <family val="2"/>
    </font>
    <font>
      <b/>
      <sz val="11"/>
      <color rgb="FF3A3327"/>
      <name val="B Nazanin"/>
      <family val="2"/>
    </font>
    <font>
      <sz val="9.5"/>
      <color rgb="FF6B7A76"/>
      <name val="B Nazanin"/>
      <family val="2"/>
    </font>
    <font>
      <b/>
      <sz val="9.5"/>
      <color rgb="FFFFFFFF"/>
      <name val="B Nazanin"/>
      <family val="2"/>
    </font>
    <font>
      <sz val="9"/>
      <color theme="1"/>
      <name val="B Nazanin"/>
      <family val="2"/>
    </font>
    <font>
      <b/>
      <sz val="11"/>
      <color rgb="FFFFFFFF"/>
      <name val="B Nazanin"/>
      <family val="2"/>
    </font>
    <font>
      <b/>
      <sz val="11"/>
      <color rgb="FFFFFFFF"/>
      <name val="Tahoma"/>
      <family val="2"/>
    </font>
    <font>
      <b/>
      <sz val="10"/>
      <color rgb="FF14453D"/>
      <name val="B Nazanin"/>
      <family val="2"/>
    </font>
    <font>
      <b/>
      <sz val="12"/>
      <color rgb="FF14453D"/>
      <name val="Tahoma"/>
      <family val="2"/>
    </font>
    <font>
      <sz val="9"/>
      <color rgb="FF6B7A76"/>
      <name val="B Nazanin"/>
      <family val="2"/>
    </font>
    <font>
      <b/>
      <sz val="16"/>
      <color rgb="FF14453D"/>
      <name val="B Nazanin"/>
      <family val="2"/>
    </font>
    <font>
      <i/>
      <sz val="6.5"/>
      <color rgb="FFD8E6DF"/>
      <name val="Tahoma"/>
      <family val="2"/>
    </font>
    <font>
      <sz val="8"/>
      <color theme="1"/>
      <name val="Tahoma"/>
      <family val="2"/>
    </font>
    <font>
      <b/>
      <sz val="10.5"/>
      <color rgb="FF14453D"/>
      <name val="B Nazanin"/>
      <family val="2"/>
    </font>
    <font>
      <b/>
      <sz val="7.5"/>
      <color rgb="FFC89B3C"/>
      <name val="Tahoma"/>
      <family val="2"/>
    </font>
    <font>
      <b/>
      <sz val="23"/>
      <color rgb="FF14453D"/>
      <name val="B Nazanin"/>
      <family val="2"/>
    </font>
    <font>
      <sz val="11.5"/>
      <color rgb="FF6B7A76"/>
      <name val="B Nazanin"/>
      <family val="2"/>
    </font>
    <font>
      <b/>
      <sz val="7.5"/>
      <color rgb="FFFFFFFF"/>
      <name val="Tahoma"/>
      <family val="2"/>
    </font>
    <font>
      <sz val="7.5"/>
      <color rgb="FF5A4A2A"/>
      <name val="Tahoma"/>
      <family val="2"/>
    </font>
    <font>
      <sz val="7.5"/>
      <color rgb="FF6B7A76"/>
      <name val="Tahoma"/>
      <family val="2"/>
    </font>
    <font>
      <sz val="7.5"/>
      <color rgb="FF2E6B4F"/>
      <name val="Tahoma"/>
      <family val="2"/>
    </font>
    <font>
      <sz val="7.5"/>
      <color rgb="FF2B5C7A"/>
      <name val="Tahoma"/>
      <family val="2"/>
    </font>
    <font>
      <sz val="7.5"/>
      <color rgb="FFB4452F"/>
      <name val="Tahoma"/>
      <family val="2"/>
    </font>
    <font>
      <b/>
      <sz val="9"/>
      <color rgb="FFFFFFFF"/>
      <name val="Tahoma"/>
      <family val="2"/>
    </font>
    <font>
      <b/>
      <sz val="14"/>
      <color rgb="FF14453D"/>
      <name val="B Nazanin"/>
      <family val="2"/>
    </font>
    <font>
      <sz val="10"/>
      <color rgb="FF1E2A2B"/>
      <name val="B Nazanin"/>
      <family val="2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FCFAF3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EBD9AE"/>
        <bgColor indexed="64"/>
      </patternFill>
    </fill>
  </fills>
  <borders count="11">
    <border>
      <left/>
      <right/>
      <top/>
      <bottom/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/>
      <bottom style="dashed">
        <color rgb="FFC89B3C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EBD9AE"/>
      </left>
      <right style="thin">
        <color rgb="FFEBD9AE"/>
      </right>
      <top style="thin">
        <color rgb="FFEBD9AE"/>
      </top>
      <bottom style="thin">
        <color rgb="FFEBD9AE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/>
      <right/>
      <top style="thin">
        <color rgb="FFDCD5C6"/>
      </top>
      <bottom/>
      <diagonal/>
    </border>
    <border>
      <left/>
      <right/>
      <top/>
      <bottom style="medium">
        <color rgb="FFC89B3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0" fillId="6" borderId="3" xfId="0" applyFill="1" applyBorder="1"/>
    <xf numFmtId="0" fontId="11" fillId="6" borderId="0" xfId="0" applyFont="1" applyFill="1" applyAlignment="1">
      <alignment horizontal="right" vertical="center"/>
    </xf>
    <xf numFmtId="0" fontId="0" fillId="6" borderId="0" xfId="0" applyFill="1"/>
    <xf numFmtId="0" fontId="12" fillId="2" borderId="5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64" fontId="15" fillId="2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right" vertical="center"/>
    </xf>
    <xf numFmtId="164" fontId="17" fillId="6" borderId="0" xfId="0" applyNumberFormat="1" applyFont="1" applyFill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1" fillId="13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top" wrapText="1"/>
    </xf>
    <xf numFmtId="0" fontId="26" fillId="2" borderId="8" xfId="0" applyFont="1" applyFill="1" applyBorder="1" applyAlignment="1">
      <alignment horizontal="center" vertical="center"/>
    </xf>
    <xf numFmtId="0" fontId="27" fillId="5" borderId="8" xfId="0" applyFont="1" applyFill="1" applyBorder="1" applyAlignment="1">
      <alignment horizontal="center" vertical="center"/>
    </xf>
    <xf numFmtId="0" fontId="28" fillId="14" borderId="8" xfId="0" applyFont="1" applyFill="1" applyBorder="1" applyAlignment="1">
      <alignment horizontal="center" vertical="center"/>
    </xf>
    <xf numFmtId="0" fontId="29" fillId="15" borderId="8" xfId="0" applyFont="1" applyFill="1" applyBorder="1" applyAlignment="1">
      <alignment horizontal="center" vertical="center"/>
    </xf>
    <xf numFmtId="0" fontId="30" fillId="16" borderId="8" xfId="0" applyFont="1" applyFill="1" applyBorder="1" applyAlignment="1">
      <alignment horizontal="center" vertical="center"/>
    </xf>
    <xf numFmtId="0" fontId="31" fillId="17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0" fillId="11" borderId="0" xfId="0" applyFill="1"/>
    <xf numFmtId="0" fontId="0" fillId="3" borderId="0" xfId="0" applyFill="1"/>
    <xf numFmtId="0" fontId="32" fillId="11" borderId="0" xfId="0" applyFont="1" applyFill="1" applyAlignment="1">
      <alignment horizontal="center" vertical="center"/>
    </xf>
    <xf numFmtId="0" fontId="33" fillId="4" borderId="7" xfId="0" applyFont="1" applyFill="1" applyBorder="1" applyAlignment="1">
      <alignment horizontal="right" vertical="center"/>
    </xf>
    <xf numFmtId="0" fontId="34" fillId="3" borderId="10" xfId="0" applyFont="1" applyFill="1" applyBorder="1" applyAlignment="1">
      <alignment horizontal="right" vertical="center" wrapText="1"/>
    </xf>
    <xf numFmtId="0" fontId="11" fillId="18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C9C2B2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01_Entry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cale"/>
      <sheetName val="Crate"/>
      <sheetName val="Pay"/>
      <sheetName val="Book"/>
      <sheetName val="Sum"/>
    </sheetNames>
    <sheetDataSet>
      <sheetData sheetId="0"/>
      <sheetData sheetId="1"/>
      <sheetData sheetId="2"/>
      <sheetData sheetId="3">
        <row r="10">
          <cell r="A10" t="str">
            <v>1405/07/01</v>
          </cell>
          <cell r="B10" t="str">
            <v>BS-001</v>
          </cell>
          <cell r="D10" t="str">
            <v>C001</v>
          </cell>
          <cell r="O10" t="str">
            <v>باغدار</v>
          </cell>
          <cell r="N10" t="str">
            <v>خرید مرکبات</v>
          </cell>
          <cell r="M10">
            <v>64181000</v>
          </cell>
          <cell r="K10">
            <v>64181000</v>
          </cell>
          <cell r="F10" t="str">
            <v>نارنگی پیچ</v>
          </cell>
          <cell r="G10">
            <v>139</v>
          </cell>
          <cell r="I10">
            <v>2005.641</v>
          </cell>
        </row>
        <row r="11">
          <cell r="A11" t="str">
            <v>1405/07/01</v>
          </cell>
          <cell r="B11" t="str">
            <v>BS-001</v>
          </cell>
          <cell r="D11" t="str">
            <v>X004</v>
          </cell>
          <cell r="E11" t="str">
            <v>مقابل: خرید مرکبات</v>
          </cell>
          <cell r="O11" t="str">
            <v>سایر حساب</v>
          </cell>
          <cell r="N11" t="str">
            <v>مقابل</v>
          </cell>
          <cell r="L11">
            <v>64181000</v>
          </cell>
          <cell r="K11">
            <v>64181000</v>
          </cell>
        </row>
        <row r="14">
          <cell r="A14" t="str">
            <v>1405/07/01</v>
          </cell>
          <cell r="B14" t="str">
            <v>BS-002</v>
          </cell>
          <cell r="D14" t="str">
            <v>C003</v>
          </cell>
          <cell r="O14" t="str">
            <v>باغدار</v>
          </cell>
          <cell r="N14" t="str">
            <v>خرید مرکبات</v>
          </cell>
          <cell r="M14">
            <v>28777000</v>
          </cell>
          <cell r="K14">
            <v>28777000</v>
          </cell>
          <cell r="F14" t="str">
            <v>پرتقال تامسون</v>
          </cell>
          <cell r="G14">
            <v>53</v>
          </cell>
          <cell r="I14">
            <v>822.1949999999999</v>
          </cell>
        </row>
        <row r="15">
          <cell r="A15" t="str">
            <v>1405/07/01</v>
          </cell>
          <cell r="B15" t="str">
            <v>BS-002</v>
          </cell>
          <cell r="D15" t="str">
            <v>X004</v>
          </cell>
          <cell r="E15" t="str">
            <v>مقابل: خرید مرکبات</v>
          </cell>
          <cell r="O15" t="str">
            <v>سایر حساب</v>
          </cell>
          <cell r="N15" t="str">
            <v>مقابل</v>
          </cell>
          <cell r="L15">
            <v>28777000</v>
          </cell>
          <cell r="K15">
            <v>28777000</v>
          </cell>
        </row>
        <row r="18">
          <cell r="A18" t="str">
            <v>1405/07/02</v>
          </cell>
          <cell r="B18" t="str">
            <v>BS-003</v>
          </cell>
          <cell r="D18" t="str">
            <v>C006</v>
          </cell>
          <cell r="E18" t="str">
            <v>کرایه حمل ۵۰۰٬۰۰۰</v>
          </cell>
          <cell r="O18" t="str">
            <v>باغدار</v>
          </cell>
          <cell r="N18" t="str">
            <v>خرید مرکبات</v>
          </cell>
          <cell r="M18">
            <v>37848000</v>
          </cell>
          <cell r="K18">
            <v>37848000</v>
          </cell>
          <cell r="F18" t="str">
            <v>نارنگی اونشو</v>
          </cell>
          <cell r="G18">
            <v>85</v>
          </cell>
          <cell r="I18">
            <v>1244.925</v>
          </cell>
        </row>
        <row r="19">
          <cell r="A19" t="str">
            <v>1405/07/02</v>
          </cell>
          <cell r="B19" t="str">
            <v>BS-003</v>
          </cell>
          <cell r="D19" t="str">
            <v>X004</v>
          </cell>
          <cell r="E19" t="str">
            <v>مقابل: خرید مرکبات</v>
          </cell>
          <cell r="O19" t="str">
            <v>سایر حساب</v>
          </cell>
          <cell r="N19" t="str">
            <v>مقابل</v>
          </cell>
          <cell r="L19">
            <v>37848000</v>
          </cell>
          <cell r="K19">
            <v>37848000</v>
          </cell>
        </row>
        <row r="22">
          <cell r="A22" t="str">
            <v>1405/07/02</v>
          </cell>
          <cell r="B22" t="str">
            <v>BS-004</v>
          </cell>
          <cell r="D22" t="str">
            <v>C002</v>
          </cell>
          <cell r="O22" t="str">
            <v>باغدار</v>
          </cell>
          <cell r="N22" t="str">
            <v>خرید مرکبات</v>
          </cell>
          <cell r="M22">
            <v>20187000</v>
          </cell>
          <cell r="K22">
            <v>20187000</v>
          </cell>
          <cell r="F22" t="str">
            <v>پرتقال خونی</v>
          </cell>
          <cell r="G22">
            <v>36</v>
          </cell>
          <cell r="I22">
            <v>531.234</v>
          </cell>
        </row>
        <row r="23">
          <cell r="A23" t="str">
            <v>1405/07/02</v>
          </cell>
          <cell r="B23" t="str">
            <v>BS-004</v>
          </cell>
          <cell r="D23" t="str">
            <v>X004</v>
          </cell>
          <cell r="E23" t="str">
            <v>مقابل: خرید مرکبات</v>
          </cell>
          <cell r="O23" t="str">
            <v>سایر حساب</v>
          </cell>
          <cell r="N23" t="str">
            <v>مقابل</v>
          </cell>
          <cell r="L23">
            <v>20187000</v>
          </cell>
          <cell r="K23">
            <v>20187000</v>
          </cell>
        </row>
        <row r="26">
          <cell r="A26" t="str">
            <v>1405/07/03</v>
          </cell>
          <cell r="B26" t="str">
            <v>BS-005</v>
          </cell>
          <cell r="D26" t="str">
            <v>C008</v>
          </cell>
          <cell r="O26" t="str">
            <v>باغدار</v>
          </cell>
          <cell r="N26" t="str">
            <v>خرید مرکبات</v>
          </cell>
          <cell r="M26">
            <v>48110000</v>
          </cell>
          <cell r="K26">
            <v>48110000</v>
          </cell>
          <cell r="F26" t="str">
            <v>نارنگی ژاپنی</v>
          </cell>
          <cell r="G26">
            <v>108</v>
          </cell>
          <cell r="I26">
            <v>1551.924</v>
          </cell>
        </row>
        <row r="27">
          <cell r="A27" t="str">
            <v>1405/07/03</v>
          </cell>
          <cell r="B27" t="str">
            <v>BS-005</v>
          </cell>
          <cell r="D27" t="str">
            <v>X004</v>
          </cell>
          <cell r="E27" t="str">
            <v>مقابل: خرید مرکبات</v>
          </cell>
          <cell r="O27" t="str">
            <v>سایر حساب</v>
          </cell>
          <cell r="N27" t="str">
            <v>مقابل</v>
          </cell>
          <cell r="L27">
            <v>48110000</v>
          </cell>
          <cell r="K27">
            <v>48110000</v>
          </cell>
        </row>
        <row r="30">
          <cell r="A30" t="str">
            <v>1405/07/03</v>
          </cell>
          <cell r="B30" t="str">
            <v>BS-006</v>
          </cell>
          <cell r="D30" t="str">
            <v>SL001</v>
          </cell>
          <cell r="E30" t="str">
            <v>هزینه باسکول پوز</v>
          </cell>
          <cell r="O30" t="str">
            <v>بارفروش</v>
          </cell>
          <cell r="N30" t="str">
            <v>فروش بار (بارفروش)</v>
          </cell>
          <cell r="L30">
            <v>145000000</v>
          </cell>
          <cell r="K30">
            <v>145000000</v>
          </cell>
          <cell r="F30" t="str">
            <v>پرتقال تامسون</v>
          </cell>
          <cell r="G30">
            <v>0</v>
          </cell>
          <cell r="I30">
            <v>2500</v>
          </cell>
        </row>
        <row r="31">
          <cell r="A31" t="str">
            <v>1405/07/03</v>
          </cell>
          <cell r="B31" t="str">
            <v>BS-006</v>
          </cell>
          <cell r="D31" t="str">
            <v>X006</v>
          </cell>
          <cell r="E31" t="str">
            <v>مقابل: فروش بار (بارفروش)</v>
          </cell>
          <cell r="O31" t="str">
            <v>سایر حساب</v>
          </cell>
          <cell r="N31" t="str">
            <v>مقابل</v>
          </cell>
          <cell r="M31">
            <v>145000000</v>
          </cell>
          <cell r="K31">
            <v>145000000</v>
          </cell>
        </row>
        <row r="32">
          <cell r="A32" t="str">
            <v>1405/07/03</v>
          </cell>
          <cell r="B32" t="str">
            <v>BS-006</v>
          </cell>
          <cell r="D32" t="str">
            <v>BANK02</v>
          </cell>
          <cell r="E32" t="str">
            <v>پوز باسکول — فروش بار (بارفروش)</v>
          </cell>
          <cell r="N32" t="str">
            <v>پوز</v>
          </cell>
          <cell r="L32">
            <v>120000</v>
          </cell>
          <cell r="K32">
            <v>120000</v>
          </cell>
        </row>
        <row r="33">
          <cell r="A33" t="str">
            <v>1405/07/03</v>
          </cell>
          <cell r="B33" t="str">
            <v>BS-006</v>
          </cell>
          <cell r="D33" t="str">
            <v>X002</v>
          </cell>
          <cell r="E33" t="str">
            <v>مقابل پوز — فروش بار (بارفروش)</v>
          </cell>
          <cell r="O33" t="str">
            <v>سایر حساب</v>
          </cell>
          <cell r="N33" t="str">
            <v>مقابل پوز</v>
          </cell>
          <cell r="M33">
            <v>120000</v>
          </cell>
          <cell r="K33">
            <v>120000</v>
          </cell>
        </row>
        <row r="34">
          <cell r="A34" t="str">
            <v>1405/07/04</v>
          </cell>
          <cell r="B34" t="str">
            <v>BS-007</v>
          </cell>
          <cell r="D34" t="str">
            <v>C004</v>
          </cell>
          <cell r="O34" t="str">
            <v>باغدار</v>
          </cell>
          <cell r="N34" t="str">
            <v>خرید مرکبات</v>
          </cell>
          <cell r="M34">
            <v>19047000</v>
          </cell>
          <cell r="K34">
            <v>19047000</v>
          </cell>
          <cell r="F34" t="str">
            <v>نارنگی پیچ</v>
          </cell>
          <cell r="G34">
            <v>38</v>
          </cell>
          <cell r="I34">
            <v>577.17</v>
          </cell>
        </row>
        <row r="35">
          <cell r="A35" t="str">
            <v>1405/07/04</v>
          </cell>
          <cell r="B35" t="str">
            <v>BS-007</v>
          </cell>
          <cell r="D35" t="str">
            <v>X004</v>
          </cell>
          <cell r="E35" t="str">
            <v>مقابل: خرید مرکبات</v>
          </cell>
          <cell r="O35" t="str">
            <v>سایر حساب</v>
          </cell>
          <cell r="N35" t="str">
            <v>مقابل</v>
          </cell>
          <cell r="L35">
            <v>19047000</v>
          </cell>
          <cell r="K35">
            <v>19047000</v>
          </cell>
        </row>
        <row r="38">
          <cell r="A38" t="str">
            <v>1405/07/04</v>
          </cell>
          <cell r="B38" t="str">
            <v>BS-008</v>
          </cell>
          <cell r="D38" t="str">
            <v>SL002</v>
          </cell>
          <cell r="E38" t="str">
            <v>هزینه باسکول پوز</v>
          </cell>
          <cell r="O38" t="str">
            <v>بارفروش</v>
          </cell>
          <cell r="N38" t="str">
            <v>فروش بار (بارفروش)</v>
          </cell>
          <cell r="L38">
            <v>93600000</v>
          </cell>
          <cell r="K38">
            <v>93600000</v>
          </cell>
          <cell r="F38" t="str">
            <v>نارنگی اونشو</v>
          </cell>
          <cell r="G38">
            <v>0</v>
          </cell>
          <cell r="I38">
            <v>1800</v>
          </cell>
        </row>
        <row r="39">
          <cell r="A39" t="str">
            <v>1405/07/04</v>
          </cell>
          <cell r="B39" t="str">
            <v>BS-008</v>
          </cell>
          <cell r="D39" t="str">
            <v>X006</v>
          </cell>
          <cell r="E39" t="str">
            <v>مقابل: فروش بار (بارفروش)</v>
          </cell>
          <cell r="O39" t="str">
            <v>سایر حساب</v>
          </cell>
          <cell r="N39" t="str">
            <v>مقابل</v>
          </cell>
          <cell r="M39">
            <v>93600000</v>
          </cell>
          <cell r="K39">
            <v>93600000</v>
          </cell>
        </row>
        <row r="40">
          <cell r="A40" t="str">
            <v>1405/07/04</v>
          </cell>
          <cell r="B40" t="str">
            <v>BS-008</v>
          </cell>
          <cell r="D40" t="str">
            <v>BANK02</v>
          </cell>
          <cell r="E40" t="str">
            <v>پوز باسکول — فروش بار (بارفروش)</v>
          </cell>
          <cell r="N40" t="str">
            <v>پوز</v>
          </cell>
          <cell r="L40">
            <v>90000</v>
          </cell>
          <cell r="K40">
            <v>90000</v>
          </cell>
        </row>
        <row r="41">
          <cell r="A41" t="str">
            <v>1405/07/04</v>
          </cell>
          <cell r="B41" t="str">
            <v>BS-008</v>
          </cell>
          <cell r="D41" t="str">
            <v>X002</v>
          </cell>
          <cell r="E41" t="str">
            <v>مقابل پوز — فروش بار (بارفروش)</v>
          </cell>
          <cell r="O41" t="str">
            <v>سایر حساب</v>
          </cell>
          <cell r="N41" t="str">
            <v>مقابل پوز</v>
          </cell>
          <cell r="M41">
            <v>90000</v>
          </cell>
          <cell r="K41">
            <v>90000</v>
          </cell>
        </row>
        <row r="42">
          <cell r="A42" t="str">
            <v>1405/07/05</v>
          </cell>
          <cell r="B42" t="str">
            <v>BS-009</v>
          </cell>
          <cell r="D42" t="str">
            <v>C007</v>
          </cell>
          <cell r="E42" t="str">
            <v>آبگیری — طرف حساب بستانکار</v>
          </cell>
          <cell r="O42" t="str">
            <v>باغدار</v>
          </cell>
          <cell r="N42" t="str">
            <v>آبگیری</v>
          </cell>
          <cell r="M42">
            <v>12000000</v>
          </cell>
          <cell r="K42">
            <v>12000000</v>
          </cell>
          <cell r="F42" t="str">
            <v>نارنگی پیچ</v>
          </cell>
          <cell r="G42">
            <v>0</v>
          </cell>
          <cell r="I42">
            <v>800</v>
          </cell>
        </row>
        <row r="43">
          <cell r="A43" t="str">
            <v>1405/07/05</v>
          </cell>
          <cell r="B43" t="str">
            <v>BS-009</v>
          </cell>
          <cell r="D43" t="str">
            <v>X008</v>
          </cell>
          <cell r="E43" t="str">
            <v>مقابل: آبگیری</v>
          </cell>
          <cell r="O43" t="str">
            <v>سایر حساب</v>
          </cell>
          <cell r="N43" t="str">
            <v>مقابل</v>
          </cell>
          <cell r="L43">
            <v>12000000</v>
          </cell>
          <cell r="K43">
            <v>12000000</v>
          </cell>
        </row>
        <row r="46">
          <cell r="A46" t="str">
            <v>1405/07/05</v>
          </cell>
          <cell r="B46" t="str">
            <v>BS-010</v>
          </cell>
          <cell r="D46" t="str">
            <v>X001</v>
          </cell>
          <cell r="E46" t="str">
            <v>انعام از پوز باسکول</v>
          </cell>
          <cell r="O46" t="str">
            <v>سایر حساب</v>
          </cell>
          <cell r="N46" t="str">
            <v>انعام مصطفی</v>
          </cell>
          <cell r="M46">
            <v>500000</v>
          </cell>
          <cell r="K46">
            <v>500000</v>
          </cell>
          <cell r="F46">
            <v>0</v>
          </cell>
          <cell r="G46">
            <v>0</v>
          </cell>
          <cell r="I46">
            <v>0</v>
          </cell>
        </row>
        <row r="47">
          <cell r="A47" t="str">
            <v>1405/07/05</v>
          </cell>
          <cell r="B47" t="str">
            <v>BS-010</v>
          </cell>
          <cell r="D47" t="str">
            <v>BANK02</v>
          </cell>
          <cell r="E47" t="str">
            <v>مقابل: انعام مصطفی</v>
          </cell>
          <cell r="N47" t="str">
            <v>مقابل</v>
          </cell>
          <cell r="L47">
            <v>500000</v>
          </cell>
          <cell r="K47">
            <v>500000</v>
          </cell>
        </row>
        <row r="50">
          <cell r="A50" t="str">
            <v>1405/07/06</v>
          </cell>
          <cell r="B50" t="str">
            <v>BS-011</v>
          </cell>
          <cell r="D50" t="str">
            <v>BD001</v>
          </cell>
          <cell r="E50" t="str">
            <v>هزینه باسکول مهمان</v>
          </cell>
          <cell r="O50" t="str">
            <v>باسکول دیگران</v>
          </cell>
          <cell r="N50" t="str">
            <v>باسکول دیگران</v>
          </cell>
          <cell r="L50">
            <v>150000</v>
          </cell>
          <cell r="K50">
            <v>150000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1405/07/06</v>
          </cell>
          <cell r="B51" t="str">
            <v>BS-011</v>
          </cell>
          <cell r="D51" t="str">
            <v>X002</v>
          </cell>
          <cell r="E51" t="str">
            <v>مقابل: باسکول دیگران</v>
          </cell>
          <cell r="O51" t="str">
            <v>سایر حساب</v>
          </cell>
          <cell r="N51" t="str">
            <v>مقابل</v>
          </cell>
          <cell r="M51">
            <v>150000</v>
          </cell>
          <cell r="K51">
            <v>150000</v>
          </cell>
        </row>
        <row r="54">
          <cell r="A54" t="str">
            <v>1405/07/06</v>
          </cell>
          <cell r="B54" t="str">
            <v>BS-012</v>
          </cell>
          <cell r="D54" t="str">
            <v>C005</v>
          </cell>
          <cell r="O54" t="str">
            <v>باغدار</v>
          </cell>
          <cell r="N54" t="str">
            <v>خرید مرکبات</v>
          </cell>
          <cell r="M54">
            <v>81235000</v>
          </cell>
          <cell r="K54">
            <v>81235000</v>
          </cell>
          <cell r="F54" t="str">
            <v>پرتقال یافا</v>
          </cell>
          <cell r="G54">
            <v>195</v>
          </cell>
          <cell r="I54">
            <v>2801.205</v>
          </cell>
        </row>
        <row r="55">
          <cell r="A55" t="str">
            <v>1405/07/06</v>
          </cell>
          <cell r="B55" t="str">
            <v>BS-012</v>
          </cell>
          <cell r="D55" t="str">
            <v>X004</v>
          </cell>
          <cell r="E55" t="str">
            <v>مقابل: خرید مرکبات</v>
          </cell>
          <cell r="O55" t="str">
            <v>سایر حساب</v>
          </cell>
          <cell r="N55" t="str">
            <v>مقابل</v>
          </cell>
          <cell r="L55">
            <v>81235000</v>
          </cell>
          <cell r="K55">
            <v>81235000</v>
          </cell>
        </row>
        <row r="58">
          <cell r="A58" t="str">
            <v>1405/07/07</v>
          </cell>
          <cell r="B58" t="str">
            <v>BS-013</v>
          </cell>
          <cell r="D58" t="str">
            <v>C001</v>
          </cell>
          <cell r="E58" t="str">
            <v>برگشت ۱۲ سبد</v>
          </cell>
          <cell r="O58" t="str">
            <v>باغدار</v>
          </cell>
          <cell r="N58" t="str">
            <v>مرجوعی خرید</v>
          </cell>
          <cell r="L58">
            <v>6399000</v>
          </cell>
          <cell r="K58">
            <v>6399000</v>
          </cell>
          <cell r="F58" t="str">
            <v>نارنگی پیچ</v>
          </cell>
          <cell r="G58">
            <v>12</v>
          </cell>
          <cell r="I58">
            <v>199.98</v>
          </cell>
        </row>
        <row r="59">
          <cell r="A59" t="str">
            <v>1405/07/07</v>
          </cell>
          <cell r="B59" t="str">
            <v>BS-013</v>
          </cell>
          <cell r="D59" t="str">
            <v>X004</v>
          </cell>
          <cell r="E59" t="str">
            <v>مقابل: مرجوعی خرید</v>
          </cell>
          <cell r="O59" t="str">
            <v>سایر حساب</v>
          </cell>
          <cell r="N59" t="str">
            <v>مقابل</v>
          </cell>
          <cell r="M59">
            <v>6399000</v>
          </cell>
          <cell r="K59">
            <v>6399000</v>
          </cell>
        </row>
        <row r="62">
          <cell r="A62" t="str">
            <v>1405/07/08</v>
          </cell>
          <cell r="B62" t="str">
            <v>BS-014</v>
          </cell>
          <cell r="D62" t="str">
            <v>C009</v>
          </cell>
          <cell r="O62" t="str">
            <v>باغدار</v>
          </cell>
          <cell r="N62" t="str">
            <v>خرید مرکبات</v>
          </cell>
          <cell r="M62">
            <v>38782000</v>
          </cell>
          <cell r="K62">
            <v>38782000</v>
          </cell>
          <cell r="F62" t="str">
            <v>نارنگی ژاپنی</v>
          </cell>
          <cell r="G62">
            <v>92</v>
          </cell>
          <cell r="I62">
            <v>1271.556</v>
          </cell>
        </row>
        <row r="63">
          <cell r="A63" t="str">
            <v>1405/07/08</v>
          </cell>
          <cell r="B63" t="str">
            <v>BS-014</v>
          </cell>
          <cell r="D63" t="str">
            <v>X004</v>
          </cell>
          <cell r="E63" t="str">
            <v>مقابل: خرید مرکبات</v>
          </cell>
          <cell r="O63" t="str">
            <v>سایر حساب</v>
          </cell>
          <cell r="N63" t="str">
            <v>مقابل</v>
          </cell>
          <cell r="L63">
            <v>38782000</v>
          </cell>
          <cell r="K63">
            <v>38782000</v>
          </cell>
        </row>
        <row r="66">
          <cell r="A66" t="str">
            <v>1405/07/09</v>
          </cell>
          <cell r="B66" t="str">
            <v>BS-015</v>
          </cell>
          <cell r="D66" t="str">
            <v>SL001</v>
          </cell>
          <cell r="E66" t="str">
            <v>هزینه باسکول پوز</v>
          </cell>
          <cell r="O66" t="str">
            <v>بارفروش</v>
          </cell>
          <cell r="N66" t="str">
            <v>فروش بار (بارفروش)</v>
          </cell>
          <cell r="L66">
            <v>96000000</v>
          </cell>
          <cell r="K66">
            <v>96000000</v>
          </cell>
          <cell r="F66" t="str">
            <v>پرتقال تامسون</v>
          </cell>
          <cell r="G66">
            <v>0</v>
          </cell>
          <cell r="I66">
            <v>1600</v>
          </cell>
        </row>
        <row r="67">
          <cell r="A67" t="str">
            <v>1405/07/09</v>
          </cell>
          <cell r="B67" t="str">
            <v>BS-015</v>
          </cell>
          <cell r="D67" t="str">
            <v>X006</v>
          </cell>
          <cell r="E67" t="str">
            <v>مقابل: فروش بار (بارفروش)</v>
          </cell>
          <cell r="O67" t="str">
            <v>سایر حساب</v>
          </cell>
          <cell r="N67" t="str">
            <v>مقابل</v>
          </cell>
          <cell r="M67">
            <v>96000000</v>
          </cell>
          <cell r="K67">
            <v>96000000</v>
          </cell>
        </row>
        <row r="68">
          <cell r="A68" t="str">
            <v>1405/07/09</v>
          </cell>
          <cell r="B68" t="str">
            <v>BS-015</v>
          </cell>
          <cell r="D68" t="str">
            <v>BANK02</v>
          </cell>
          <cell r="E68" t="str">
            <v>پوز باسکول — فروش بار (بارفروش)</v>
          </cell>
          <cell r="N68" t="str">
            <v>پوز</v>
          </cell>
          <cell r="L68">
            <v>80000</v>
          </cell>
          <cell r="K68">
            <v>80000</v>
          </cell>
        </row>
        <row r="69">
          <cell r="A69" t="str">
            <v>1405/07/09</v>
          </cell>
          <cell r="B69" t="str">
            <v>BS-015</v>
          </cell>
          <cell r="D69" t="str">
            <v>X002</v>
          </cell>
          <cell r="E69" t="str">
            <v>مقابل پوز — فروش بار (بارفروش)</v>
          </cell>
          <cell r="O69" t="str">
            <v>سایر حساب</v>
          </cell>
          <cell r="N69" t="str">
            <v>مقابل پوز</v>
          </cell>
          <cell r="M69">
            <v>80000</v>
          </cell>
          <cell r="K69">
            <v>80000</v>
          </cell>
        </row>
        <row r="70">
          <cell r="A70" t="str">
            <v>1405/07/10</v>
          </cell>
          <cell r="B70" t="str">
            <v>BS-016</v>
          </cell>
          <cell r="D70" t="str">
            <v>C010</v>
          </cell>
          <cell r="O70" t="str">
            <v>باغدار</v>
          </cell>
          <cell r="N70" t="str">
            <v>خرید مرکبات</v>
          </cell>
          <cell r="M70">
            <v>29930000</v>
          </cell>
          <cell r="K70">
            <v>29930000</v>
          </cell>
          <cell r="F70" t="str">
            <v>پرتقال کاراکارا</v>
          </cell>
          <cell r="G70">
            <v>58</v>
          </cell>
          <cell r="I70">
            <v>831.4019999999999</v>
          </cell>
        </row>
        <row r="71">
          <cell r="A71" t="str">
            <v>1405/07/10</v>
          </cell>
          <cell r="B71" t="str">
            <v>BS-016</v>
          </cell>
          <cell r="D71" t="str">
            <v>X004</v>
          </cell>
          <cell r="E71" t="str">
            <v>مقابل: خرید مرکبات</v>
          </cell>
          <cell r="O71" t="str">
            <v>سایر حساب</v>
          </cell>
          <cell r="N71" t="str">
            <v>مقابل</v>
          </cell>
          <cell r="L71">
            <v>29930000</v>
          </cell>
          <cell r="K71">
            <v>29930000</v>
          </cell>
        </row>
        <row r="74">
          <cell r="A74" t="str">
            <v>1405/07/11</v>
          </cell>
          <cell r="B74" t="str">
            <v>BS-017</v>
          </cell>
          <cell r="E74" t="str">
            <v>هزینه باسکول نقدی</v>
          </cell>
          <cell r="N74" t="str">
            <v>درآمد پوز باسکول (بدون طرف)</v>
          </cell>
          <cell r="K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1405/07/11</v>
          </cell>
          <cell r="B75" t="str">
            <v>BS-017</v>
          </cell>
          <cell r="E75" t="str">
            <v>مقابل: درآمد پوز باسکول (بدون طرف)</v>
          </cell>
          <cell r="N75" t="str">
            <v>مقابل</v>
          </cell>
          <cell r="K75">
            <v>0</v>
          </cell>
        </row>
        <row r="76">
          <cell r="A76" t="str">
            <v>1405/07/11</v>
          </cell>
          <cell r="B76" t="str">
            <v>BS-017</v>
          </cell>
          <cell r="D76" t="str">
            <v>BANK02</v>
          </cell>
          <cell r="E76" t="str">
            <v>پوز باسکول — درآمد پوز باسکول (بدون طرف)</v>
          </cell>
          <cell r="N76" t="str">
            <v>پوز</v>
          </cell>
          <cell r="L76">
            <v>300000</v>
          </cell>
          <cell r="K76">
            <v>300000</v>
          </cell>
        </row>
        <row r="77">
          <cell r="A77" t="str">
            <v>1405/07/11</v>
          </cell>
          <cell r="B77" t="str">
            <v>BS-017</v>
          </cell>
          <cell r="D77" t="str">
            <v>X002</v>
          </cell>
          <cell r="E77" t="str">
            <v>مقابل پوز — درآمد پوز باسکول (بدون طرف)</v>
          </cell>
          <cell r="O77" t="str">
            <v>سایر حساب</v>
          </cell>
          <cell r="N77" t="str">
            <v>مقابل پوز</v>
          </cell>
          <cell r="M77">
            <v>300000</v>
          </cell>
          <cell r="K77">
            <v>300000</v>
          </cell>
        </row>
        <row r="78">
          <cell r="A78" t="str">
            <v>1405/07/12</v>
          </cell>
          <cell r="B78" t="str">
            <v>BS-018</v>
          </cell>
          <cell r="D78" t="str">
            <v>C011</v>
          </cell>
          <cell r="O78" t="str">
            <v>باغدار</v>
          </cell>
          <cell r="N78" t="str">
            <v>خرید مرکبات</v>
          </cell>
          <cell r="M78">
            <v>36757000</v>
          </cell>
          <cell r="K78">
            <v>36757000</v>
          </cell>
          <cell r="F78" t="str">
            <v>پرتقال بیروتی</v>
          </cell>
          <cell r="G78">
            <v>72</v>
          </cell>
          <cell r="I78">
            <v>1081.08</v>
          </cell>
        </row>
        <row r="79">
          <cell r="A79" t="str">
            <v>1405/07/12</v>
          </cell>
          <cell r="B79" t="str">
            <v>BS-018</v>
          </cell>
          <cell r="D79" t="str">
            <v>X004</v>
          </cell>
          <cell r="E79" t="str">
            <v>مقابل: خرید مرکبات</v>
          </cell>
          <cell r="O79" t="str">
            <v>سایر حساب</v>
          </cell>
          <cell r="N79" t="str">
            <v>مقابل</v>
          </cell>
          <cell r="L79">
            <v>36757000</v>
          </cell>
          <cell r="K79">
            <v>36757000</v>
          </cell>
        </row>
        <row r="1210">
          <cell r="A1210" t="str">
            <v>1405/07/06</v>
          </cell>
          <cell r="B1210" t="str">
            <v>PV-001</v>
          </cell>
          <cell r="D1210" t="str">
            <v>C001</v>
          </cell>
          <cell r="E1210" t="str">
            <v>علی‌الحساب خرید</v>
          </cell>
          <cell r="O1210" t="str">
            <v>باغدار</v>
          </cell>
          <cell r="N1210" t="str">
            <v>پرداخت — نقد</v>
          </cell>
          <cell r="L1210">
            <v>150000000</v>
          </cell>
          <cell r="K1210">
            <v>150000000</v>
          </cell>
        </row>
        <row r="1211">
          <cell r="A1211" t="str">
            <v>1405/07/06</v>
          </cell>
          <cell r="B1211" t="str">
            <v>PV-001</v>
          </cell>
          <cell r="D1211" t="str">
            <v>X003</v>
          </cell>
          <cell r="E1211" t="str">
            <v>علی‌الحساب خرید</v>
          </cell>
          <cell r="O1211" t="str">
            <v>سایر حساب</v>
          </cell>
          <cell r="N1211" t="str">
            <v>پرداخت — نقد</v>
          </cell>
          <cell r="M1211">
            <v>150000000</v>
          </cell>
          <cell r="K1211">
            <v>150000000</v>
          </cell>
        </row>
        <row r="1212">
          <cell r="A1212" t="str">
            <v>1405/07/06</v>
          </cell>
          <cell r="B1212" t="str">
            <v>RV-001</v>
          </cell>
          <cell r="D1212" t="str">
            <v>BN01</v>
          </cell>
          <cell r="E1212" t="str">
            <v>تسویه بار</v>
          </cell>
          <cell r="O1212" t="str">
            <v>بانک و صندوق</v>
          </cell>
          <cell r="N1212" t="str">
            <v>دریافت — انتقال بانکی</v>
          </cell>
          <cell r="L1212">
            <v>300000000</v>
          </cell>
          <cell r="K1212">
            <v>300000000</v>
          </cell>
        </row>
        <row r="1213">
          <cell r="A1213" t="str">
            <v>1405/07/06</v>
          </cell>
          <cell r="B1213" t="str">
            <v>RV-001</v>
          </cell>
          <cell r="D1213" t="str">
            <v>SL001</v>
          </cell>
          <cell r="E1213" t="str">
            <v>تسویه بار</v>
          </cell>
          <cell r="O1213" t="str">
            <v>بارفروش</v>
          </cell>
          <cell r="N1213" t="str">
            <v>دریافت — انتقال بانکی</v>
          </cell>
          <cell r="M1213">
            <v>300000000</v>
          </cell>
          <cell r="K1213">
            <v>300000000</v>
          </cell>
        </row>
        <row r="1214">
          <cell r="A1214" t="str">
            <v>1405/07/07</v>
          </cell>
          <cell r="B1214" t="str">
            <v>PV-002</v>
          </cell>
          <cell r="D1214" t="str">
            <v>C002</v>
          </cell>
          <cell r="E1214" t="str">
            <v>چک ۳۰ روزه</v>
          </cell>
          <cell r="O1214" t="str">
            <v>باغدار</v>
          </cell>
          <cell r="N1214" t="str">
            <v>پرداخت — چک</v>
          </cell>
          <cell r="L1214">
            <v>200000000</v>
          </cell>
          <cell r="K1214">
            <v>200000000</v>
          </cell>
        </row>
        <row r="1215">
          <cell r="A1215" t="str">
            <v>1405/07/07</v>
          </cell>
          <cell r="B1215" t="str">
            <v>PV-002</v>
          </cell>
          <cell r="D1215" t="str">
            <v>X010</v>
          </cell>
          <cell r="E1215" t="str">
            <v>چک ۳۰ روزه</v>
          </cell>
          <cell r="O1215" t="str">
            <v>سایر حساب</v>
          </cell>
          <cell r="N1215" t="str">
            <v>پرداخت — چک</v>
          </cell>
          <cell r="M1215">
            <v>200000000</v>
          </cell>
          <cell r="K1215">
            <v>200000000</v>
          </cell>
        </row>
        <row r="1216">
          <cell r="A1216" t="str">
            <v>1405/07/08</v>
          </cell>
          <cell r="B1216" t="str">
            <v>PV-003</v>
          </cell>
          <cell r="D1216" t="str">
            <v>C003</v>
          </cell>
          <cell r="O1216" t="str">
            <v>باغدار</v>
          </cell>
          <cell r="N1216" t="str">
            <v>پرداخت — انتقال بانکی</v>
          </cell>
          <cell r="L1216">
            <v>80000000</v>
          </cell>
          <cell r="K1216">
            <v>80000000</v>
          </cell>
        </row>
        <row r="1217">
          <cell r="A1217" t="str">
            <v>1405/07/08</v>
          </cell>
          <cell r="B1217" t="str">
            <v>PV-003</v>
          </cell>
          <cell r="D1217" t="str">
            <v>BN02</v>
          </cell>
          <cell r="O1217" t="str">
            <v>بانک و صندوق</v>
          </cell>
          <cell r="N1217" t="str">
            <v>پرداخت — انتقال بانکی</v>
          </cell>
          <cell r="M1217">
            <v>80000000</v>
          </cell>
          <cell r="K1217">
            <v>80000000</v>
          </cell>
        </row>
        <row r="1218">
          <cell r="A1218" t="str">
            <v>1405/07/09</v>
          </cell>
          <cell r="B1218" t="str">
            <v>RV-002</v>
          </cell>
          <cell r="D1218" t="str">
            <v>BN02</v>
          </cell>
          <cell r="O1218" t="str">
            <v>بانک و صندوق</v>
          </cell>
          <cell r="N1218" t="str">
            <v>دریافت — کارت/پوز</v>
          </cell>
          <cell r="L1218">
            <v>120000000</v>
          </cell>
          <cell r="K1218">
            <v>120000000</v>
          </cell>
        </row>
        <row r="1219">
          <cell r="A1219" t="str">
            <v>1405/07/09</v>
          </cell>
          <cell r="B1219" t="str">
            <v>RV-002</v>
          </cell>
          <cell r="D1219" t="str">
            <v>SL002</v>
          </cell>
          <cell r="O1219" t="str">
            <v>بارفروش</v>
          </cell>
          <cell r="N1219" t="str">
            <v>دریافت — کارت/پوز</v>
          </cell>
          <cell r="M1219">
            <v>120000000</v>
          </cell>
          <cell r="K1219">
            <v>120000000</v>
          </cell>
        </row>
        <row r="1220">
          <cell r="A1220" t="str">
            <v>1405/07/10</v>
          </cell>
          <cell r="B1220" t="str">
            <v>PV-004</v>
          </cell>
          <cell r="D1220" t="str">
            <v>X010</v>
          </cell>
          <cell r="E1220" t="str">
            <v>پاس شدن چک</v>
          </cell>
          <cell r="O1220" t="str">
            <v>سایر حساب</v>
          </cell>
          <cell r="N1220" t="str">
            <v>پرداخت — پاس چک</v>
          </cell>
          <cell r="L1220">
            <v>200000000</v>
          </cell>
          <cell r="K1220">
            <v>200000000</v>
          </cell>
        </row>
        <row r="1221">
          <cell r="A1221" t="str">
            <v>1405/07/10</v>
          </cell>
          <cell r="B1221" t="str">
            <v>PV-004</v>
          </cell>
          <cell r="D1221" t="str">
            <v>BN01</v>
          </cell>
          <cell r="E1221" t="str">
            <v>پاس شدن چک</v>
          </cell>
          <cell r="O1221" t="str">
            <v>بانک و صندوق</v>
          </cell>
          <cell r="N1221" t="str">
            <v>پرداخت — پاس چک</v>
          </cell>
          <cell r="M1221">
            <v>200000000</v>
          </cell>
          <cell r="K1221">
            <v>200000000</v>
          </cell>
        </row>
        <row r="1222">
          <cell r="A1222" t="str">
            <v>1405/07/10</v>
          </cell>
          <cell r="B1222" t="str">
            <v>PV-005</v>
          </cell>
          <cell r="D1222" t="str">
            <v>C006</v>
          </cell>
          <cell r="O1222" t="str">
            <v>باغدار</v>
          </cell>
          <cell r="N1222" t="str">
            <v>پرداخت — نقد</v>
          </cell>
          <cell r="L1222">
            <v>30000000</v>
          </cell>
          <cell r="K1222">
            <v>30000000</v>
          </cell>
        </row>
        <row r="1223">
          <cell r="A1223" t="str">
            <v>1405/07/10</v>
          </cell>
          <cell r="B1223" t="str">
            <v>PV-005</v>
          </cell>
          <cell r="D1223" t="str">
            <v>X003</v>
          </cell>
          <cell r="O1223" t="str">
            <v>سایر حساب</v>
          </cell>
          <cell r="N1223" t="str">
            <v>پرداخت — نقد</v>
          </cell>
          <cell r="M1223">
            <v>30000000</v>
          </cell>
          <cell r="K1223">
            <v>30000000</v>
          </cell>
        </row>
        <row r="1224">
          <cell r="A1224" t="str">
            <v>1405/07/11</v>
          </cell>
          <cell r="B1224" t="str">
            <v>RV-003</v>
          </cell>
          <cell r="D1224" t="str">
            <v>BN02</v>
          </cell>
          <cell r="O1224" t="str">
            <v>بانک و صندوق</v>
          </cell>
          <cell r="N1224" t="str">
            <v>دریافت — انتقال بانکی</v>
          </cell>
          <cell r="L1224">
            <v>100000000</v>
          </cell>
          <cell r="K1224">
            <v>100000000</v>
          </cell>
        </row>
        <row r="1225">
          <cell r="A1225" t="str">
            <v>1405/07/11</v>
          </cell>
          <cell r="B1225" t="str">
            <v>RV-003</v>
          </cell>
          <cell r="D1225" t="str">
            <v>SL001</v>
          </cell>
          <cell r="O1225" t="str">
            <v>بارفروش</v>
          </cell>
          <cell r="N1225" t="str">
            <v>دریافت — انتقال بانکی</v>
          </cell>
          <cell r="M1225">
            <v>100000000</v>
          </cell>
          <cell r="K1225">
            <v>100000000</v>
          </cell>
        </row>
        <row r="1226">
          <cell r="A1226" t="str">
            <v>1405/07/11</v>
          </cell>
          <cell r="B1226" t="str">
            <v>PV-006</v>
          </cell>
          <cell r="D1226" t="str">
            <v>X001</v>
          </cell>
          <cell r="E1226" t="str">
            <v>تسویه انعام مصطفی</v>
          </cell>
          <cell r="O1226" t="str">
            <v>سایر حساب</v>
          </cell>
          <cell r="N1226" t="str">
            <v>پرداخت — نقد</v>
          </cell>
          <cell r="L1226">
            <v>500000</v>
          </cell>
          <cell r="K1226">
            <v>500000</v>
          </cell>
        </row>
        <row r="1227">
          <cell r="A1227" t="str">
            <v>1405/07/11</v>
          </cell>
          <cell r="B1227" t="str">
            <v>PV-006</v>
          </cell>
          <cell r="D1227" t="str">
            <v>X003</v>
          </cell>
          <cell r="E1227" t="str">
            <v>تسویه انعام مصطفی</v>
          </cell>
          <cell r="O1227" t="str">
            <v>سایر حساب</v>
          </cell>
          <cell r="N1227" t="str">
            <v>پرداخت — نقد</v>
          </cell>
          <cell r="M1227">
            <v>500000</v>
          </cell>
          <cell r="K1227">
            <v>500000</v>
          </cell>
        </row>
        <row r="1228">
          <cell r="A1228" t="str">
            <v>1405/07/12</v>
          </cell>
          <cell r="B1228" t="str">
            <v>PV-007</v>
          </cell>
          <cell r="D1228" t="str">
            <v>BN01</v>
          </cell>
          <cell r="E1228" t="str">
            <v>انتقال بین بانکی</v>
          </cell>
          <cell r="O1228" t="str">
            <v>بانک و صندوق</v>
          </cell>
          <cell r="N1228" t="str">
            <v>پرداخت — انتقال داخلی</v>
          </cell>
          <cell r="L1228">
            <v>50000000</v>
          </cell>
          <cell r="K1228">
            <v>50000000</v>
          </cell>
        </row>
        <row r="1229">
          <cell r="A1229" t="str">
            <v>1405/07/12</v>
          </cell>
          <cell r="B1229" t="str">
            <v>PV-007</v>
          </cell>
          <cell r="D1229" t="str">
            <v>X003</v>
          </cell>
          <cell r="E1229" t="str">
            <v>انتقال بین بانکی</v>
          </cell>
          <cell r="O1229" t="str">
            <v>سایر حساب</v>
          </cell>
          <cell r="N1229" t="str">
            <v>پرداخت — انتقال داخلی</v>
          </cell>
          <cell r="M1229">
            <v>50000000</v>
          </cell>
          <cell r="K1229">
            <v>50000000</v>
          </cell>
        </row>
        <row r="1230">
          <cell r="A1230" t="str">
            <v>1405/07/07</v>
          </cell>
          <cell r="B1230" t="str">
            <v>PV-008</v>
          </cell>
          <cell r="D1230" t="str">
            <v>C004</v>
          </cell>
          <cell r="E1230" t="str">
            <v>در جریان</v>
          </cell>
          <cell r="O1230" t="str">
            <v>باغدار</v>
          </cell>
          <cell r="N1230" t="str">
            <v>پرداخت — چک</v>
          </cell>
          <cell r="L1230">
            <v>60000000</v>
          </cell>
          <cell r="K1230">
            <v>60000000</v>
          </cell>
        </row>
        <row r="1231">
          <cell r="A1231" t="str">
            <v>1405/07/07</v>
          </cell>
          <cell r="B1231" t="str">
            <v>PV-008</v>
          </cell>
          <cell r="D1231" t="str">
            <v>X010</v>
          </cell>
          <cell r="E1231" t="str">
            <v>در جریان</v>
          </cell>
          <cell r="O1231" t="str">
            <v>سایر حساب</v>
          </cell>
          <cell r="N1231" t="str">
            <v>پرداخت — چک</v>
          </cell>
          <cell r="M1231">
            <v>60000000</v>
          </cell>
          <cell r="K1231">
            <v>60000000</v>
          </cell>
        </row>
        <row r="1232">
          <cell r="A1232" t="str">
            <v>1405/07/12</v>
          </cell>
          <cell r="B1232" t="str">
            <v>RV-004</v>
          </cell>
          <cell r="D1232" t="str">
            <v>BN01</v>
          </cell>
          <cell r="O1232" t="str">
            <v>بانک و صندوق</v>
          </cell>
          <cell r="N1232" t="str">
            <v>دریافت — انتقال بانکی</v>
          </cell>
          <cell r="L1232">
            <v>50000000</v>
          </cell>
          <cell r="K1232">
            <v>50000000</v>
          </cell>
        </row>
        <row r="1233">
          <cell r="A1233" t="str">
            <v>1405/07/12</v>
          </cell>
          <cell r="B1233" t="str">
            <v>RV-004</v>
          </cell>
          <cell r="D1233" t="str">
            <v>SL002</v>
          </cell>
          <cell r="O1233" t="str">
            <v>بارفروش</v>
          </cell>
          <cell r="N1233" t="str">
            <v>دریافت — انتقال بانکی</v>
          </cell>
          <cell r="M1233">
            <v>50000000</v>
          </cell>
          <cell r="K1233">
            <v>50000000</v>
          </cell>
        </row>
        <row r="1510">
          <cell r="A1510" t="str">
            <v>1405/07/01</v>
          </cell>
          <cell r="B1510" t="str">
            <v>BK-001</v>
          </cell>
          <cell r="D1510" t="str">
            <v>S001</v>
          </cell>
          <cell r="O1510" t="str">
            <v>فروشنده سبد</v>
          </cell>
          <cell r="N1510" t="str">
            <v>خرید سبد</v>
          </cell>
          <cell r="L1510">
            <v>0</v>
          </cell>
          <cell r="M1510">
            <v>22500000</v>
          </cell>
          <cell r="K1510">
            <v>22500000</v>
          </cell>
          <cell r="G1510">
            <v>500</v>
          </cell>
        </row>
        <row r="1511">
          <cell r="A1511" t="str">
            <v>1405/07/01</v>
          </cell>
          <cell r="B1511" t="str">
            <v>BK-001</v>
          </cell>
          <cell r="D1511" t="str">
            <v>X005</v>
          </cell>
          <cell r="E1511" t="str">
            <v>مقابل: خرید سبد</v>
          </cell>
          <cell r="O1511" t="str">
            <v>سایر حساب</v>
          </cell>
          <cell r="N1511" t="str">
            <v>مقابل</v>
          </cell>
          <cell r="L1511">
            <v>22500000</v>
          </cell>
          <cell r="M1511">
            <v>0</v>
          </cell>
          <cell r="K1511">
            <v>22500000</v>
          </cell>
        </row>
        <row r="1512">
          <cell r="A1512" t="str">
            <v>1405/07/02</v>
          </cell>
          <cell r="B1512" t="str">
            <v>BK-002</v>
          </cell>
          <cell r="D1512" t="str">
            <v>S002</v>
          </cell>
          <cell r="O1512" t="str">
            <v>فروشنده سبد</v>
          </cell>
          <cell r="N1512" t="str">
            <v>خرید سبد</v>
          </cell>
          <cell r="L1512">
            <v>0</v>
          </cell>
          <cell r="M1512">
            <v>18600000</v>
          </cell>
          <cell r="K1512">
            <v>18600000</v>
          </cell>
          <cell r="G1512">
            <v>300</v>
          </cell>
        </row>
        <row r="1513">
          <cell r="A1513" t="str">
            <v>1405/07/02</v>
          </cell>
          <cell r="B1513" t="str">
            <v>BK-002</v>
          </cell>
          <cell r="D1513" t="str">
            <v>X005</v>
          </cell>
          <cell r="E1513" t="str">
            <v>مقابل: خرید سبد</v>
          </cell>
          <cell r="O1513" t="str">
            <v>سایر حساب</v>
          </cell>
          <cell r="N1513" t="str">
            <v>مقابل</v>
          </cell>
          <cell r="L1513">
            <v>18600000</v>
          </cell>
          <cell r="M1513">
            <v>0</v>
          </cell>
          <cell r="K1513">
            <v>18600000</v>
          </cell>
        </row>
        <row r="1514">
          <cell r="A1514" t="str">
            <v>1405/07/04</v>
          </cell>
          <cell r="B1514" t="str">
            <v>BK-003</v>
          </cell>
          <cell r="D1514" t="str">
            <v>C003</v>
          </cell>
          <cell r="O1514" t="str">
            <v>باغدار</v>
          </cell>
          <cell r="N1514" t="str">
            <v>فروش سبد</v>
          </cell>
          <cell r="L1514">
            <v>8700000</v>
          </cell>
          <cell r="M1514">
            <v>0</v>
          </cell>
          <cell r="K1514">
            <v>8700000</v>
          </cell>
          <cell r="G1514">
            <v>150</v>
          </cell>
        </row>
        <row r="1515">
          <cell r="A1515" t="str">
            <v>1405/07/04</v>
          </cell>
          <cell r="B1515" t="str">
            <v>BK-003</v>
          </cell>
          <cell r="D1515" t="str">
            <v>X007</v>
          </cell>
          <cell r="E1515" t="str">
            <v>مقابل: فروش سبد</v>
          </cell>
          <cell r="O1515" t="str">
            <v>سایر حساب</v>
          </cell>
          <cell r="N1515" t="str">
            <v>مقابل</v>
          </cell>
          <cell r="L1515">
            <v>0</v>
          </cell>
          <cell r="M1515">
            <v>8700000</v>
          </cell>
          <cell r="K1515">
            <v>8700000</v>
          </cell>
        </row>
        <row r="1516">
          <cell r="A1516" t="str">
            <v>1405/07/06</v>
          </cell>
          <cell r="B1516" t="str">
            <v>BK-004</v>
          </cell>
          <cell r="D1516" t="str">
            <v>C006</v>
          </cell>
          <cell r="O1516" t="str">
            <v>باغدار</v>
          </cell>
          <cell r="N1516" t="str">
            <v>فروش سبد</v>
          </cell>
          <cell r="L1516">
            <v>6400000</v>
          </cell>
          <cell r="M1516">
            <v>0</v>
          </cell>
          <cell r="K1516">
            <v>6400000</v>
          </cell>
          <cell r="G1516">
            <v>80</v>
          </cell>
        </row>
        <row r="1517">
          <cell r="A1517" t="str">
            <v>1405/07/06</v>
          </cell>
          <cell r="B1517" t="str">
            <v>BK-004</v>
          </cell>
          <cell r="D1517" t="str">
            <v>X007</v>
          </cell>
          <cell r="E1517" t="str">
            <v>مقابل: فروش سبد</v>
          </cell>
          <cell r="O1517" t="str">
            <v>سایر حساب</v>
          </cell>
          <cell r="N1517" t="str">
            <v>مقابل</v>
          </cell>
          <cell r="L1517">
            <v>0</v>
          </cell>
          <cell r="M1517">
            <v>6400000</v>
          </cell>
          <cell r="K1517">
            <v>6400000</v>
          </cell>
        </row>
        <row r="1518">
          <cell r="A1518" t="str">
            <v>1405/07/08</v>
          </cell>
          <cell r="B1518" t="str">
            <v>BK-005</v>
          </cell>
          <cell r="D1518" t="str">
            <v>S003</v>
          </cell>
          <cell r="O1518" t="str">
            <v>فروشنده سبد</v>
          </cell>
          <cell r="N1518" t="str">
            <v>خرید سبد</v>
          </cell>
          <cell r="L1518">
            <v>0</v>
          </cell>
          <cell r="M1518">
            <v>11600000</v>
          </cell>
          <cell r="K1518">
            <v>11600000</v>
          </cell>
          <cell r="G1518">
            <v>200</v>
          </cell>
        </row>
        <row r="1519">
          <cell r="A1519" t="str">
            <v>1405/07/08</v>
          </cell>
          <cell r="B1519" t="str">
            <v>BK-005</v>
          </cell>
          <cell r="D1519" t="str">
            <v>X005</v>
          </cell>
          <cell r="E1519" t="str">
            <v>مقابل: خرید سبد</v>
          </cell>
          <cell r="O1519" t="str">
            <v>سایر حساب</v>
          </cell>
          <cell r="N1519" t="str">
            <v>مقابل</v>
          </cell>
          <cell r="L1519">
            <v>11600000</v>
          </cell>
          <cell r="M1519">
            <v>0</v>
          </cell>
          <cell r="K1519">
            <v>11600000</v>
          </cell>
        </row>
        <row r="1520">
          <cell r="A1520" t="str">
            <v>1405/07/10</v>
          </cell>
          <cell r="B1520" t="str">
            <v>BK-006</v>
          </cell>
          <cell r="D1520" t="str">
            <v>S001</v>
          </cell>
          <cell r="E1520" t="str">
            <v>سبد سالم</v>
          </cell>
          <cell r="O1520" t="str">
            <v>فروشنده سبد</v>
          </cell>
          <cell r="N1520" t="str">
            <v>مرجوعی خرید سبد</v>
          </cell>
          <cell r="L1520">
            <v>900000</v>
          </cell>
          <cell r="M1520">
            <v>0</v>
          </cell>
          <cell r="K1520">
            <v>900000</v>
          </cell>
          <cell r="G1520">
            <v>20</v>
          </cell>
        </row>
        <row r="1521">
          <cell r="A1521" t="str">
            <v>1405/07/10</v>
          </cell>
          <cell r="B1521" t="str">
            <v>BK-006</v>
          </cell>
          <cell r="D1521" t="str">
            <v>X005</v>
          </cell>
          <cell r="E1521" t="str">
            <v>مقابل: مرجوعی خرید سبد</v>
          </cell>
          <cell r="O1521" t="str">
            <v>سایر حساب</v>
          </cell>
          <cell r="N1521" t="str">
            <v>مقابل</v>
          </cell>
          <cell r="L1521">
            <v>0</v>
          </cell>
          <cell r="M1521">
            <v>900000</v>
          </cell>
          <cell r="K1521">
            <v>900000</v>
          </cell>
        </row>
        <row r="1522">
          <cell r="A1522" t="str">
            <v>1405/07/12</v>
          </cell>
          <cell r="B1522" t="str">
            <v>BK-007</v>
          </cell>
          <cell r="D1522" t="str">
            <v>C001</v>
          </cell>
          <cell r="O1522" t="str">
            <v>باغدار</v>
          </cell>
          <cell r="N1522" t="str">
            <v>فروش سبد</v>
          </cell>
          <cell r="L1522">
            <v>4920000</v>
          </cell>
          <cell r="M1522">
            <v>0</v>
          </cell>
          <cell r="K1522">
            <v>4920000</v>
          </cell>
          <cell r="G1522">
            <v>60</v>
          </cell>
        </row>
        <row r="1523">
          <cell r="A1523" t="str">
            <v>1405/07/12</v>
          </cell>
          <cell r="B1523" t="str">
            <v>BK-007</v>
          </cell>
          <cell r="D1523" t="str">
            <v>X007</v>
          </cell>
          <cell r="E1523" t="str">
            <v>مقابل: فروش سبد</v>
          </cell>
          <cell r="O1523" t="str">
            <v>سایر حساب</v>
          </cell>
          <cell r="N1523" t="str">
            <v>مقابل</v>
          </cell>
          <cell r="L1523">
            <v>0</v>
          </cell>
          <cell r="M1523">
            <v>4920000</v>
          </cell>
          <cell r="K1523">
            <v>4920000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9:O1808"/>
  <sheetViews>
    <sheetView tabSelected="1" workbookViewId="0" rightToLeft="1"/>
  </sheetViews>
  <sheetFormatPr defaultRowHeight="15"/>
  <cols>
    <col min="1" max="1" width="11.7109375" customWidth="1"/>
    <col min="2" max="3" width="10.7109375" customWidth="1"/>
    <col min="4" max="4" width="34.7109375" customWidth="1"/>
    <col min="5" max="5" width="13.7109375" customWidth="1"/>
    <col min="6" max="6" width="17.7109375" customWidth="1"/>
    <col min="7" max="9" width="14.7109375" customWidth="1"/>
    <col min="10" max="10" width="13.7109375" customWidth="1"/>
    <col min="11" max="11" width="20.7109375" customWidth="1"/>
    <col min="12" max="12" width="9.7109375" customWidth="1"/>
    <col min="13" max="13" width="10.7109375" customWidth="1"/>
    <col min="14" max="15" width="6.7109375" customWidth="1"/>
  </cols>
  <sheetData>
    <row r="9" spans="1:1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5">
      <c r="A10" s="2" t="str">
        <f>'[01_Entry.xlsx]Book'!A10</f>
        <v>1405/07/01</v>
      </c>
      <c r="B10" s="2" t="str">
        <f>'[01_Entry.xlsx]Book'!B10</f>
        <v>BS-001</v>
      </c>
      <c r="C10" s="2" t="str">
        <f>'[01_Entry.xlsx]Book'!D10</f>
        <v>C001</v>
      </c>
      <c r="D10" s="2">
        <f>'[01_Entry.xlsx]Book'!E10</f>
        <v/>
      </c>
      <c r="E10" s="2" t="str">
        <f>'[01_Entry.xlsx]Book'!O10</f>
        <v>باغدار</v>
      </c>
      <c r="F10" s="2" t="str">
        <f>'[01_Entry.xlsx]Book'!N10</f>
        <v>خرید مرکبات</v>
      </c>
      <c r="G10" s="3">
        <f>'[01_Entry.xlsx]Book'!L10</f>
        <v/>
      </c>
      <c r="H10" s="3">
        <f>'[01_Entry.xlsx]Book'!M10</f>
        <v>64181000.0</v>
      </c>
      <c r="I10" s="3">
        <f>'[01_Entry.xlsx]Book'!K10</f>
        <v>64181000.0</v>
      </c>
      <c r="J10" s="3">
        <f>'[01_Entry.xlsx]Book'!P10</f>
        <v/>
      </c>
      <c r="K10" s="3" t="str">
        <f>'[01_Entry.xlsx]Book'!F10</f>
        <v>نارنگی پیچ</v>
      </c>
      <c r="L10" s="3">
        <f>'[01_Entry.xlsx]Book'!G10</f>
        <v>139</v>
      </c>
      <c r="M10" s="3">
        <f>'[01_Entry.xlsx]Book'!I10</f>
        <v>2005.641</v>
      </c>
      <c r="N10" s="2">
        <f>IF($A10="","",MID($A10,6,2))</f>
        <v>0</v>
      </c>
      <c r="O10" s="2">
        <f>IF(OR($C10="",$C10&lt;&gt;'Inv'!$D$12),"",N(O$9)+1)</f>
        <v>0</v>
      </c>
    </row>
    <row r="11" spans="1:15">
      <c r="A11" s="2" t="str">
        <f>'[01_Entry.xlsx]Book'!A11</f>
        <v>1405/07/01</v>
      </c>
      <c r="B11" s="2" t="str">
        <f>'[01_Entry.xlsx]Book'!B11</f>
        <v>BS-001</v>
      </c>
      <c r="C11" s="2" t="str">
        <f>'[01_Entry.xlsx]Book'!D11</f>
        <v>X004</v>
      </c>
      <c r="D11" s="2" t="str">
        <f>'[01_Entry.xlsx]Book'!E11</f>
        <v>مقابل: خرید مرکبات</v>
      </c>
      <c r="E11" s="2" t="str">
        <f>'[01_Entry.xlsx]Book'!O11</f>
        <v>سایر حساب</v>
      </c>
      <c r="F11" s="2" t="str">
        <f>'[01_Entry.xlsx]Book'!N11</f>
        <v>مقابل</v>
      </c>
      <c r="G11" s="3">
        <f>'[01_Entry.xlsx]Book'!L11</f>
        <v>64181000.0</v>
      </c>
      <c r="H11" s="3">
        <f>'[01_Entry.xlsx]Book'!M11</f>
        <v/>
      </c>
      <c r="I11" s="3">
        <f>'[01_Entry.xlsx]Book'!K11</f>
        <v>64181000.0</v>
      </c>
      <c r="J11" s="3">
        <f>'[01_Entry.xlsx]Book'!P11</f>
        <v/>
      </c>
      <c r="K11" s="3">
        <f>'[01_Entry.xlsx]Book'!F11</f>
        <v/>
      </c>
      <c r="L11" s="3">
        <f>'[01_Entry.xlsx]Book'!G11</f>
        <v/>
      </c>
      <c r="M11" s="3">
        <f>'[01_Entry.xlsx]Book'!I11</f>
        <v/>
      </c>
      <c r="N11" s="2">
        <f>IF($A11="","",MID($A11,6,2))</f>
        <v>0</v>
      </c>
      <c r="O11" s="2">
        <f>IF(OR($C11="",$C11&lt;&gt;'Inv'!$D$12),"",N(O$10)+1)</f>
        <v>0</v>
      </c>
    </row>
    <row r="12" spans="1:15">
      <c r="A12" s="2">
        <f>'[01_Entry.xlsx]Book'!A12</f>
        <v/>
      </c>
      <c r="B12" s="2">
        <f>'[01_Entry.xlsx]Book'!B12</f>
        <v/>
      </c>
      <c r="C12" s="2">
        <f>'[01_Entry.xlsx]Book'!D12</f>
        <v/>
      </c>
      <c r="D12" s="2">
        <f>'[01_Entry.xlsx]Book'!E12</f>
        <v/>
      </c>
      <c r="E12" s="2">
        <f>'[01_Entry.xlsx]Book'!O12</f>
        <v/>
      </c>
      <c r="F12" s="2">
        <f>'[01_Entry.xlsx]Book'!N12</f>
        <v/>
      </c>
      <c r="G12" s="3">
        <f>'[01_Entry.xlsx]Book'!L12</f>
        <v/>
      </c>
      <c r="H12" s="3">
        <f>'[01_Entry.xlsx]Book'!M12</f>
        <v/>
      </c>
      <c r="I12" s="3">
        <f>'[01_Entry.xlsx]Book'!K12</f>
        <v/>
      </c>
      <c r="J12" s="3">
        <f>'[01_Entry.xlsx]Book'!P12</f>
        <v/>
      </c>
      <c r="K12" s="3">
        <f>'[01_Entry.xlsx]Book'!F12</f>
        <v/>
      </c>
      <c r="L12" s="3">
        <f>'[01_Entry.xlsx]Book'!G12</f>
        <v/>
      </c>
      <c r="M12" s="3">
        <f>'[01_Entry.xlsx]Book'!I12</f>
        <v/>
      </c>
      <c r="N12" s="2">
        <f>IF($A12="","",MID($A12,6,2))</f>
        <v>0</v>
      </c>
      <c r="O12" s="2">
        <f>IF(OR($C12="",$C12&lt;&gt;'Inv'!$D$12),"",N(O$11)+1)</f>
        <v>0</v>
      </c>
    </row>
    <row r="13" spans="1:15">
      <c r="A13" s="2">
        <f>'[01_Entry.xlsx]Book'!A13</f>
        <v/>
      </c>
      <c r="B13" s="2">
        <f>'[01_Entry.xlsx]Book'!B13</f>
        <v/>
      </c>
      <c r="C13" s="2">
        <f>'[01_Entry.xlsx]Book'!D13</f>
        <v/>
      </c>
      <c r="D13" s="2">
        <f>'[01_Entry.xlsx]Book'!E13</f>
        <v/>
      </c>
      <c r="E13" s="2">
        <f>'[01_Entry.xlsx]Book'!O13</f>
        <v/>
      </c>
      <c r="F13" s="2">
        <f>'[01_Entry.xlsx]Book'!N13</f>
        <v/>
      </c>
      <c r="G13" s="3">
        <f>'[01_Entry.xlsx]Book'!L13</f>
        <v/>
      </c>
      <c r="H13" s="3">
        <f>'[01_Entry.xlsx]Book'!M13</f>
        <v/>
      </c>
      <c r="I13" s="3">
        <f>'[01_Entry.xlsx]Book'!K13</f>
        <v/>
      </c>
      <c r="J13" s="3">
        <f>'[01_Entry.xlsx]Book'!P13</f>
        <v/>
      </c>
      <c r="K13" s="3">
        <f>'[01_Entry.xlsx]Book'!F13</f>
        <v/>
      </c>
      <c r="L13" s="3">
        <f>'[01_Entry.xlsx]Book'!G13</f>
        <v/>
      </c>
      <c r="M13" s="3">
        <f>'[01_Entry.xlsx]Book'!I13</f>
        <v/>
      </c>
      <c r="N13" s="2">
        <f>IF($A13="","",MID($A13,6,2))</f>
        <v>0</v>
      </c>
      <c r="O13" s="2">
        <f>IF(OR($C13="",$C13&lt;&gt;'Inv'!$D$12),"",N(O$12)+1)</f>
        <v>0</v>
      </c>
    </row>
    <row r="14" spans="1:15">
      <c r="A14" s="2" t="str">
        <f>'[01_Entry.xlsx]Book'!A14</f>
        <v>1405/07/01</v>
      </c>
      <c r="B14" s="2" t="str">
        <f>'[01_Entry.xlsx]Book'!B14</f>
        <v>BS-002</v>
      </c>
      <c r="C14" s="2" t="str">
        <f>'[01_Entry.xlsx]Book'!D14</f>
        <v>C003</v>
      </c>
      <c r="D14" s="2">
        <f>'[01_Entry.xlsx]Book'!E14</f>
        <v/>
      </c>
      <c r="E14" s="2" t="str">
        <f>'[01_Entry.xlsx]Book'!O14</f>
        <v>باغدار</v>
      </c>
      <c r="F14" s="2" t="str">
        <f>'[01_Entry.xlsx]Book'!N14</f>
        <v>خرید مرکبات</v>
      </c>
      <c r="G14" s="3">
        <f>'[01_Entry.xlsx]Book'!L14</f>
        <v/>
      </c>
      <c r="H14" s="3">
        <f>'[01_Entry.xlsx]Book'!M14</f>
        <v>28777000.0</v>
      </c>
      <c r="I14" s="3">
        <f>'[01_Entry.xlsx]Book'!K14</f>
        <v>28777000.0</v>
      </c>
      <c r="J14" s="3">
        <f>'[01_Entry.xlsx]Book'!P14</f>
        <v/>
      </c>
      <c r="K14" s="3" t="str">
        <f>'[01_Entry.xlsx]Book'!F14</f>
        <v>پرتقال تامسون</v>
      </c>
      <c r="L14" s="3">
        <f>'[01_Entry.xlsx]Book'!G14</f>
        <v>53</v>
      </c>
      <c r="M14" s="3">
        <f>'[01_Entry.xlsx]Book'!I14</f>
        <v>822.1949999999999</v>
      </c>
      <c r="N14" s="2">
        <f>IF($A14="","",MID($A14,6,2))</f>
        <v>0</v>
      </c>
      <c r="O14" s="2">
        <f>IF(OR($C14="",$C14&lt;&gt;'Inv'!$D$12),"",N(O$13)+1)</f>
        <v>0</v>
      </c>
    </row>
    <row r="15" spans="1:15">
      <c r="A15" s="2" t="str">
        <f>'[01_Entry.xlsx]Book'!A15</f>
        <v>1405/07/01</v>
      </c>
      <c r="B15" s="2" t="str">
        <f>'[01_Entry.xlsx]Book'!B15</f>
        <v>BS-002</v>
      </c>
      <c r="C15" s="2" t="str">
        <f>'[01_Entry.xlsx]Book'!D15</f>
        <v>X004</v>
      </c>
      <c r="D15" s="2" t="str">
        <f>'[01_Entry.xlsx]Book'!E15</f>
        <v>مقابل: خرید مرکبات</v>
      </c>
      <c r="E15" s="2" t="str">
        <f>'[01_Entry.xlsx]Book'!O15</f>
        <v>سایر حساب</v>
      </c>
      <c r="F15" s="2" t="str">
        <f>'[01_Entry.xlsx]Book'!N15</f>
        <v>مقابل</v>
      </c>
      <c r="G15" s="3">
        <f>'[01_Entry.xlsx]Book'!L15</f>
        <v>28777000.0</v>
      </c>
      <c r="H15" s="3">
        <f>'[01_Entry.xlsx]Book'!M15</f>
        <v/>
      </c>
      <c r="I15" s="3">
        <f>'[01_Entry.xlsx]Book'!K15</f>
        <v>28777000.0</v>
      </c>
      <c r="J15" s="3">
        <f>'[01_Entry.xlsx]Book'!P15</f>
        <v/>
      </c>
      <c r="K15" s="3">
        <f>'[01_Entry.xlsx]Book'!F15</f>
        <v/>
      </c>
      <c r="L15" s="3">
        <f>'[01_Entry.xlsx]Book'!G15</f>
        <v/>
      </c>
      <c r="M15" s="3">
        <f>'[01_Entry.xlsx]Book'!I15</f>
        <v/>
      </c>
      <c r="N15" s="2">
        <f>IF($A15="","",MID($A15,6,2))</f>
        <v>0</v>
      </c>
      <c r="O15" s="2">
        <f>IF(OR($C15="",$C15&lt;&gt;'Inv'!$D$12),"",N(O$14)+1)</f>
        <v>0</v>
      </c>
    </row>
    <row r="16" spans="1:15">
      <c r="A16" s="2">
        <f>'[01_Entry.xlsx]Book'!A16</f>
        <v/>
      </c>
      <c r="B16" s="2">
        <f>'[01_Entry.xlsx]Book'!B16</f>
        <v/>
      </c>
      <c r="C16" s="2">
        <f>'[01_Entry.xlsx]Book'!D16</f>
        <v/>
      </c>
      <c r="D16" s="2">
        <f>'[01_Entry.xlsx]Book'!E16</f>
        <v/>
      </c>
      <c r="E16" s="2">
        <f>'[01_Entry.xlsx]Book'!O16</f>
        <v/>
      </c>
      <c r="F16" s="2">
        <f>'[01_Entry.xlsx]Book'!N16</f>
        <v/>
      </c>
      <c r="G16" s="3">
        <f>'[01_Entry.xlsx]Book'!L16</f>
        <v/>
      </c>
      <c r="H16" s="3">
        <f>'[01_Entry.xlsx]Book'!M16</f>
        <v/>
      </c>
      <c r="I16" s="3">
        <f>'[01_Entry.xlsx]Book'!K16</f>
        <v/>
      </c>
      <c r="J16" s="3">
        <f>'[01_Entry.xlsx]Book'!P16</f>
        <v/>
      </c>
      <c r="K16" s="3">
        <f>'[01_Entry.xlsx]Book'!F16</f>
        <v/>
      </c>
      <c r="L16" s="3">
        <f>'[01_Entry.xlsx]Book'!G16</f>
        <v/>
      </c>
      <c r="M16" s="3">
        <f>'[01_Entry.xlsx]Book'!I16</f>
        <v/>
      </c>
      <c r="N16" s="2">
        <f>IF($A16="","",MID($A16,6,2))</f>
        <v>0</v>
      </c>
      <c r="O16" s="2">
        <f>IF(OR($C16="",$C16&lt;&gt;'Inv'!$D$12),"",N(O$15)+1)</f>
        <v>0</v>
      </c>
    </row>
    <row r="17" spans="1:15">
      <c r="A17" s="2">
        <f>'[01_Entry.xlsx]Book'!A17</f>
        <v/>
      </c>
      <c r="B17" s="2">
        <f>'[01_Entry.xlsx]Book'!B17</f>
        <v/>
      </c>
      <c r="C17" s="2">
        <f>'[01_Entry.xlsx]Book'!D17</f>
        <v/>
      </c>
      <c r="D17" s="2">
        <f>'[01_Entry.xlsx]Book'!E17</f>
        <v/>
      </c>
      <c r="E17" s="2">
        <f>'[01_Entry.xlsx]Book'!O17</f>
        <v/>
      </c>
      <c r="F17" s="2">
        <f>'[01_Entry.xlsx]Book'!N17</f>
        <v/>
      </c>
      <c r="G17" s="3">
        <f>'[01_Entry.xlsx]Book'!L17</f>
        <v/>
      </c>
      <c r="H17" s="3">
        <f>'[01_Entry.xlsx]Book'!M17</f>
        <v/>
      </c>
      <c r="I17" s="3">
        <f>'[01_Entry.xlsx]Book'!K17</f>
        <v/>
      </c>
      <c r="J17" s="3">
        <f>'[01_Entry.xlsx]Book'!P17</f>
        <v/>
      </c>
      <c r="K17" s="3">
        <f>'[01_Entry.xlsx]Book'!F17</f>
        <v/>
      </c>
      <c r="L17" s="3">
        <f>'[01_Entry.xlsx]Book'!G17</f>
        <v/>
      </c>
      <c r="M17" s="3">
        <f>'[01_Entry.xlsx]Book'!I17</f>
        <v/>
      </c>
      <c r="N17" s="2">
        <f>IF($A17="","",MID($A17,6,2))</f>
        <v>0</v>
      </c>
      <c r="O17" s="2">
        <f>IF(OR($C17="",$C17&lt;&gt;'Inv'!$D$12),"",N(O$16)+1)</f>
        <v>0</v>
      </c>
    </row>
    <row r="18" spans="1:15">
      <c r="A18" s="2" t="str">
        <f>'[01_Entry.xlsx]Book'!A18</f>
        <v>1405/07/02</v>
      </c>
      <c r="B18" s="2" t="str">
        <f>'[01_Entry.xlsx]Book'!B18</f>
        <v>BS-003</v>
      </c>
      <c r="C18" s="2" t="str">
        <f>'[01_Entry.xlsx]Book'!D18</f>
        <v>C006</v>
      </c>
      <c r="D18" s="2" t="str">
        <f>'[01_Entry.xlsx]Book'!E18</f>
        <v>کرایه حمل ۵۰۰٬۰۰۰</v>
      </c>
      <c r="E18" s="2" t="str">
        <f>'[01_Entry.xlsx]Book'!O18</f>
        <v>باغدار</v>
      </c>
      <c r="F18" s="2" t="str">
        <f>'[01_Entry.xlsx]Book'!N18</f>
        <v>خرید مرکبات</v>
      </c>
      <c r="G18" s="3">
        <f>'[01_Entry.xlsx]Book'!L18</f>
        <v/>
      </c>
      <c r="H18" s="3">
        <f>'[01_Entry.xlsx]Book'!M18</f>
        <v>37848000.0</v>
      </c>
      <c r="I18" s="3">
        <f>'[01_Entry.xlsx]Book'!K18</f>
        <v>37848000.0</v>
      </c>
      <c r="J18" s="3">
        <f>'[01_Entry.xlsx]Book'!P18</f>
        <v/>
      </c>
      <c r="K18" s="3" t="str">
        <f>'[01_Entry.xlsx]Book'!F18</f>
        <v>نارنگی اونشو</v>
      </c>
      <c r="L18" s="3">
        <f>'[01_Entry.xlsx]Book'!G18</f>
        <v>85</v>
      </c>
      <c r="M18" s="3">
        <f>'[01_Entry.xlsx]Book'!I18</f>
        <v>1244.925</v>
      </c>
      <c r="N18" s="2">
        <f>IF($A18="","",MID($A18,6,2))</f>
        <v>0</v>
      </c>
      <c r="O18" s="2">
        <f>IF(OR($C18="",$C18&lt;&gt;'Inv'!$D$12),"",N(O$17)+1)</f>
        <v>0</v>
      </c>
    </row>
    <row r="19" spans="1:15">
      <c r="A19" s="2" t="str">
        <f>'[01_Entry.xlsx]Book'!A19</f>
        <v>1405/07/02</v>
      </c>
      <c r="B19" s="2" t="str">
        <f>'[01_Entry.xlsx]Book'!B19</f>
        <v>BS-003</v>
      </c>
      <c r="C19" s="2" t="str">
        <f>'[01_Entry.xlsx]Book'!D19</f>
        <v>X004</v>
      </c>
      <c r="D19" s="2" t="str">
        <f>'[01_Entry.xlsx]Book'!E19</f>
        <v>مقابل: خرید مرکبات</v>
      </c>
      <c r="E19" s="2" t="str">
        <f>'[01_Entry.xlsx]Book'!O19</f>
        <v>سایر حساب</v>
      </c>
      <c r="F19" s="2" t="str">
        <f>'[01_Entry.xlsx]Book'!N19</f>
        <v>مقابل</v>
      </c>
      <c r="G19" s="3">
        <f>'[01_Entry.xlsx]Book'!L19</f>
        <v>37848000.0</v>
      </c>
      <c r="H19" s="3">
        <f>'[01_Entry.xlsx]Book'!M19</f>
        <v/>
      </c>
      <c r="I19" s="3">
        <f>'[01_Entry.xlsx]Book'!K19</f>
        <v>37848000.0</v>
      </c>
      <c r="J19" s="3">
        <f>'[01_Entry.xlsx]Book'!P19</f>
        <v/>
      </c>
      <c r="K19" s="3">
        <f>'[01_Entry.xlsx]Book'!F19</f>
        <v/>
      </c>
      <c r="L19" s="3">
        <f>'[01_Entry.xlsx]Book'!G19</f>
        <v/>
      </c>
      <c r="M19" s="3">
        <f>'[01_Entry.xlsx]Book'!I19</f>
        <v/>
      </c>
      <c r="N19" s="2">
        <f>IF($A19="","",MID($A19,6,2))</f>
        <v>0</v>
      </c>
      <c r="O19" s="2">
        <f>IF(OR($C19="",$C19&lt;&gt;'Inv'!$D$12),"",N(O$18)+1)</f>
        <v>0</v>
      </c>
    </row>
    <row r="20" spans="1:15">
      <c r="A20" s="2">
        <f>'[01_Entry.xlsx]Book'!A20</f>
        <v/>
      </c>
      <c r="B20" s="2">
        <f>'[01_Entry.xlsx]Book'!B20</f>
        <v/>
      </c>
      <c r="C20" s="2">
        <f>'[01_Entry.xlsx]Book'!D20</f>
        <v/>
      </c>
      <c r="D20" s="2">
        <f>'[01_Entry.xlsx]Book'!E20</f>
        <v/>
      </c>
      <c r="E20" s="2">
        <f>'[01_Entry.xlsx]Book'!O20</f>
        <v/>
      </c>
      <c r="F20" s="2">
        <f>'[01_Entry.xlsx]Book'!N20</f>
        <v/>
      </c>
      <c r="G20" s="3">
        <f>'[01_Entry.xlsx]Book'!L20</f>
        <v/>
      </c>
      <c r="H20" s="3">
        <f>'[01_Entry.xlsx]Book'!M20</f>
        <v/>
      </c>
      <c r="I20" s="3">
        <f>'[01_Entry.xlsx]Book'!K20</f>
        <v/>
      </c>
      <c r="J20" s="3">
        <f>'[01_Entry.xlsx]Book'!P20</f>
        <v/>
      </c>
      <c r="K20" s="3">
        <f>'[01_Entry.xlsx]Book'!F20</f>
        <v/>
      </c>
      <c r="L20" s="3">
        <f>'[01_Entry.xlsx]Book'!G20</f>
        <v/>
      </c>
      <c r="M20" s="3">
        <f>'[01_Entry.xlsx]Book'!I20</f>
        <v/>
      </c>
      <c r="N20" s="2">
        <f>IF($A20="","",MID($A20,6,2))</f>
        <v>0</v>
      </c>
      <c r="O20" s="2">
        <f>IF(OR($C20="",$C20&lt;&gt;'Inv'!$D$12),"",N(O$19)+1)</f>
        <v>0</v>
      </c>
    </row>
    <row r="21" spans="1:15">
      <c r="A21" s="2">
        <f>'[01_Entry.xlsx]Book'!A21</f>
        <v/>
      </c>
      <c r="B21" s="2">
        <f>'[01_Entry.xlsx]Book'!B21</f>
        <v/>
      </c>
      <c r="C21" s="2">
        <f>'[01_Entry.xlsx]Book'!D21</f>
        <v/>
      </c>
      <c r="D21" s="2">
        <f>'[01_Entry.xlsx]Book'!E21</f>
        <v/>
      </c>
      <c r="E21" s="2">
        <f>'[01_Entry.xlsx]Book'!O21</f>
        <v/>
      </c>
      <c r="F21" s="2">
        <f>'[01_Entry.xlsx]Book'!N21</f>
        <v/>
      </c>
      <c r="G21" s="3">
        <f>'[01_Entry.xlsx]Book'!L21</f>
        <v/>
      </c>
      <c r="H21" s="3">
        <f>'[01_Entry.xlsx]Book'!M21</f>
        <v/>
      </c>
      <c r="I21" s="3">
        <f>'[01_Entry.xlsx]Book'!K21</f>
        <v/>
      </c>
      <c r="J21" s="3">
        <f>'[01_Entry.xlsx]Book'!P21</f>
        <v/>
      </c>
      <c r="K21" s="3">
        <f>'[01_Entry.xlsx]Book'!F21</f>
        <v/>
      </c>
      <c r="L21" s="3">
        <f>'[01_Entry.xlsx]Book'!G21</f>
        <v/>
      </c>
      <c r="M21" s="3">
        <f>'[01_Entry.xlsx]Book'!I21</f>
        <v/>
      </c>
      <c r="N21" s="2">
        <f>IF($A21="","",MID($A21,6,2))</f>
        <v>0</v>
      </c>
      <c r="O21" s="2">
        <f>IF(OR($C21="",$C21&lt;&gt;'Inv'!$D$12),"",N(O$20)+1)</f>
        <v>0</v>
      </c>
    </row>
    <row r="22" spans="1:15">
      <c r="A22" s="2" t="str">
        <f>'[01_Entry.xlsx]Book'!A22</f>
        <v>1405/07/02</v>
      </c>
      <c r="B22" s="2" t="str">
        <f>'[01_Entry.xlsx]Book'!B22</f>
        <v>BS-004</v>
      </c>
      <c r="C22" s="2" t="str">
        <f>'[01_Entry.xlsx]Book'!D22</f>
        <v>C002</v>
      </c>
      <c r="D22" s="2">
        <f>'[01_Entry.xlsx]Book'!E22</f>
        <v/>
      </c>
      <c r="E22" s="2" t="str">
        <f>'[01_Entry.xlsx]Book'!O22</f>
        <v>باغدار</v>
      </c>
      <c r="F22" s="2" t="str">
        <f>'[01_Entry.xlsx]Book'!N22</f>
        <v>خرید مرکبات</v>
      </c>
      <c r="G22" s="3">
        <f>'[01_Entry.xlsx]Book'!L22</f>
        <v/>
      </c>
      <c r="H22" s="3">
        <f>'[01_Entry.xlsx]Book'!M22</f>
        <v>20187000.0</v>
      </c>
      <c r="I22" s="3">
        <f>'[01_Entry.xlsx]Book'!K22</f>
        <v>20187000.0</v>
      </c>
      <c r="J22" s="3">
        <f>'[01_Entry.xlsx]Book'!P22</f>
        <v/>
      </c>
      <c r="K22" s="3" t="str">
        <f>'[01_Entry.xlsx]Book'!F22</f>
        <v>پرتقال خونی</v>
      </c>
      <c r="L22" s="3">
        <f>'[01_Entry.xlsx]Book'!G22</f>
        <v>36</v>
      </c>
      <c r="M22" s="3">
        <f>'[01_Entry.xlsx]Book'!I22</f>
        <v>531.234</v>
      </c>
      <c r="N22" s="2">
        <f>IF($A22="","",MID($A22,6,2))</f>
        <v>0</v>
      </c>
      <c r="O22" s="2">
        <f>IF(OR($C22="",$C22&lt;&gt;'Inv'!$D$12),"",N(O$21)+1)</f>
        <v>0</v>
      </c>
    </row>
    <row r="23" spans="1:15">
      <c r="A23" s="2" t="str">
        <f>'[01_Entry.xlsx]Book'!A23</f>
        <v>1405/07/02</v>
      </c>
      <c r="B23" s="2" t="str">
        <f>'[01_Entry.xlsx]Book'!B23</f>
        <v>BS-004</v>
      </c>
      <c r="C23" s="2" t="str">
        <f>'[01_Entry.xlsx]Book'!D23</f>
        <v>X004</v>
      </c>
      <c r="D23" s="2" t="str">
        <f>'[01_Entry.xlsx]Book'!E23</f>
        <v>مقابل: خرید مرکبات</v>
      </c>
      <c r="E23" s="2" t="str">
        <f>'[01_Entry.xlsx]Book'!O23</f>
        <v>سایر حساب</v>
      </c>
      <c r="F23" s="2" t="str">
        <f>'[01_Entry.xlsx]Book'!N23</f>
        <v>مقابل</v>
      </c>
      <c r="G23" s="3">
        <f>'[01_Entry.xlsx]Book'!L23</f>
        <v>20187000.0</v>
      </c>
      <c r="H23" s="3">
        <f>'[01_Entry.xlsx]Book'!M23</f>
        <v/>
      </c>
      <c r="I23" s="3">
        <f>'[01_Entry.xlsx]Book'!K23</f>
        <v>20187000.0</v>
      </c>
      <c r="J23" s="3">
        <f>'[01_Entry.xlsx]Book'!P23</f>
        <v/>
      </c>
      <c r="K23" s="3">
        <f>'[01_Entry.xlsx]Book'!F23</f>
        <v/>
      </c>
      <c r="L23" s="3">
        <f>'[01_Entry.xlsx]Book'!G23</f>
        <v/>
      </c>
      <c r="M23" s="3">
        <f>'[01_Entry.xlsx]Book'!I23</f>
        <v/>
      </c>
      <c r="N23" s="2">
        <f>IF($A23="","",MID($A23,6,2))</f>
        <v>0</v>
      </c>
      <c r="O23" s="2">
        <f>IF(OR($C23="",$C23&lt;&gt;'Inv'!$D$12),"",N(O$22)+1)</f>
        <v>0</v>
      </c>
    </row>
    <row r="24" spans="1:15">
      <c r="A24" s="2">
        <f>'[01_Entry.xlsx]Book'!A24</f>
        <v/>
      </c>
      <c r="B24" s="2">
        <f>'[01_Entry.xlsx]Book'!B24</f>
        <v/>
      </c>
      <c r="C24" s="2">
        <f>'[01_Entry.xlsx]Book'!D24</f>
        <v/>
      </c>
      <c r="D24" s="2">
        <f>'[01_Entry.xlsx]Book'!E24</f>
        <v/>
      </c>
      <c r="E24" s="2">
        <f>'[01_Entry.xlsx]Book'!O24</f>
        <v/>
      </c>
      <c r="F24" s="2">
        <f>'[01_Entry.xlsx]Book'!N24</f>
        <v/>
      </c>
      <c r="G24" s="3">
        <f>'[01_Entry.xlsx]Book'!L24</f>
        <v/>
      </c>
      <c r="H24" s="3">
        <f>'[01_Entry.xlsx]Book'!M24</f>
        <v/>
      </c>
      <c r="I24" s="3">
        <f>'[01_Entry.xlsx]Book'!K24</f>
        <v/>
      </c>
      <c r="J24" s="3">
        <f>'[01_Entry.xlsx]Book'!P24</f>
        <v/>
      </c>
      <c r="K24" s="3">
        <f>'[01_Entry.xlsx]Book'!F24</f>
        <v/>
      </c>
      <c r="L24" s="3">
        <f>'[01_Entry.xlsx]Book'!G24</f>
        <v/>
      </c>
      <c r="M24" s="3">
        <f>'[01_Entry.xlsx]Book'!I24</f>
        <v/>
      </c>
      <c r="N24" s="2">
        <f>IF($A24="","",MID($A24,6,2))</f>
        <v>0</v>
      </c>
      <c r="O24" s="2">
        <f>IF(OR($C24="",$C24&lt;&gt;'Inv'!$D$12),"",N(O$23)+1)</f>
        <v>0</v>
      </c>
    </row>
    <row r="25" spans="1:15">
      <c r="A25" s="2">
        <f>'[01_Entry.xlsx]Book'!A25</f>
        <v/>
      </c>
      <c r="B25" s="2">
        <f>'[01_Entry.xlsx]Book'!B25</f>
        <v/>
      </c>
      <c r="C25" s="2">
        <f>'[01_Entry.xlsx]Book'!D25</f>
        <v/>
      </c>
      <c r="D25" s="2">
        <f>'[01_Entry.xlsx]Book'!E25</f>
        <v/>
      </c>
      <c r="E25" s="2">
        <f>'[01_Entry.xlsx]Book'!O25</f>
        <v/>
      </c>
      <c r="F25" s="2">
        <f>'[01_Entry.xlsx]Book'!N25</f>
        <v/>
      </c>
      <c r="G25" s="3">
        <f>'[01_Entry.xlsx]Book'!L25</f>
        <v/>
      </c>
      <c r="H25" s="3">
        <f>'[01_Entry.xlsx]Book'!M25</f>
        <v/>
      </c>
      <c r="I25" s="3">
        <f>'[01_Entry.xlsx]Book'!K25</f>
        <v/>
      </c>
      <c r="J25" s="3">
        <f>'[01_Entry.xlsx]Book'!P25</f>
        <v/>
      </c>
      <c r="K25" s="3">
        <f>'[01_Entry.xlsx]Book'!F25</f>
        <v/>
      </c>
      <c r="L25" s="3">
        <f>'[01_Entry.xlsx]Book'!G25</f>
        <v/>
      </c>
      <c r="M25" s="3">
        <f>'[01_Entry.xlsx]Book'!I25</f>
        <v/>
      </c>
      <c r="N25" s="2">
        <f>IF($A25="","",MID($A25,6,2))</f>
        <v>0</v>
      </c>
      <c r="O25" s="2">
        <f>IF(OR($C25="",$C25&lt;&gt;'Inv'!$D$12),"",N(O$24)+1)</f>
        <v>0</v>
      </c>
    </row>
    <row r="26" spans="1:15">
      <c r="A26" s="2" t="str">
        <f>'[01_Entry.xlsx]Book'!A26</f>
        <v>1405/07/03</v>
      </c>
      <c r="B26" s="2" t="str">
        <f>'[01_Entry.xlsx]Book'!B26</f>
        <v>BS-005</v>
      </c>
      <c r="C26" s="2" t="str">
        <f>'[01_Entry.xlsx]Book'!D26</f>
        <v>C008</v>
      </c>
      <c r="D26" s="2">
        <f>'[01_Entry.xlsx]Book'!E26</f>
        <v/>
      </c>
      <c r="E26" s="2" t="str">
        <f>'[01_Entry.xlsx]Book'!O26</f>
        <v>باغدار</v>
      </c>
      <c r="F26" s="2" t="str">
        <f>'[01_Entry.xlsx]Book'!N26</f>
        <v>خرید مرکبات</v>
      </c>
      <c r="G26" s="3">
        <f>'[01_Entry.xlsx]Book'!L26</f>
        <v/>
      </c>
      <c r="H26" s="3">
        <f>'[01_Entry.xlsx]Book'!M26</f>
        <v>48110000.0</v>
      </c>
      <c r="I26" s="3">
        <f>'[01_Entry.xlsx]Book'!K26</f>
        <v>48110000.0</v>
      </c>
      <c r="J26" s="3">
        <f>'[01_Entry.xlsx]Book'!P26</f>
        <v/>
      </c>
      <c r="K26" s="3" t="str">
        <f>'[01_Entry.xlsx]Book'!F26</f>
        <v>نارنگی ژاپنی</v>
      </c>
      <c r="L26" s="3">
        <f>'[01_Entry.xlsx]Book'!G26</f>
        <v>108</v>
      </c>
      <c r="M26" s="3">
        <f>'[01_Entry.xlsx]Book'!I26</f>
        <v>1551.924</v>
      </c>
      <c r="N26" s="2">
        <f>IF($A26="","",MID($A26,6,2))</f>
        <v>0</v>
      </c>
      <c r="O26" s="2">
        <f>IF(OR($C26="",$C26&lt;&gt;'Inv'!$D$12),"",N(O$25)+1)</f>
        <v>0</v>
      </c>
    </row>
    <row r="27" spans="1:15">
      <c r="A27" s="2" t="str">
        <f>'[01_Entry.xlsx]Book'!A27</f>
        <v>1405/07/03</v>
      </c>
      <c r="B27" s="2" t="str">
        <f>'[01_Entry.xlsx]Book'!B27</f>
        <v>BS-005</v>
      </c>
      <c r="C27" s="2" t="str">
        <f>'[01_Entry.xlsx]Book'!D27</f>
        <v>X004</v>
      </c>
      <c r="D27" s="2" t="str">
        <f>'[01_Entry.xlsx]Book'!E27</f>
        <v>مقابل: خرید مرکبات</v>
      </c>
      <c r="E27" s="2" t="str">
        <f>'[01_Entry.xlsx]Book'!O27</f>
        <v>سایر حساب</v>
      </c>
      <c r="F27" s="2" t="str">
        <f>'[01_Entry.xlsx]Book'!N27</f>
        <v>مقابل</v>
      </c>
      <c r="G27" s="3">
        <f>'[01_Entry.xlsx]Book'!L27</f>
        <v>48110000.0</v>
      </c>
      <c r="H27" s="3">
        <f>'[01_Entry.xlsx]Book'!M27</f>
        <v/>
      </c>
      <c r="I27" s="3">
        <f>'[01_Entry.xlsx]Book'!K27</f>
        <v>48110000.0</v>
      </c>
      <c r="J27" s="3">
        <f>'[01_Entry.xlsx]Book'!P27</f>
        <v/>
      </c>
      <c r="K27" s="3">
        <f>'[01_Entry.xlsx]Book'!F27</f>
        <v/>
      </c>
      <c r="L27" s="3">
        <f>'[01_Entry.xlsx]Book'!G27</f>
        <v/>
      </c>
      <c r="M27" s="3">
        <f>'[01_Entry.xlsx]Book'!I27</f>
        <v/>
      </c>
      <c r="N27" s="2">
        <f>IF($A27="","",MID($A27,6,2))</f>
        <v>0</v>
      </c>
      <c r="O27" s="2">
        <f>IF(OR($C27="",$C27&lt;&gt;'Inv'!$D$12),"",N(O$26)+1)</f>
        <v>0</v>
      </c>
    </row>
    <row r="28" spans="1:15">
      <c r="A28" s="2">
        <f>'[01_Entry.xlsx]Book'!A28</f>
        <v/>
      </c>
      <c r="B28" s="2">
        <f>'[01_Entry.xlsx]Book'!B28</f>
        <v/>
      </c>
      <c r="C28" s="2">
        <f>'[01_Entry.xlsx]Book'!D28</f>
        <v/>
      </c>
      <c r="D28" s="2">
        <f>'[01_Entry.xlsx]Book'!E28</f>
        <v/>
      </c>
      <c r="E28" s="2">
        <f>'[01_Entry.xlsx]Book'!O28</f>
        <v/>
      </c>
      <c r="F28" s="2">
        <f>'[01_Entry.xlsx]Book'!N28</f>
        <v/>
      </c>
      <c r="G28" s="3">
        <f>'[01_Entry.xlsx]Book'!L28</f>
        <v/>
      </c>
      <c r="H28" s="3">
        <f>'[01_Entry.xlsx]Book'!M28</f>
        <v/>
      </c>
      <c r="I28" s="3">
        <f>'[01_Entry.xlsx]Book'!K28</f>
        <v/>
      </c>
      <c r="J28" s="3">
        <f>'[01_Entry.xlsx]Book'!P28</f>
        <v/>
      </c>
      <c r="K28" s="3">
        <f>'[01_Entry.xlsx]Book'!F28</f>
        <v/>
      </c>
      <c r="L28" s="3">
        <f>'[01_Entry.xlsx]Book'!G28</f>
        <v/>
      </c>
      <c r="M28" s="3">
        <f>'[01_Entry.xlsx]Book'!I28</f>
        <v/>
      </c>
      <c r="N28" s="2">
        <f>IF($A28="","",MID($A28,6,2))</f>
        <v>0</v>
      </c>
      <c r="O28" s="2">
        <f>IF(OR($C28="",$C28&lt;&gt;'Inv'!$D$12),"",N(O$27)+1)</f>
        <v>0</v>
      </c>
    </row>
    <row r="29" spans="1:15">
      <c r="A29" s="2">
        <f>'[01_Entry.xlsx]Book'!A29</f>
        <v/>
      </c>
      <c r="B29" s="2">
        <f>'[01_Entry.xlsx]Book'!B29</f>
        <v/>
      </c>
      <c r="C29" s="2">
        <f>'[01_Entry.xlsx]Book'!D29</f>
        <v/>
      </c>
      <c r="D29" s="2">
        <f>'[01_Entry.xlsx]Book'!E29</f>
        <v/>
      </c>
      <c r="E29" s="2">
        <f>'[01_Entry.xlsx]Book'!O29</f>
        <v/>
      </c>
      <c r="F29" s="2">
        <f>'[01_Entry.xlsx]Book'!N29</f>
        <v/>
      </c>
      <c r="G29" s="3">
        <f>'[01_Entry.xlsx]Book'!L29</f>
        <v/>
      </c>
      <c r="H29" s="3">
        <f>'[01_Entry.xlsx]Book'!M29</f>
        <v/>
      </c>
      <c r="I29" s="3">
        <f>'[01_Entry.xlsx]Book'!K29</f>
        <v/>
      </c>
      <c r="J29" s="3">
        <f>'[01_Entry.xlsx]Book'!P29</f>
        <v/>
      </c>
      <c r="K29" s="3">
        <f>'[01_Entry.xlsx]Book'!F29</f>
        <v/>
      </c>
      <c r="L29" s="3">
        <f>'[01_Entry.xlsx]Book'!G29</f>
        <v/>
      </c>
      <c r="M29" s="3">
        <f>'[01_Entry.xlsx]Book'!I29</f>
        <v/>
      </c>
      <c r="N29" s="2">
        <f>IF($A29="","",MID($A29,6,2))</f>
        <v>0</v>
      </c>
      <c r="O29" s="2">
        <f>IF(OR($C29="",$C29&lt;&gt;'Inv'!$D$12),"",N(O$28)+1)</f>
        <v>0</v>
      </c>
    </row>
    <row r="30" spans="1:15">
      <c r="A30" s="2" t="str">
        <f>'[01_Entry.xlsx]Book'!A30</f>
        <v>1405/07/03</v>
      </c>
      <c r="B30" s="2" t="str">
        <f>'[01_Entry.xlsx]Book'!B30</f>
        <v>BS-006</v>
      </c>
      <c r="C30" s="2" t="str">
        <f>'[01_Entry.xlsx]Book'!D30</f>
        <v>SL001</v>
      </c>
      <c r="D30" s="2" t="str">
        <f>'[01_Entry.xlsx]Book'!E30</f>
        <v>هزینه باسکول پوز</v>
      </c>
      <c r="E30" s="2" t="str">
        <f>'[01_Entry.xlsx]Book'!O30</f>
        <v>بارفروش</v>
      </c>
      <c r="F30" s="2" t="str">
        <f>'[01_Entry.xlsx]Book'!N30</f>
        <v>فروش بار (بارفروش)</v>
      </c>
      <c r="G30" s="3">
        <f>'[01_Entry.xlsx]Book'!L30</f>
        <v>145000000.0</v>
      </c>
      <c r="H30" s="3">
        <f>'[01_Entry.xlsx]Book'!M30</f>
        <v/>
      </c>
      <c r="I30" s="3">
        <f>'[01_Entry.xlsx]Book'!K30</f>
        <v>145000000.0</v>
      </c>
      <c r="J30" s="3">
        <f>'[01_Entry.xlsx]Book'!P30</f>
        <v/>
      </c>
      <c r="K30" s="3" t="str">
        <f>'[01_Entry.xlsx]Book'!F30</f>
        <v>پرتقال تامسون</v>
      </c>
      <c r="L30" s="3">
        <f>'[01_Entry.xlsx]Book'!G30</f>
        <v>0</v>
      </c>
      <c r="M30" s="3">
        <f>'[01_Entry.xlsx]Book'!I30</f>
        <v>2500.0</v>
      </c>
      <c r="N30" s="2">
        <f>IF($A30="","",MID($A30,6,2))</f>
        <v>0</v>
      </c>
      <c r="O30" s="2">
        <f>IF(OR($C30="",$C30&lt;&gt;'Inv'!$D$12),"",N(O$29)+1)</f>
        <v>0</v>
      </c>
    </row>
    <row r="31" spans="1:15">
      <c r="A31" s="2" t="str">
        <f>'[01_Entry.xlsx]Book'!A31</f>
        <v>1405/07/03</v>
      </c>
      <c r="B31" s="2" t="str">
        <f>'[01_Entry.xlsx]Book'!B31</f>
        <v>BS-006</v>
      </c>
      <c r="C31" s="2" t="str">
        <f>'[01_Entry.xlsx]Book'!D31</f>
        <v>X006</v>
      </c>
      <c r="D31" s="2" t="str">
        <f>'[01_Entry.xlsx]Book'!E31</f>
        <v>مقابل: فروش بار (بارفروش)</v>
      </c>
      <c r="E31" s="2" t="str">
        <f>'[01_Entry.xlsx]Book'!O31</f>
        <v>سایر حساب</v>
      </c>
      <c r="F31" s="2" t="str">
        <f>'[01_Entry.xlsx]Book'!N31</f>
        <v>مقابل</v>
      </c>
      <c r="G31" s="3">
        <f>'[01_Entry.xlsx]Book'!L31</f>
        <v/>
      </c>
      <c r="H31" s="3">
        <f>'[01_Entry.xlsx]Book'!M31</f>
        <v>145000000.0</v>
      </c>
      <c r="I31" s="3">
        <f>'[01_Entry.xlsx]Book'!K31</f>
        <v>145000000.0</v>
      </c>
      <c r="J31" s="3">
        <f>'[01_Entry.xlsx]Book'!P31</f>
        <v/>
      </c>
      <c r="K31" s="3">
        <f>'[01_Entry.xlsx]Book'!F31</f>
        <v/>
      </c>
      <c r="L31" s="3">
        <f>'[01_Entry.xlsx]Book'!G31</f>
        <v/>
      </c>
      <c r="M31" s="3">
        <f>'[01_Entry.xlsx]Book'!I31</f>
        <v/>
      </c>
      <c r="N31" s="2">
        <f>IF($A31="","",MID($A31,6,2))</f>
        <v>0</v>
      </c>
      <c r="O31" s="2">
        <f>IF(OR($C31="",$C31&lt;&gt;'Inv'!$D$12),"",N(O$30)+1)</f>
        <v>0</v>
      </c>
    </row>
    <row r="32" spans="1:15">
      <c r="A32" s="2" t="str">
        <f>'[01_Entry.xlsx]Book'!A32</f>
        <v>1405/07/03</v>
      </c>
      <c r="B32" s="2" t="str">
        <f>'[01_Entry.xlsx]Book'!B32</f>
        <v>BS-006</v>
      </c>
      <c r="C32" s="2" t="str">
        <f>'[01_Entry.xlsx]Book'!D32</f>
        <v>BANK02</v>
      </c>
      <c r="D32" s="2" t="str">
        <f>'[01_Entry.xlsx]Book'!E32</f>
        <v>پوز باسکول — فروش بار (بارفروش)</v>
      </c>
      <c r="E32" s="2">
        <f>'[01_Entry.xlsx]Book'!O32</f>
        <v/>
      </c>
      <c r="F32" s="2" t="str">
        <f>'[01_Entry.xlsx]Book'!N32</f>
        <v>پوز</v>
      </c>
      <c r="G32" s="3">
        <f>'[01_Entry.xlsx]Book'!L32</f>
        <v>120000</v>
      </c>
      <c r="H32" s="3">
        <f>'[01_Entry.xlsx]Book'!M32</f>
        <v/>
      </c>
      <c r="I32" s="3">
        <f>'[01_Entry.xlsx]Book'!K32</f>
        <v>120000.0</v>
      </c>
      <c r="J32" s="3">
        <f>'[01_Entry.xlsx]Book'!P32</f>
        <v/>
      </c>
      <c r="K32" s="3">
        <f>'[01_Entry.xlsx]Book'!F32</f>
        <v/>
      </c>
      <c r="L32" s="3">
        <f>'[01_Entry.xlsx]Book'!G32</f>
        <v/>
      </c>
      <c r="M32" s="3">
        <f>'[01_Entry.xlsx]Book'!I32</f>
        <v/>
      </c>
      <c r="N32" s="2">
        <f>IF($A32="","",MID($A32,6,2))</f>
        <v>0</v>
      </c>
      <c r="O32" s="2">
        <f>IF(OR($C32="",$C32&lt;&gt;'Inv'!$D$12),"",N(O$31)+1)</f>
        <v>0</v>
      </c>
    </row>
    <row r="33" spans="1:15">
      <c r="A33" s="2" t="str">
        <f>'[01_Entry.xlsx]Book'!A33</f>
        <v>1405/07/03</v>
      </c>
      <c r="B33" s="2" t="str">
        <f>'[01_Entry.xlsx]Book'!B33</f>
        <v>BS-006</v>
      </c>
      <c r="C33" s="2" t="str">
        <f>'[01_Entry.xlsx]Book'!D33</f>
        <v>X002</v>
      </c>
      <c r="D33" s="2" t="str">
        <f>'[01_Entry.xlsx]Book'!E33</f>
        <v>مقابل پوز — فروش بار (بارفروش)</v>
      </c>
      <c r="E33" s="2" t="str">
        <f>'[01_Entry.xlsx]Book'!O33</f>
        <v>سایر حساب</v>
      </c>
      <c r="F33" s="2" t="str">
        <f>'[01_Entry.xlsx]Book'!N33</f>
        <v>مقابل پوز</v>
      </c>
      <c r="G33" s="3">
        <f>'[01_Entry.xlsx]Book'!L33</f>
        <v/>
      </c>
      <c r="H33" s="3">
        <f>'[01_Entry.xlsx]Book'!M33</f>
        <v>120000</v>
      </c>
      <c r="I33" s="3">
        <f>'[01_Entry.xlsx]Book'!K33</f>
        <v>120000.0</v>
      </c>
      <c r="J33" s="3">
        <f>'[01_Entry.xlsx]Book'!P33</f>
        <v/>
      </c>
      <c r="K33" s="3">
        <f>'[01_Entry.xlsx]Book'!F33</f>
        <v/>
      </c>
      <c r="L33" s="3">
        <f>'[01_Entry.xlsx]Book'!G33</f>
        <v/>
      </c>
      <c r="M33" s="3">
        <f>'[01_Entry.xlsx]Book'!I33</f>
        <v/>
      </c>
      <c r="N33" s="2">
        <f>IF($A33="","",MID($A33,6,2))</f>
        <v>0</v>
      </c>
      <c r="O33" s="2">
        <f>IF(OR($C33="",$C33&lt;&gt;'Inv'!$D$12),"",N(O$32)+1)</f>
        <v>0</v>
      </c>
    </row>
    <row r="34" spans="1:15">
      <c r="A34" s="2" t="str">
        <f>'[01_Entry.xlsx]Book'!A34</f>
        <v>1405/07/04</v>
      </c>
      <c r="B34" s="2" t="str">
        <f>'[01_Entry.xlsx]Book'!B34</f>
        <v>BS-007</v>
      </c>
      <c r="C34" s="2" t="str">
        <f>'[01_Entry.xlsx]Book'!D34</f>
        <v>C004</v>
      </c>
      <c r="D34" s="2">
        <f>'[01_Entry.xlsx]Book'!E34</f>
        <v/>
      </c>
      <c r="E34" s="2" t="str">
        <f>'[01_Entry.xlsx]Book'!O34</f>
        <v>باغدار</v>
      </c>
      <c r="F34" s="2" t="str">
        <f>'[01_Entry.xlsx]Book'!N34</f>
        <v>خرید مرکبات</v>
      </c>
      <c r="G34" s="3">
        <f>'[01_Entry.xlsx]Book'!L34</f>
        <v/>
      </c>
      <c r="H34" s="3">
        <f>'[01_Entry.xlsx]Book'!M34</f>
        <v>19047000.0</v>
      </c>
      <c r="I34" s="3">
        <f>'[01_Entry.xlsx]Book'!K34</f>
        <v>19047000.0</v>
      </c>
      <c r="J34" s="3">
        <f>'[01_Entry.xlsx]Book'!P34</f>
        <v/>
      </c>
      <c r="K34" s="3" t="str">
        <f>'[01_Entry.xlsx]Book'!F34</f>
        <v>نارنگی پیچ</v>
      </c>
      <c r="L34" s="3">
        <f>'[01_Entry.xlsx]Book'!G34</f>
        <v>38</v>
      </c>
      <c r="M34" s="3">
        <f>'[01_Entry.xlsx]Book'!I34</f>
        <v>577.17</v>
      </c>
      <c r="N34" s="2">
        <f>IF($A34="","",MID($A34,6,2))</f>
        <v>0</v>
      </c>
      <c r="O34" s="2">
        <f>IF(OR($C34="",$C34&lt;&gt;'Inv'!$D$12),"",N(O$33)+1)</f>
        <v>0</v>
      </c>
    </row>
    <row r="35" spans="1:15">
      <c r="A35" s="2" t="str">
        <f>'[01_Entry.xlsx]Book'!A35</f>
        <v>1405/07/04</v>
      </c>
      <c r="B35" s="2" t="str">
        <f>'[01_Entry.xlsx]Book'!B35</f>
        <v>BS-007</v>
      </c>
      <c r="C35" s="2" t="str">
        <f>'[01_Entry.xlsx]Book'!D35</f>
        <v>X004</v>
      </c>
      <c r="D35" s="2" t="str">
        <f>'[01_Entry.xlsx]Book'!E35</f>
        <v>مقابل: خرید مرکبات</v>
      </c>
      <c r="E35" s="2" t="str">
        <f>'[01_Entry.xlsx]Book'!O35</f>
        <v>سایر حساب</v>
      </c>
      <c r="F35" s="2" t="str">
        <f>'[01_Entry.xlsx]Book'!N35</f>
        <v>مقابل</v>
      </c>
      <c r="G35" s="3">
        <f>'[01_Entry.xlsx]Book'!L35</f>
        <v>19047000.0</v>
      </c>
      <c r="H35" s="3">
        <f>'[01_Entry.xlsx]Book'!M35</f>
        <v/>
      </c>
      <c r="I35" s="3">
        <f>'[01_Entry.xlsx]Book'!K35</f>
        <v>19047000.0</v>
      </c>
      <c r="J35" s="3">
        <f>'[01_Entry.xlsx]Book'!P35</f>
        <v/>
      </c>
      <c r="K35" s="3">
        <f>'[01_Entry.xlsx]Book'!F35</f>
        <v/>
      </c>
      <c r="L35" s="3">
        <f>'[01_Entry.xlsx]Book'!G35</f>
        <v/>
      </c>
      <c r="M35" s="3">
        <f>'[01_Entry.xlsx]Book'!I35</f>
        <v/>
      </c>
      <c r="N35" s="2">
        <f>IF($A35="","",MID($A35,6,2))</f>
        <v>0</v>
      </c>
      <c r="O35" s="2">
        <f>IF(OR($C35="",$C35&lt;&gt;'Inv'!$D$12),"",N(O$34)+1)</f>
        <v>0</v>
      </c>
    </row>
    <row r="36" spans="1:15">
      <c r="A36" s="2">
        <f>'[01_Entry.xlsx]Book'!A36</f>
        <v/>
      </c>
      <c r="B36" s="2">
        <f>'[01_Entry.xlsx]Book'!B36</f>
        <v/>
      </c>
      <c r="C36" s="2">
        <f>'[01_Entry.xlsx]Book'!D36</f>
        <v/>
      </c>
      <c r="D36" s="2">
        <f>'[01_Entry.xlsx]Book'!E36</f>
        <v/>
      </c>
      <c r="E36" s="2">
        <f>'[01_Entry.xlsx]Book'!O36</f>
        <v/>
      </c>
      <c r="F36" s="2">
        <f>'[01_Entry.xlsx]Book'!N36</f>
        <v/>
      </c>
      <c r="G36" s="3">
        <f>'[01_Entry.xlsx]Book'!L36</f>
        <v/>
      </c>
      <c r="H36" s="3">
        <f>'[01_Entry.xlsx]Book'!M36</f>
        <v/>
      </c>
      <c r="I36" s="3">
        <f>'[01_Entry.xlsx]Book'!K36</f>
        <v/>
      </c>
      <c r="J36" s="3">
        <f>'[01_Entry.xlsx]Book'!P36</f>
        <v/>
      </c>
      <c r="K36" s="3">
        <f>'[01_Entry.xlsx]Book'!F36</f>
        <v/>
      </c>
      <c r="L36" s="3">
        <f>'[01_Entry.xlsx]Book'!G36</f>
        <v/>
      </c>
      <c r="M36" s="3">
        <f>'[01_Entry.xlsx]Book'!I36</f>
        <v/>
      </c>
      <c r="N36" s="2">
        <f>IF($A36="","",MID($A36,6,2))</f>
        <v>0</v>
      </c>
      <c r="O36" s="2">
        <f>IF(OR($C36="",$C36&lt;&gt;'Inv'!$D$12),"",N(O$35)+1)</f>
        <v>0</v>
      </c>
    </row>
    <row r="37" spans="1:15">
      <c r="A37" s="2">
        <f>'[01_Entry.xlsx]Book'!A37</f>
        <v/>
      </c>
      <c r="B37" s="2">
        <f>'[01_Entry.xlsx]Book'!B37</f>
        <v/>
      </c>
      <c r="C37" s="2">
        <f>'[01_Entry.xlsx]Book'!D37</f>
        <v/>
      </c>
      <c r="D37" s="2">
        <f>'[01_Entry.xlsx]Book'!E37</f>
        <v/>
      </c>
      <c r="E37" s="2">
        <f>'[01_Entry.xlsx]Book'!O37</f>
        <v/>
      </c>
      <c r="F37" s="2">
        <f>'[01_Entry.xlsx]Book'!N37</f>
        <v/>
      </c>
      <c r="G37" s="3">
        <f>'[01_Entry.xlsx]Book'!L37</f>
        <v/>
      </c>
      <c r="H37" s="3">
        <f>'[01_Entry.xlsx]Book'!M37</f>
        <v/>
      </c>
      <c r="I37" s="3">
        <f>'[01_Entry.xlsx]Book'!K37</f>
        <v/>
      </c>
      <c r="J37" s="3">
        <f>'[01_Entry.xlsx]Book'!P37</f>
        <v/>
      </c>
      <c r="K37" s="3">
        <f>'[01_Entry.xlsx]Book'!F37</f>
        <v/>
      </c>
      <c r="L37" s="3">
        <f>'[01_Entry.xlsx]Book'!G37</f>
        <v/>
      </c>
      <c r="M37" s="3">
        <f>'[01_Entry.xlsx]Book'!I37</f>
        <v/>
      </c>
      <c r="N37" s="2">
        <f>IF($A37="","",MID($A37,6,2))</f>
        <v>0</v>
      </c>
      <c r="O37" s="2">
        <f>IF(OR($C37="",$C37&lt;&gt;'Inv'!$D$12),"",N(O$36)+1)</f>
        <v>0</v>
      </c>
    </row>
    <row r="38" spans="1:15">
      <c r="A38" s="2" t="str">
        <f>'[01_Entry.xlsx]Book'!A38</f>
        <v>1405/07/04</v>
      </c>
      <c r="B38" s="2" t="str">
        <f>'[01_Entry.xlsx]Book'!B38</f>
        <v>BS-008</v>
      </c>
      <c r="C38" s="2" t="str">
        <f>'[01_Entry.xlsx]Book'!D38</f>
        <v>SL002</v>
      </c>
      <c r="D38" s="2" t="str">
        <f>'[01_Entry.xlsx]Book'!E38</f>
        <v>هزینه باسکول پوز</v>
      </c>
      <c r="E38" s="2" t="str">
        <f>'[01_Entry.xlsx]Book'!O38</f>
        <v>بارفروش</v>
      </c>
      <c r="F38" s="2" t="str">
        <f>'[01_Entry.xlsx]Book'!N38</f>
        <v>فروش بار (بارفروش)</v>
      </c>
      <c r="G38" s="3">
        <f>'[01_Entry.xlsx]Book'!L38</f>
        <v>93600000.0</v>
      </c>
      <c r="H38" s="3">
        <f>'[01_Entry.xlsx]Book'!M38</f>
        <v/>
      </c>
      <c r="I38" s="3">
        <f>'[01_Entry.xlsx]Book'!K38</f>
        <v>93600000.0</v>
      </c>
      <c r="J38" s="3">
        <f>'[01_Entry.xlsx]Book'!P38</f>
        <v/>
      </c>
      <c r="K38" s="3" t="str">
        <f>'[01_Entry.xlsx]Book'!F38</f>
        <v>نارنگی اونشو</v>
      </c>
      <c r="L38" s="3">
        <f>'[01_Entry.xlsx]Book'!G38</f>
        <v>0</v>
      </c>
      <c r="M38" s="3">
        <f>'[01_Entry.xlsx]Book'!I38</f>
        <v>1800.0</v>
      </c>
      <c r="N38" s="2">
        <f>IF($A38="","",MID($A38,6,2))</f>
        <v>0</v>
      </c>
      <c r="O38" s="2">
        <f>IF(OR($C38="",$C38&lt;&gt;'Inv'!$D$12),"",N(O$37)+1)</f>
        <v>0</v>
      </c>
    </row>
    <row r="39" spans="1:15">
      <c r="A39" s="2" t="str">
        <f>'[01_Entry.xlsx]Book'!A39</f>
        <v>1405/07/04</v>
      </c>
      <c r="B39" s="2" t="str">
        <f>'[01_Entry.xlsx]Book'!B39</f>
        <v>BS-008</v>
      </c>
      <c r="C39" s="2" t="str">
        <f>'[01_Entry.xlsx]Book'!D39</f>
        <v>X006</v>
      </c>
      <c r="D39" s="2" t="str">
        <f>'[01_Entry.xlsx]Book'!E39</f>
        <v>مقابل: فروش بار (بارفروش)</v>
      </c>
      <c r="E39" s="2" t="str">
        <f>'[01_Entry.xlsx]Book'!O39</f>
        <v>سایر حساب</v>
      </c>
      <c r="F39" s="2" t="str">
        <f>'[01_Entry.xlsx]Book'!N39</f>
        <v>مقابل</v>
      </c>
      <c r="G39" s="3">
        <f>'[01_Entry.xlsx]Book'!L39</f>
        <v/>
      </c>
      <c r="H39" s="3">
        <f>'[01_Entry.xlsx]Book'!M39</f>
        <v>93600000.0</v>
      </c>
      <c r="I39" s="3">
        <f>'[01_Entry.xlsx]Book'!K39</f>
        <v>93600000.0</v>
      </c>
      <c r="J39" s="3">
        <f>'[01_Entry.xlsx]Book'!P39</f>
        <v/>
      </c>
      <c r="K39" s="3">
        <f>'[01_Entry.xlsx]Book'!F39</f>
        <v/>
      </c>
      <c r="L39" s="3">
        <f>'[01_Entry.xlsx]Book'!G39</f>
        <v/>
      </c>
      <c r="M39" s="3">
        <f>'[01_Entry.xlsx]Book'!I39</f>
        <v/>
      </c>
      <c r="N39" s="2">
        <f>IF($A39="","",MID($A39,6,2))</f>
        <v>0</v>
      </c>
      <c r="O39" s="2">
        <f>IF(OR($C39="",$C39&lt;&gt;'Inv'!$D$12),"",N(O$38)+1)</f>
        <v>0</v>
      </c>
    </row>
    <row r="40" spans="1:15">
      <c r="A40" s="2" t="str">
        <f>'[01_Entry.xlsx]Book'!A40</f>
        <v>1405/07/04</v>
      </c>
      <c r="B40" s="2" t="str">
        <f>'[01_Entry.xlsx]Book'!B40</f>
        <v>BS-008</v>
      </c>
      <c r="C40" s="2" t="str">
        <f>'[01_Entry.xlsx]Book'!D40</f>
        <v>BANK02</v>
      </c>
      <c r="D40" s="2" t="str">
        <f>'[01_Entry.xlsx]Book'!E40</f>
        <v>پوز باسکول — فروش بار (بارفروش)</v>
      </c>
      <c r="E40" s="2">
        <f>'[01_Entry.xlsx]Book'!O40</f>
        <v/>
      </c>
      <c r="F40" s="2" t="str">
        <f>'[01_Entry.xlsx]Book'!N40</f>
        <v>پوز</v>
      </c>
      <c r="G40" s="3">
        <f>'[01_Entry.xlsx]Book'!L40</f>
        <v>90000</v>
      </c>
      <c r="H40" s="3">
        <f>'[01_Entry.xlsx]Book'!M40</f>
        <v/>
      </c>
      <c r="I40" s="3">
        <f>'[01_Entry.xlsx]Book'!K40</f>
        <v>90000.0</v>
      </c>
      <c r="J40" s="3">
        <f>'[01_Entry.xlsx]Book'!P40</f>
        <v/>
      </c>
      <c r="K40" s="3">
        <f>'[01_Entry.xlsx]Book'!F40</f>
        <v/>
      </c>
      <c r="L40" s="3">
        <f>'[01_Entry.xlsx]Book'!G40</f>
        <v/>
      </c>
      <c r="M40" s="3">
        <f>'[01_Entry.xlsx]Book'!I40</f>
        <v/>
      </c>
      <c r="N40" s="2">
        <f>IF($A40="","",MID($A40,6,2))</f>
        <v>0</v>
      </c>
      <c r="O40" s="2">
        <f>IF(OR($C40="",$C40&lt;&gt;'Inv'!$D$12),"",N(O$39)+1)</f>
        <v>0</v>
      </c>
    </row>
    <row r="41" spans="1:15">
      <c r="A41" s="2" t="str">
        <f>'[01_Entry.xlsx]Book'!A41</f>
        <v>1405/07/04</v>
      </c>
      <c r="B41" s="2" t="str">
        <f>'[01_Entry.xlsx]Book'!B41</f>
        <v>BS-008</v>
      </c>
      <c r="C41" s="2" t="str">
        <f>'[01_Entry.xlsx]Book'!D41</f>
        <v>X002</v>
      </c>
      <c r="D41" s="2" t="str">
        <f>'[01_Entry.xlsx]Book'!E41</f>
        <v>مقابل پوز — فروش بار (بارفروش)</v>
      </c>
      <c r="E41" s="2" t="str">
        <f>'[01_Entry.xlsx]Book'!O41</f>
        <v>سایر حساب</v>
      </c>
      <c r="F41" s="2" t="str">
        <f>'[01_Entry.xlsx]Book'!N41</f>
        <v>مقابل پوز</v>
      </c>
      <c r="G41" s="3">
        <f>'[01_Entry.xlsx]Book'!L41</f>
        <v/>
      </c>
      <c r="H41" s="3">
        <f>'[01_Entry.xlsx]Book'!M41</f>
        <v>90000</v>
      </c>
      <c r="I41" s="3">
        <f>'[01_Entry.xlsx]Book'!K41</f>
        <v>90000.0</v>
      </c>
      <c r="J41" s="3">
        <f>'[01_Entry.xlsx]Book'!P41</f>
        <v/>
      </c>
      <c r="K41" s="3">
        <f>'[01_Entry.xlsx]Book'!F41</f>
        <v/>
      </c>
      <c r="L41" s="3">
        <f>'[01_Entry.xlsx]Book'!G41</f>
        <v/>
      </c>
      <c r="M41" s="3">
        <f>'[01_Entry.xlsx]Book'!I41</f>
        <v/>
      </c>
      <c r="N41" s="2">
        <f>IF($A41="","",MID($A41,6,2))</f>
        <v>0</v>
      </c>
      <c r="O41" s="2">
        <f>IF(OR($C41="",$C41&lt;&gt;'Inv'!$D$12),"",N(O$40)+1)</f>
        <v>0</v>
      </c>
    </row>
    <row r="42" spans="1:15">
      <c r="A42" s="2" t="str">
        <f>'[01_Entry.xlsx]Book'!A42</f>
        <v>1405/07/05</v>
      </c>
      <c r="B42" s="2" t="str">
        <f>'[01_Entry.xlsx]Book'!B42</f>
        <v>BS-009</v>
      </c>
      <c r="C42" s="2" t="str">
        <f>'[01_Entry.xlsx]Book'!D42</f>
        <v>C007</v>
      </c>
      <c r="D42" s="2" t="str">
        <f>'[01_Entry.xlsx]Book'!E42</f>
        <v>آبگیری — طرف حساب بستانکار</v>
      </c>
      <c r="E42" s="2" t="str">
        <f>'[01_Entry.xlsx]Book'!O42</f>
        <v>باغدار</v>
      </c>
      <c r="F42" s="2" t="str">
        <f>'[01_Entry.xlsx]Book'!N42</f>
        <v>آبگیری</v>
      </c>
      <c r="G42" s="3">
        <f>'[01_Entry.xlsx]Book'!L42</f>
        <v/>
      </c>
      <c r="H42" s="3">
        <f>'[01_Entry.xlsx]Book'!M42</f>
        <v>12000000.0</v>
      </c>
      <c r="I42" s="3">
        <f>'[01_Entry.xlsx]Book'!K42</f>
        <v>12000000.0</v>
      </c>
      <c r="J42" s="3">
        <f>'[01_Entry.xlsx]Book'!P42</f>
        <v/>
      </c>
      <c r="K42" s="3" t="str">
        <f>'[01_Entry.xlsx]Book'!F42</f>
        <v>نارنگی پیچ</v>
      </c>
      <c r="L42" s="3">
        <f>'[01_Entry.xlsx]Book'!G42</f>
        <v>0</v>
      </c>
      <c r="M42" s="3">
        <f>'[01_Entry.xlsx]Book'!I42</f>
        <v>800.0</v>
      </c>
      <c r="N42" s="2">
        <f>IF($A42="","",MID($A42,6,2))</f>
        <v>0</v>
      </c>
      <c r="O42" s="2">
        <f>IF(OR($C42="",$C42&lt;&gt;'Inv'!$D$12),"",N(O$41)+1)</f>
        <v>0</v>
      </c>
    </row>
    <row r="43" spans="1:15">
      <c r="A43" s="2" t="str">
        <f>'[01_Entry.xlsx]Book'!A43</f>
        <v>1405/07/05</v>
      </c>
      <c r="B43" s="2" t="str">
        <f>'[01_Entry.xlsx]Book'!B43</f>
        <v>BS-009</v>
      </c>
      <c r="C43" s="2" t="str">
        <f>'[01_Entry.xlsx]Book'!D43</f>
        <v>X008</v>
      </c>
      <c r="D43" s="2" t="str">
        <f>'[01_Entry.xlsx]Book'!E43</f>
        <v>مقابل: آبگیری</v>
      </c>
      <c r="E43" s="2" t="str">
        <f>'[01_Entry.xlsx]Book'!O43</f>
        <v>سایر حساب</v>
      </c>
      <c r="F43" s="2" t="str">
        <f>'[01_Entry.xlsx]Book'!N43</f>
        <v>مقابل</v>
      </c>
      <c r="G43" s="3">
        <f>'[01_Entry.xlsx]Book'!L43</f>
        <v>12000000.0</v>
      </c>
      <c r="H43" s="3">
        <f>'[01_Entry.xlsx]Book'!M43</f>
        <v/>
      </c>
      <c r="I43" s="3">
        <f>'[01_Entry.xlsx]Book'!K43</f>
        <v>12000000.0</v>
      </c>
      <c r="J43" s="3">
        <f>'[01_Entry.xlsx]Book'!P43</f>
        <v/>
      </c>
      <c r="K43" s="3">
        <f>'[01_Entry.xlsx]Book'!F43</f>
        <v/>
      </c>
      <c r="L43" s="3">
        <f>'[01_Entry.xlsx]Book'!G43</f>
        <v/>
      </c>
      <c r="M43" s="3">
        <f>'[01_Entry.xlsx]Book'!I43</f>
        <v/>
      </c>
      <c r="N43" s="2">
        <f>IF($A43="","",MID($A43,6,2))</f>
        <v>0</v>
      </c>
      <c r="O43" s="2">
        <f>IF(OR($C43="",$C43&lt;&gt;'Inv'!$D$12),"",N(O$42)+1)</f>
        <v>0</v>
      </c>
    </row>
    <row r="44" spans="1:15">
      <c r="A44" s="2">
        <f>'[01_Entry.xlsx]Book'!A44</f>
        <v/>
      </c>
      <c r="B44" s="2">
        <f>'[01_Entry.xlsx]Book'!B44</f>
        <v/>
      </c>
      <c r="C44" s="2">
        <f>'[01_Entry.xlsx]Book'!D44</f>
        <v/>
      </c>
      <c r="D44" s="2">
        <f>'[01_Entry.xlsx]Book'!E44</f>
        <v/>
      </c>
      <c r="E44" s="2">
        <f>'[01_Entry.xlsx]Book'!O44</f>
        <v/>
      </c>
      <c r="F44" s="2">
        <f>'[01_Entry.xlsx]Book'!N44</f>
        <v/>
      </c>
      <c r="G44" s="3">
        <f>'[01_Entry.xlsx]Book'!L44</f>
        <v/>
      </c>
      <c r="H44" s="3">
        <f>'[01_Entry.xlsx]Book'!M44</f>
        <v/>
      </c>
      <c r="I44" s="3">
        <f>'[01_Entry.xlsx]Book'!K44</f>
        <v/>
      </c>
      <c r="J44" s="3">
        <f>'[01_Entry.xlsx]Book'!P44</f>
        <v/>
      </c>
      <c r="K44" s="3">
        <f>'[01_Entry.xlsx]Book'!F44</f>
        <v/>
      </c>
      <c r="L44" s="3">
        <f>'[01_Entry.xlsx]Book'!G44</f>
        <v/>
      </c>
      <c r="M44" s="3">
        <f>'[01_Entry.xlsx]Book'!I44</f>
        <v/>
      </c>
      <c r="N44" s="2">
        <f>IF($A44="","",MID($A44,6,2))</f>
        <v>0</v>
      </c>
      <c r="O44" s="2">
        <f>IF(OR($C44="",$C44&lt;&gt;'Inv'!$D$12),"",N(O$43)+1)</f>
        <v>0</v>
      </c>
    </row>
    <row r="45" spans="1:15">
      <c r="A45" s="2">
        <f>'[01_Entry.xlsx]Book'!A45</f>
        <v/>
      </c>
      <c r="B45" s="2">
        <f>'[01_Entry.xlsx]Book'!B45</f>
        <v/>
      </c>
      <c r="C45" s="2">
        <f>'[01_Entry.xlsx]Book'!D45</f>
        <v/>
      </c>
      <c r="D45" s="2">
        <f>'[01_Entry.xlsx]Book'!E45</f>
        <v/>
      </c>
      <c r="E45" s="2">
        <f>'[01_Entry.xlsx]Book'!O45</f>
        <v/>
      </c>
      <c r="F45" s="2">
        <f>'[01_Entry.xlsx]Book'!N45</f>
        <v/>
      </c>
      <c r="G45" s="3">
        <f>'[01_Entry.xlsx]Book'!L45</f>
        <v/>
      </c>
      <c r="H45" s="3">
        <f>'[01_Entry.xlsx]Book'!M45</f>
        <v/>
      </c>
      <c r="I45" s="3">
        <f>'[01_Entry.xlsx]Book'!K45</f>
        <v/>
      </c>
      <c r="J45" s="3">
        <f>'[01_Entry.xlsx]Book'!P45</f>
        <v/>
      </c>
      <c r="K45" s="3">
        <f>'[01_Entry.xlsx]Book'!F45</f>
        <v/>
      </c>
      <c r="L45" s="3">
        <f>'[01_Entry.xlsx]Book'!G45</f>
        <v/>
      </c>
      <c r="M45" s="3">
        <f>'[01_Entry.xlsx]Book'!I45</f>
        <v/>
      </c>
      <c r="N45" s="2">
        <f>IF($A45="","",MID($A45,6,2))</f>
        <v>0</v>
      </c>
      <c r="O45" s="2">
        <f>IF(OR($C45="",$C45&lt;&gt;'Inv'!$D$12),"",N(O$44)+1)</f>
        <v>0</v>
      </c>
    </row>
    <row r="46" spans="1:15">
      <c r="A46" s="2" t="str">
        <f>'[01_Entry.xlsx]Book'!A46</f>
        <v>1405/07/05</v>
      </c>
      <c r="B46" s="2" t="str">
        <f>'[01_Entry.xlsx]Book'!B46</f>
        <v>BS-010</v>
      </c>
      <c r="C46" s="2" t="str">
        <f>'[01_Entry.xlsx]Book'!D46</f>
        <v>X001</v>
      </c>
      <c r="D46" s="2" t="str">
        <f>'[01_Entry.xlsx]Book'!E46</f>
        <v>انعام از پوز باسکول</v>
      </c>
      <c r="E46" s="2" t="str">
        <f>'[01_Entry.xlsx]Book'!O46</f>
        <v>سایر حساب</v>
      </c>
      <c r="F46" s="2" t="str">
        <f>'[01_Entry.xlsx]Book'!N46</f>
        <v>انعام مصطفی</v>
      </c>
      <c r="G46" s="3">
        <f>'[01_Entry.xlsx]Book'!L46</f>
        <v/>
      </c>
      <c r="H46" s="3">
        <f>'[01_Entry.xlsx]Book'!M46</f>
        <v>500000.0</v>
      </c>
      <c r="I46" s="3">
        <f>'[01_Entry.xlsx]Book'!K46</f>
        <v>500000.0</v>
      </c>
      <c r="J46" s="3">
        <f>'[01_Entry.xlsx]Book'!P46</f>
        <v/>
      </c>
      <c r="K46" s="3">
        <f>'[01_Entry.xlsx]Book'!F46</f>
        <v>0</v>
      </c>
      <c r="L46" s="3">
        <f>'[01_Entry.xlsx]Book'!G46</f>
        <v>0</v>
      </c>
      <c r="M46" s="3">
        <f>'[01_Entry.xlsx]Book'!I46</f>
        <v>0.0</v>
      </c>
      <c r="N46" s="2">
        <f>IF($A46="","",MID($A46,6,2))</f>
        <v>0</v>
      </c>
      <c r="O46" s="2">
        <f>IF(OR($C46="",$C46&lt;&gt;'Inv'!$D$12),"",N(O$45)+1)</f>
        <v>0</v>
      </c>
    </row>
    <row r="47" spans="1:15">
      <c r="A47" s="2" t="str">
        <f>'[01_Entry.xlsx]Book'!A47</f>
        <v>1405/07/05</v>
      </c>
      <c r="B47" s="2" t="str">
        <f>'[01_Entry.xlsx]Book'!B47</f>
        <v>BS-010</v>
      </c>
      <c r="C47" s="2" t="str">
        <f>'[01_Entry.xlsx]Book'!D47</f>
        <v>BANK02</v>
      </c>
      <c r="D47" s="2" t="str">
        <f>'[01_Entry.xlsx]Book'!E47</f>
        <v>مقابل: انعام مصطفی</v>
      </c>
      <c r="E47" s="2">
        <f>'[01_Entry.xlsx]Book'!O47</f>
        <v/>
      </c>
      <c r="F47" s="2" t="str">
        <f>'[01_Entry.xlsx]Book'!N47</f>
        <v>مقابل</v>
      </c>
      <c r="G47" s="3">
        <f>'[01_Entry.xlsx]Book'!L47</f>
        <v>500000.0</v>
      </c>
      <c r="H47" s="3">
        <f>'[01_Entry.xlsx]Book'!M47</f>
        <v/>
      </c>
      <c r="I47" s="3">
        <f>'[01_Entry.xlsx]Book'!K47</f>
        <v>500000.0</v>
      </c>
      <c r="J47" s="3">
        <f>'[01_Entry.xlsx]Book'!P47</f>
        <v/>
      </c>
      <c r="K47" s="3">
        <f>'[01_Entry.xlsx]Book'!F47</f>
        <v/>
      </c>
      <c r="L47" s="3">
        <f>'[01_Entry.xlsx]Book'!G47</f>
        <v/>
      </c>
      <c r="M47" s="3">
        <f>'[01_Entry.xlsx]Book'!I47</f>
        <v/>
      </c>
      <c r="N47" s="2">
        <f>IF($A47="","",MID($A47,6,2))</f>
        <v>0</v>
      </c>
      <c r="O47" s="2">
        <f>IF(OR($C47="",$C47&lt;&gt;'Inv'!$D$12),"",N(O$46)+1)</f>
        <v>0</v>
      </c>
    </row>
    <row r="48" spans="1:15">
      <c r="A48" s="2">
        <f>'[01_Entry.xlsx]Book'!A48</f>
        <v/>
      </c>
      <c r="B48" s="2">
        <f>'[01_Entry.xlsx]Book'!B48</f>
        <v/>
      </c>
      <c r="C48" s="2">
        <f>'[01_Entry.xlsx]Book'!D48</f>
        <v/>
      </c>
      <c r="D48" s="2">
        <f>'[01_Entry.xlsx]Book'!E48</f>
        <v/>
      </c>
      <c r="E48" s="2">
        <f>'[01_Entry.xlsx]Book'!O48</f>
        <v/>
      </c>
      <c r="F48" s="2">
        <f>'[01_Entry.xlsx]Book'!N48</f>
        <v/>
      </c>
      <c r="G48" s="3">
        <f>'[01_Entry.xlsx]Book'!L48</f>
        <v/>
      </c>
      <c r="H48" s="3">
        <f>'[01_Entry.xlsx]Book'!M48</f>
        <v/>
      </c>
      <c r="I48" s="3">
        <f>'[01_Entry.xlsx]Book'!K48</f>
        <v/>
      </c>
      <c r="J48" s="3">
        <f>'[01_Entry.xlsx]Book'!P48</f>
        <v/>
      </c>
      <c r="K48" s="3">
        <f>'[01_Entry.xlsx]Book'!F48</f>
        <v/>
      </c>
      <c r="L48" s="3">
        <f>'[01_Entry.xlsx]Book'!G48</f>
        <v/>
      </c>
      <c r="M48" s="3">
        <f>'[01_Entry.xlsx]Book'!I48</f>
        <v/>
      </c>
      <c r="N48" s="2">
        <f>IF($A48="","",MID($A48,6,2))</f>
        <v>0</v>
      </c>
      <c r="O48" s="2">
        <f>IF(OR($C48="",$C48&lt;&gt;'Inv'!$D$12),"",N(O$47)+1)</f>
        <v>0</v>
      </c>
    </row>
    <row r="49" spans="1:15">
      <c r="A49" s="2">
        <f>'[01_Entry.xlsx]Book'!A49</f>
        <v/>
      </c>
      <c r="B49" s="2">
        <f>'[01_Entry.xlsx]Book'!B49</f>
        <v/>
      </c>
      <c r="C49" s="2">
        <f>'[01_Entry.xlsx]Book'!D49</f>
        <v/>
      </c>
      <c r="D49" s="2">
        <f>'[01_Entry.xlsx]Book'!E49</f>
        <v/>
      </c>
      <c r="E49" s="2">
        <f>'[01_Entry.xlsx]Book'!O49</f>
        <v/>
      </c>
      <c r="F49" s="2">
        <f>'[01_Entry.xlsx]Book'!N49</f>
        <v/>
      </c>
      <c r="G49" s="3">
        <f>'[01_Entry.xlsx]Book'!L49</f>
        <v/>
      </c>
      <c r="H49" s="3">
        <f>'[01_Entry.xlsx]Book'!M49</f>
        <v/>
      </c>
      <c r="I49" s="3">
        <f>'[01_Entry.xlsx]Book'!K49</f>
        <v/>
      </c>
      <c r="J49" s="3">
        <f>'[01_Entry.xlsx]Book'!P49</f>
        <v/>
      </c>
      <c r="K49" s="3">
        <f>'[01_Entry.xlsx]Book'!F49</f>
        <v/>
      </c>
      <c r="L49" s="3">
        <f>'[01_Entry.xlsx]Book'!G49</f>
        <v/>
      </c>
      <c r="M49" s="3">
        <f>'[01_Entry.xlsx]Book'!I49</f>
        <v/>
      </c>
      <c r="N49" s="2">
        <f>IF($A49="","",MID($A49,6,2))</f>
        <v>0</v>
      </c>
      <c r="O49" s="2">
        <f>IF(OR($C49="",$C49&lt;&gt;'Inv'!$D$12),"",N(O$48)+1)</f>
        <v>0</v>
      </c>
    </row>
    <row r="50" spans="1:15">
      <c r="A50" s="2" t="str">
        <f>'[01_Entry.xlsx]Book'!A50</f>
        <v>1405/07/06</v>
      </c>
      <c r="B50" s="2" t="str">
        <f>'[01_Entry.xlsx]Book'!B50</f>
        <v>BS-011</v>
      </c>
      <c r="C50" s="2" t="str">
        <f>'[01_Entry.xlsx]Book'!D50</f>
        <v>BD001</v>
      </c>
      <c r="D50" s="2" t="str">
        <f>'[01_Entry.xlsx]Book'!E50</f>
        <v>هزینه باسکول مهمان</v>
      </c>
      <c r="E50" s="2" t="str">
        <f>'[01_Entry.xlsx]Book'!O50</f>
        <v>باسکول دیگران</v>
      </c>
      <c r="F50" s="2" t="str">
        <f>'[01_Entry.xlsx]Book'!N50</f>
        <v>باسکول دیگران</v>
      </c>
      <c r="G50" s="3">
        <f>'[01_Entry.xlsx]Book'!L50</f>
        <v>150000.0</v>
      </c>
      <c r="H50" s="3">
        <f>'[01_Entry.xlsx]Book'!M50</f>
        <v/>
      </c>
      <c r="I50" s="3">
        <f>'[01_Entry.xlsx]Book'!K50</f>
        <v>150000.0</v>
      </c>
      <c r="J50" s="3">
        <f>'[01_Entry.xlsx]Book'!P50</f>
        <v/>
      </c>
      <c r="K50" s="3">
        <f>'[01_Entry.xlsx]Book'!F50</f>
        <v>0</v>
      </c>
      <c r="L50" s="3">
        <f>'[01_Entry.xlsx]Book'!G50</f>
        <v>0</v>
      </c>
      <c r="M50" s="3">
        <f>'[01_Entry.xlsx]Book'!I50</f>
        <v>0.0</v>
      </c>
      <c r="N50" s="2">
        <f>IF($A50="","",MID($A50,6,2))</f>
        <v>0</v>
      </c>
      <c r="O50" s="2">
        <f>IF(OR($C50="",$C50&lt;&gt;'Inv'!$D$12),"",N(O$49)+1)</f>
        <v>0</v>
      </c>
    </row>
    <row r="51" spans="1:15">
      <c r="A51" s="2" t="str">
        <f>'[01_Entry.xlsx]Book'!A51</f>
        <v>1405/07/06</v>
      </c>
      <c r="B51" s="2" t="str">
        <f>'[01_Entry.xlsx]Book'!B51</f>
        <v>BS-011</v>
      </c>
      <c r="C51" s="2" t="str">
        <f>'[01_Entry.xlsx]Book'!D51</f>
        <v>X002</v>
      </c>
      <c r="D51" s="2" t="str">
        <f>'[01_Entry.xlsx]Book'!E51</f>
        <v>مقابل: باسکول دیگران</v>
      </c>
      <c r="E51" s="2" t="str">
        <f>'[01_Entry.xlsx]Book'!O51</f>
        <v>سایر حساب</v>
      </c>
      <c r="F51" s="2" t="str">
        <f>'[01_Entry.xlsx]Book'!N51</f>
        <v>مقابل</v>
      </c>
      <c r="G51" s="3">
        <f>'[01_Entry.xlsx]Book'!L51</f>
        <v/>
      </c>
      <c r="H51" s="3">
        <f>'[01_Entry.xlsx]Book'!M51</f>
        <v>150000.0</v>
      </c>
      <c r="I51" s="3">
        <f>'[01_Entry.xlsx]Book'!K51</f>
        <v>150000.0</v>
      </c>
      <c r="J51" s="3">
        <f>'[01_Entry.xlsx]Book'!P51</f>
        <v/>
      </c>
      <c r="K51" s="3">
        <f>'[01_Entry.xlsx]Book'!F51</f>
        <v/>
      </c>
      <c r="L51" s="3">
        <f>'[01_Entry.xlsx]Book'!G51</f>
        <v/>
      </c>
      <c r="M51" s="3">
        <f>'[01_Entry.xlsx]Book'!I51</f>
        <v/>
      </c>
      <c r="N51" s="2">
        <f>IF($A51="","",MID($A51,6,2))</f>
        <v>0</v>
      </c>
      <c r="O51" s="2">
        <f>IF(OR($C51="",$C51&lt;&gt;'Inv'!$D$12),"",N(O$50)+1)</f>
        <v>0</v>
      </c>
    </row>
    <row r="52" spans="1:15">
      <c r="A52" s="2">
        <f>'[01_Entry.xlsx]Book'!A52</f>
        <v/>
      </c>
      <c r="B52" s="2">
        <f>'[01_Entry.xlsx]Book'!B52</f>
        <v/>
      </c>
      <c r="C52" s="2">
        <f>'[01_Entry.xlsx]Book'!D52</f>
        <v/>
      </c>
      <c r="D52" s="2">
        <f>'[01_Entry.xlsx]Book'!E52</f>
        <v/>
      </c>
      <c r="E52" s="2">
        <f>'[01_Entry.xlsx]Book'!O52</f>
        <v/>
      </c>
      <c r="F52" s="2">
        <f>'[01_Entry.xlsx]Book'!N52</f>
        <v/>
      </c>
      <c r="G52" s="3">
        <f>'[01_Entry.xlsx]Book'!L52</f>
        <v/>
      </c>
      <c r="H52" s="3">
        <f>'[01_Entry.xlsx]Book'!M52</f>
        <v/>
      </c>
      <c r="I52" s="3">
        <f>'[01_Entry.xlsx]Book'!K52</f>
        <v/>
      </c>
      <c r="J52" s="3">
        <f>'[01_Entry.xlsx]Book'!P52</f>
        <v/>
      </c>
      <c r="K52" s="3">
        <f>'[01_Entry.xlsx]Book'!F52</f>
        <v/>
      </c>
      <c r="L52" s="3">
        <f>'[01_Entry.xlsx]Book'!G52</f>
        <v/>
      </c>
      <c r="M52" s="3">
        <f>'[01_Entry.xlsx]Book'!I52</f>
        <v/>
      </c>
      <c r="N52" s="2">
        <f>IF($A52="","",MID($A52,6,2))</f>
        <v>0</v>
      </c>
      <c r="O52" s="2">
        <f>IF(OR($C52="",$C52&lt;&gt;'Inv'!$D$12),"",N(O$51)+1)</f>
        <v>0</v>
      </c>
    </row>
    <row r="53" spans="1:15">
      <c r="A53" s="2">
        <f>'[01_Entry.xlsx]Book'!A53</f>
        <v/>
      </c>
      <c r="B53" s="2">
        <f>'[01_Entry.xlsx]Book'!B53</f>
        <v/>
      </c>
      <c r="C53" s="2">
        <f>'[01_Entry.xlsx]Book'!D53</f>
        <v/>
      </c>
      <c r="D53" s="2">
        <f>'[01_Entry.xlsx]Book'!E53</f>
        <v/>
      </c>
      <c r="E53" s="2">
        <f>'[01_Entry.xlsx]Book'!O53</f>
        <v/>
      </c>
      <c r="F53" s="2">
        <f>'[01_Entry.xlsx]Book'!N53</f>
        <v/>
      </c>
      <c r="G53" s="3">
        <f>'[01_Entry.xlsx]Book'!L53</f>
        <v/>
      </c>
      <c r="H53" s="3">
        <f>'[01_Entry.xlsx]Book'!M53</f>
        <v/>
      </c>
      <c r="I53" s="3">
        <f>'[01_Entry.xlsx]Book'!K53</f>
        <v/>
      </c>
      <c r="J53" s="3">
        <f>'[01_Entry.xlsx]Book'!P53</f>
        <v/>
      </c>
      <c r="K53" s="3">
        <f>'[01_Entry.xlsx]Book'!F53</f>
        <v/>
      </c>
      <c r="L53" s="3">
        <f>'[01_Entry.xlsx]Book'!G53</f>
        <v/>
      </c>
      <c r="M53" s="3">
        <f>'[01_Entry.xlsx]Book'!I53</f>
        <v/>
      </c>
      <c r="N53" s="2">
        <f>IF($A53="","",MID($A53,6,2))</f>
        <v>0</v>
      </c>
      <c r="O53" s="2">
        <f>IF(OR($C53="",$C53&lt;&gt;'Inv'!$D$12),"",N(O$52)+1)</f>
        <v>0</v>
      </c>
    </row>
    <row r="54" spans="1:15">
      <c r="A54" s="2" t="str">
        <f>'[01_Entry.xlsx]Book'!A54</f>
        <v>1405/07/06</v>
      </c>
      <c r="B54" s="2" t="str">
        <f>'[01_Entry.xlsx]Book'!B54</f>
        <v>BS-012</v>
      </c>
      <c r="C54" s="2" t="str">
        <f>'[01_Entry.xlsx]Book'!D54</f>
        <v>C005</v>
      </c>
      <c r="D54" s="2">
        <f>'[01_Entry.xlsx]Book'!E54</f>
        <v/>
      </c>
      <c r="E54" s="2" t="str">
        <f>'[01_Entry.xlsx]Book'!O54</f>
        <v>باغدار</v>
      </c>
      <c r="F54" s="2" t="str">
        <f>'[01_Entry.xlsx]Book'!N54</f>
        <v>خرید مرکبات</v>
      </c>
      <c r="G54" s="3">
        <f>'[01_Entry.xlsx]Book'!L54</f>
        <v/>
      </c>
      <c r="H54" s="3">
        <f>'[01_Entry.xlsx]Book'!M54</f>
        <v>81235000.0</v>
      </c>
      <c r="I54" s="3">
        <f>'[01_Entry.xlsx]Book'!K54</f>
        <v>81235000.0</v>
      </c>
      <c r="J54" s="3">
        <f>'[01_Entry.xlsx]Book'!P54</f>
        <v/>
      </c>
      <c r="K54" s="3" t="str">
        <f>'[01_Entry.xlsx]Book'!F54</f>
        <v>پرتقال یافا</v>
      </c>
      <c r="L54" s="3">
        <f>'[01_Entry.xlsx]Book'!G54</f>
        <v>195</v>
      </c>
      <c r="M54" s="3">
        <f>'[01_Entry.xlsx]Book'!I54</f>
        <v>2801.205</v>
      </c>
      <c r="N54" s="2">
        <f>IF($A54="","",MID($A54,6,2))</f>
        <v>0</v>
      </c>
      <c r="O54" s="2">
        <f>IF(OR($C54="",$C54&lt;&gt;'Inv'!$D$12),"",N(O$53)+1)</f>
        <v>0</v>
      </c>
    </row>
    <row r="55" spans="1:15">
      <c r="A55" s="2" t="str">
        <f>'[01_Entry.xlsx]Book'!A55</f>
        <v>1405/07/06</v>
      </c>
      <c r="B55" s="2" t="str">
        <f>'[01_Entry.xlsx]Book'!B55</f>
        <v>BS-012</v>
      </c>
      <c r="C55" s="2" t="str">
        <f>'[01_Entry.xlsx]Book'!D55</f>
        <v>X004</v>
      </c>
      <c r="D55" s="2" t="str">
        <f>'[01_Entry.xlsx]Book'!E55</f>
        <v>مقابل: خرید مرکبات</v>
      </c>
      <c r="E55" s="2" t="str">
        <f>'[01_Entry.xlsx]Book'!O55</f>
        <v>سایر حساب</v>
      </c>
      <c r="F55" s="2" t="str">
        <f>'[01_Entry.xlsx]Book'!N55</f>
        <v>مقابل</v>
      </c>
      <c r="G55" s="3">
        <f>'[01_Entry.xlsx]Book'!L55</f>
        <v>81235000.0</v>
      </c>
      <c r="H55" s="3">
        <f>'[01_Entry.xlsx]Book'!M55</f>
        <v/>
      </c>
      <c r="I55" s="3">
        <f>'[01_Entry.xlsx]Book'!K55</f>
        <v>81235000.0</v>
      </c>
      <c r="J55" s="3">
        <f>'[01_Entry.xlsx]Book'!P55</f>
        <v/>
      </c>
      <c r="K55" s="3">
        <f>'[01_Entry.xlsx]Book'!F55</f>
        <v/>
      </c>
      <c r="L55" s="3">
        <f>'[01_Entry.xlsx]Book'!G55</f>
        <v/>
      </c>
      <c r="M55" s="3">
        <f>'[01_Entry.xlsx]Book'!I55</f>
        <v/>
      </c>
      <c r="N55" s="2">
        <f>IF($A55="","",MID($A55,6,2))</f>
        <v>0</v>
      </c>
      <c r="O55" s="2">
        <f>IF(OR($C55="",$C55&lt;&gt;'Inv'!$D$12),"",N(O$54)+1)</f>
        <v>0</v>
      </c>
    </row>
    <row r="56" spans="1:15">
      <c r="A56" s="2">
        <f>'[01_Entry.xlsx]Book'!A56</f>
        <v/>
      </c>
      <c r="B56" s="2">
        <f>'[01_Entry.xlsx]Book'!B56</f>
        <v/>
      </c>
      <c r="C56" s="2">
        <f>'[01_Entry.xlsx]Book'!D56</f>
        <v/>
      </c>
      <c r="D56" s="2">
        <f>'[01_Entry.xlsx]Book'!E56</f>
        <v/>
      </c>
      <c r="E56" s="2">
        <f>'[01_Entry.xlsx]Book'!O56</f>
        <v/>
      </c>
      <c r="F56" s="2">
        <f>'[01_Entry.xlsx]Book'!N56</f>
        <v/>
      </c>
      <c r="G56" s="3">
        <f>'[01_Entry.xlsx]Book'!L56</f>
        <v/>
      </c>
      <c r="H56" s="3">
        <f>'[01_Entry.xlsx]Book'!M56</f>
        <v/>
      </c>
      <c r="I56" s="3">
        <f>'[01_Entry.xlsx]Book'!K56</f>
        <v/>
      </c>
      <c r="J56" s="3">
        <f>'[01_Entry.xlsx]Book'!P56</f>
        <v/>
      </c>
      <c r="K56" s="3">
        <f>'[01_Entry.xlsx]Book'!F56</f>
        <v/>
      </c>
      <c r="L56" s="3">
        <f>'[01_Entry.xlsx]Book'!G56</f>
        <v/>
      </c>
      <c r="M56" s="3">
        <f>'[01_Entry.xlsx]Book'!I56</f>
        <v/>
      </c>
      <c r="N56" s="2">
        <f>IF($A56="","",MID($A56,6,2))</f>
        <v>0</v>
      </c>
      <c r="O56" s="2">
        <f>IF(OR($C56="",$C56&lt;&gt;'Inv'!$D$12),"",N(O$55)+1)</f>
        <v>0</v>
      </c>
    </row>
    <row r="57" spans="1:15">
      <c r="A57" s="2">
        <f>'[01_Entry.xlsx]Book'!A57</f>
        <v/>
      </c>
      <c r="B57" s="2">
        <f>'[01_Entry.xlsx]Book'!B57</f>
        <v/>
      </c>
      <c r="C57" s="2">
        <f>'[01_Entry.xlsx]Book'!D57</f>
        <v/>
      </c>
      <c r="D57" s="2">
        <f>'[01_Entry.xlsx]Book'!E57</f>
        <v/>
      </c>
      <c r="E57" s="2">
        <f>'[01_Entry.xlsx]Book'!O57</f>
        <v/>
      </c>
      <c r="F57" s="2">
        <f>'[01_Entry.xlsx]Book'!N57</f>
        <v/>
      </c>
      <c r="G57" s="3">
        <f>'[01_Entry.xlsx]Book'!L57</f>
        <v/>
      </c>
      <c r="H57" s="3">
        <f>'[01_Entry.xlsx]Book'!M57</f>
        <v/>
      </c>
      <c r="I57" s="3">
        <f>'[01_Entry.xlsx]Book'!K57</f>
        <v/>
      </c>
      <c r="J57" s="3">
        <f>'[01_Entry.xlsx]Book'!P57</f>
        <v/>
      </c>
      <c r="K57" s="3">
        <f>'[01_Entry.xlsx]Book'!F57</f>
        <v/>
      </c>
      <c r="L57" s="3">
        <f>'[01_Entry.xlsx]Book'!G57</f>
        <v/>
      </c>
      <c r="M57" s="3">
        <f>'[01_Entry.xlsx]Book'!I57</f>
        <v/>
      </c>
      <c r="N57" s="2">
        <f>IF($A57="","",MID($A57,6,2))</f>
        <v>0</v>
      </c>
      <c r="O57" s="2">
        <f>IF(OR($C57="",$C57&lt;&gt;'Inv'!$D$12),"",N(O$56)+1)</f>
        <v>0</v>
      </c>
    </row>
    <row r="58" spans="1:15">
      <c r="A58" s="2" t="str">
        <f>'[01_Entry.xlsx]Book'!A58</f>
        <v>1405/07/07</v>
      </c>
      <c r="B58" s="2" t="str">
        <f>'[01_Entry.xlsx]Book'!B58</f>
        <v>BS-013</v>
      </c>
      <c r="C58" s="2" t="str">
        <f>'[01_Entry.xlsx]Book'!D58</f>
        <v>C001</v>
      </c>
      <c r="D58" s="2" t="str">
        <f>'[01_Entry.xlsx]Book'!E58</f>
        <v>برگشت ۱۲ سبد</v>
      </c>
      <c r="E58" s="2" t="str">
        <f>'[01_Entry.xlsx]Book'!O58</f>
        <v>باغدار</v>
      </c>
      <c r="F58" s="2" t="str">
        <f>'[01_Entry.xlsx]Book'!N58</f>
        <v>مرجوعی خرید</v>
      </c>
      <c r="G58" s="3">
        <f>'[01_Entry.xlsx]Book'!L58</f>
        <v>6399000.0</v>
      </c>
      <c r="H58" s="3">
        <f>'[01_Entry.xlsx]Book'!M58</f>
        <v/>
      </c>
      <c r="I58" s="3">
        <f>'[01_Entry.xlsx]Book'!K58</f>
        <v>6399000.0</v>
      </c>
      <c r="J58" s="3">
        <f>'[01_Entry.xlsx]Book'!P58</f>
        <v/>
      </c>
      <c r="K58" s="3" t="str">
        <f>'[01_Entry.xlsx]Book'!F58</f>
        <v>نارنگی پیچ</v>
      </c>
      <c r="L58" s="3">
        <f>'[01_Entry.xlsx]Book'!G58</f>
        <v>12</v>
      </c>
      <c r="M58" s="3">
        <f>'[01_Entry.xlsx]Book'!I58</f>
        <v>199.98</v>
      </c>
      <c r="N58" s="2">
        <f>IF($A58="","",MID($A58,6,2))</f>
        <v>0</v>
      </c>
      <c r="O58" s="2">
        <f>IF(OR($C58="",$C58&lt;&gt;'Inv'!$D$12),"",N(O$57)+1)</f>
        <v>0</v>
      </c>
    </row>
    <row r="59" spans="1:15">
      <c r="A59" s="2" t="str">
        <f>'[01_Entry.xlsx]Book'!A59</f>
        <v>1405/07/07</v>
      </c>
      <c r="B59" s="2" t="str">
        <f>'[01_Entry.xlsx]Book'!B59</f>
        <v>BS-013</v>
      </c>
      <c r="C59" s="2" t="str">
        <f>'[01_Entry.xlsx]Book'!D59</f>
        <v>X004</v>
      </c>
      <c r="D59" s="2" t="str">
        <f>'[01_Entry.xlsx]Book'!E59</f>
        <v>مقابل: مرجوعی خرید</v>
      </c>
      <c r="E59" s="2" t="str">
        <f>'[01_Entry.xlsx]Book'!O59</f>
        <v>سایر حساب</v>
      </c>
      <c r="F59" s="2" t="str">
        <f>'[01_Entry.xlsx]Book'!N59</f>
        <v>مقابل</v>
      </c>
      <c r="G59" s="3">
        <f>'[01_Entry.xlsx]Book'!L59</f>
        <v/>
      </c>
      <c r="H59" s="3">
        <f>'[01_Entry.xlsx]Book'!M59</f>
        <v>6399000.0</v>
      </c>
      <c r="I59" s="3">
        <f>'[01_Entry.xlsx]Book'!K59</f>
        <v>6399000.0</v>
      </c>
      <c r="J59" s="3">
        <f>'[01_Entry.xlsx]Book'!P59</f>
        <v/>
      </c>
      <c r="K59" s="3">
        <f>'[01_Entry.xlsx]Book'!F59</f>
        <v/>
      </c>
      <c r="L59" s="3">
        <f>'[01_Entry.xlsx]Book'!G59</f>
        <v/>
      </c>
      <c r="M59" s="3">
        <f>'[01_Entry.xlsx]Book'!I59</f>
        <v/>
      </c>
      <c r="N59" s="2">
        <f>IF($A59="","",MID($A59,6,2))</f>
        <v>0</v>
      </c>
      <c r="O59" s="2">
        <f>IF(OR($C59="",$C59&lt;&gt;'Inv'!$D$12),"",N(O$58)+1)</f>
        <v>0</v>
      </c>
    </row>
    <row r="60" spans="1:15">
      <c r="A60" s="2">
        <f>'[01_Entry.xlsx]Book'!A60</f>
        <v/>
      </c>
      <c r="B60" s="2">
        <f>'[01_Entry.xlsx]Book'!B60</f>
        <v/>
      </c>
      <c r="C60" s="2">
        <f>'[01_Entry.xlsx]Book'!D60</f>
        <v/>
      </c>
      <c r="D60" s="2">
        <f>'[01_Entry.xlsx]Book'!E60</f>
        <v/>
      </c>
      <c r="E60" s="2">
        <f>'[01_Entry.xlsx]Book'!O60</f>
        <v/>
      </c>
      <c r="F60" s="2">
        <f>'[01_Entry.xlsx]Book'!N60</f>
        <v/>
      </c>
      <c r="G60" s="3">
        <f>'[01_Entry.xlsx]Book'!L60</f>
        <v/>
      </c>
      <c r="H60" s="3">
        <f>'[01_Entry.xlsx]Book'!M60</f>
        <v/>
      </c>
      <c r="I60" s="3">
        <f>'[01_Entry.xlsx]Book'!K60</f>
        <v/>
      </c>
      <c r="J60" s="3">
        <f>'[01_Entry.xlsx]Book'!P60</f>
        <v/>
      </c>
      <c r="K60" s="3">
        <f>'[01_Entry.xlsx]Book'!F60</f>
        <v/>
      </c>
      <c r="L60" s="3">
        <f>'[01_Entry.xlsx]Book'!G60</f>
        <v/>
      </c>
      <c r="M60" s="3">
        <f>'[01_Entry.xlsx]Book'!I60</f>
        <v/>
      </c>
      <c r="N60" s="2">
        <f>IF($A60="","",MID($A60,6,2))</f>
        <v>0</v>
      </c>
      <c r="O60" s="2">
        <f>IF(OR($C60="",$C60&lt;&gt;'Inv'!$D$12),"",N(O$59)+1)</f>
        <v>0</v>
      </c>
    </row>
    <row r="61" spans="1:15">
      <c r="A61" s="2">
        <f>'[01_Entry.xlsx]Book'!A61</f>
        <v/>
      </c>
      <c r="B61" s="2">
        <f>'[01_Entry.xlsx]Book'!B61</f>
        <v/>
      </c>
      <c r="C61" s="2">
        <f>'[01_Entry.xlsx]Book'!D61</f>
        <v/>
      </c>
      <c r="D61" s="2">
        <f>'[01_Entry.xlsx]Book'!E61</f>
        <v/>
      </c>
      <c r="E61" s="2">
        <f>'[01_Entry.xlsx]Book'!O61</f>
        <v/>
      </c>
      <c r="F61" s="2">
        <f>'[01_Entry.xlsx]Book'!N61</f>
        <v/>
      </c>
      <c r="G61" s="3">
        <f>'[01_Entry.xlsx]Book'!L61</f>
        <v/>
      </c>
      <c r="H61" s="3">
        <f>'[01_Entry.xlsx]Book'!M61</f>
        <v/>
      </c>
      <c r="I61" s="3">
        <f>'[01_Entry.xlsx]Book'!K61</f>
        <v/>
      </c>
      <c r="J61" s="3">
        <f>'[01_Entry.xlsx]Book'!P61</f>
        <v/>
      </c>
      <c r="K61" s="3">
        <f>'[01_Entry.xlsx]Book'!F61</f>
        <v/>
      </c>
      <c r="L61" s="3">
        <f>'[01_Entry.xlsx]Book'!G61</f>
        <v/>
      </c>
      <c r="M61" s="3">
        <f>'[01_Entry.xlsx]Book'!I61</f>
        <v/>
      </c>
      <c r="N61" s="2">
        <f>IF($A61="","",MID($A61,6,2))</f>
        <v>0</v>
      </c>
      <c r="O61" s="2">
        <f>IF(OR($C61="",$C61&lt;&gt;'Inv'!$D$12),"",N(O$60)+1)</f>
        <v>0</v>
      </c>
    </row>
    <row r="62" spans="1:15">
      <c r="A62" s="2" t="str">
        <f>'[01_Entry.xlsx]Book'!A62</f>
        <v>1405/07/08</v>
      </c>
      <c r="B62" s="2" t="str">
        <f>'[01_Entry.xlsx]Book'!B62</f>
        <v>BS-014</v>
      </c>
      <c r="C62" s="2" t="str">
        <f>'[01_Entry.xlsx]Book'!D62</f>
        <v>C009</v>
      </c>
      <c r="D62" s="2">
        <f>'[01_Entry.xlsx]Book'!E62</f>
        <v/>
      </c>
      <c r="E62" s="2" t="str">
        <f>'[01_Entry.xlsx]Book'!O62</f>
        <v>باغدار</v>
      </c>
      <c r="F62" s="2" t="str">
        <f>'[01_Entry.xlsx]Book'!N62</f>
        <v>خرید مرکبات</v>
      </c>
      <c r="G62" s="3">
        <f>'[01_Entry.xlsx]Book'!L62</f>
        <v/>
      </c>
      <c r="H62" s="3">
        <f>'[01_Entry.xlsx]Book'!M62</f>
        <v>38782000.0</v>
      </c>
      <c r="I62" s="3">
        <f>'[01_Entry.xlsx]Book'!K62</f>
        <v>38782000.0</v>
      </c>
      <c r="J62" s="3">
        <f>'[01_Entry.xlsx]Book'!P62</f>
        <v/>
      </c>
      <c r="K62" s="3" t="str">
        <f>'[01_Entry.xlsx]Book'!F62</f>
        <v>نارنگی ژاپنی</v>
      </c>
      <c r="L62" s="3">
        <f>'[01_Entry.xlsx]Book'!G62</f>
        <v>92</v>
      </c>
      <c r="M62" s="3">
        <f>'[01_Entry.xlsx]Book'!I62</f>
        <v>1271.556</v>
      </c>
      <c r="N62" s="2">
        <f>IF($A62="","",MID($A62,6,2))</f>
        <v>0</v>
      </c>
      <c r="O62" s="2">
        <f>IF(OR($C62="",$C62&lt;&gt;'Inv'!$D$12),"",N(O$61)+1)</f>
        <v>0</v>
      </c>
    </row>
    <row r="63" spans="1:15">
      <c r="A63" s="2" t="str">
        <f>'[01_Entry.xlsx]Book'!A63</f>
        <v>1405/07/08</v>
      </c>
      <c r="B63" s="2" t="str">
        <f>'[01_Entry.xlsx]Book'!B63</f>
        <v>BS-014</v>
      </c>
      <c r="C63" s="2" t="str">
        <f>'[01_Entry.xlsx]Book'!D63</f>
        <v>X004</v>
      </c>
      <c r="D63" s="2" t="str">
        <f>'[01_Entry.xlsx]Book'!E63</f>
        <v>مقابل: خرید مرکبات</v>
      </c>
      <c r="E63" s="2" t="str">
        <f>'[01_Entry.xlsx]Book'!O63</f>
        <v>سایر حساب</v>
      </c>
      <c r="F63" s="2" t="str">
        <f>'[01_Entry.xlsx]Book'!N63</f>
        <v>مقابل</v>
      </c>
      <c r="G63" s="3">
        <f>'[01_Entry.xlsx]Book'!L63</f>
        <v>38782000.0</v>
      </c>
      <c r="H63" s="3">
        <f>'[01_Entry.xlsx]Book'!M63</f>
        <v/>
      </c>
      <c r="I63" s="3">
        <f>'[01_Entry.xlsx]Book'!K63</f>
        <v>38782000.0</v>
      </c>
      <c r="J63" s="3">
        <f>'[01_Entry.xlsx]Book'!P63</f>
        <v/>
      </c>
      <c r="K63" s="3">
        <f>'[01_Entry.xlsx]Book'!F63</f>
        <v/>
      </c>
      <c r="L63" s="3">
        <f>'[01_Entry.xlsx]Book'!G63</f>
        <v/>
      </c>
      <c r="M63" s="3">
        <f>'[01_Entry.xlsx]Book'!I63</f>
        <v/>
      </c>
      <c r="N63" s="2">
        <f>IF($A63="","",MID($A63,6,2))</f>
        <v>0</v>
      </c>
      <c r="O63" s="2">
        <f>IF(OR($C63="",$C63&lt;&gt;'Inv'!$D$12),"",N(O$62)+1)</f>
        <v>0</v>
      </c>
    </row>
    <row r="64" spans="1:15">
      <c r="A64" s="2">
        <f>'[01_Entry.xlsx]Book'!A64</f>
        <v/>
      </c>
      <c r="B64" s="2">
        <f>'[01_Entry.xlsx]Book'!B64</f>
        <v/>
      </c>
      <c r="C64" s="2">
        <f>'[01_Entry.xlsx]Book'!D64</f>
        <v/>
      </c>
      <c r="D64" s="2">
        <f>'[01_Entry.xlsx]Book'!E64</f>
        <v/>
      </c>
      <c r="E64" s="2">
        <f>'[01_Entry.xlsx]Book'!O64</f>
        <v/>
      </c>
      <c r="F64" s="2">
        <f>'[01_Entry.xlsx]Book'!N64</f>
        <v/>
      </c>
      <c r="G64" s="3">
        <f>'[01_Entry.xlsx]Book'!L64</f>
        <v/>
      </c>
      <c r="H64" s="3">
        <f>'[01_Entry.xlsx]Book'!M64</f>
        <v/>
      </c>
      <c r="I64" s="3">
        <f>'[01_Entry.xlsx]Book'!K64</f>
        <v/>
      </c>
      <c r="J64" s="3">
        <f>'[01_Entry.xlsx]Book'!P64</f>
        <v/>
      </c>
      <c r="K64" s="3">
        <f>'[01_Entry.xlsx]Book'!F64</f>
        <v/>
      </c>
      <c r="L64" s="3">
        <f>'[01_Entry.xlsx]Book'!G64</f>
        <v/>
      </c>
      <c r="M64" s="3">
        <f>'[01_Entry.xlsx]Book'!I64</f>
        <v/>
      </c>
      <c r="N64" s="2">
        <f>IF($A64="","",MID($A64,6,2))</f>
        <v>0</v>
      </c>
      <c r="O64" s="2">
        <f>IF(OR($C64="",$C64&lt;&gt;'Inv'!$D$12),"",N(O$63)+1)</f>
        <v>0</v>
      </c>
    </row>
    <row r="65" spans="1:15">
      <c r="A65" s="2">
        <f>'[01_Entry.xlsx]Book'!A65</f>
        <v/>
      </c>
      <c r="B65" s="2">
        <f>'[01_Entry.xlsx]Book'!B65</f>
        <v/>
      </c>
      <c r="C65" s="2">
        <f>'[01_Entry.xlsx]Book'!D65</f>
        <v/>
      </c>
      <c r="D65" s="2">
        <f>'[01_Entry.xlsx]Book'!E65</f>
        <v/>
      </c>
      <c r="E65" s="2">
        <f>'[01_Entry.xlsx]Book'!O65</f>
        <v/>
      </c>
      <c r="F65" s="2">
        <f>'[01_Entry.xlsx]Book'!N65</f>
        <v/>
      </c>
      <c r="G65" s="3">
        <f>'[01_Entry.xlsx]Book'!L65</f>
        <v/>
      </c>
      <c r="H65" s="3">
        <f>'[01_Entry.xlsx]Book'!M65</f>
        <v/>
      </c>
      <c r="I65" s="3">
        <f>'[01_Entry.xlsx]Book'!K65</f>
        <v/>
      </c>
      <c r="J65" s="3">
        <f>'[01_Entry.xlsx]Book'!P65</f>
        <v/>
      </c>
      <c r="K65" s="3">
        <f>'[01_Entry.xlsx]Book'!F65</f>
        <v/>
      </c>
      <c r="L65" s="3">
        <f>'[01_Entry.xlsx]Book'!G65</f>
        <v/>
      </c>
      <c r="M65" s="3">
        <f>'[01_Entry.xlsx]Book'!I65</f>
        <v/>
      </c>
      <c r="N65" s="2">
        <f>IF($A65="","",MID($A65,6,2))</f>
        <v>0</v>
      </c>
      <c r="O65" s="2">
        <f>IF(OR($C65="",$C65&lt;&gt;'Inv'!$D$12),"",N(O$64)+1)</f>
        <v>0</v>
      </c>
    </row>
    <row r="66" spans="1:15">
      <c r="A66" s="2" t="str">
        <f>'[01_Entry.xlsx]Book'!A66</f>
        <v>1405/07/09</v>
      </c>
      <c r="B66" s="2" t="str">
        <f>'[01_Entry.xlsx]Book'!B66</f>
        <v>BS-015</v>
      </c>
      <c r="C66" s="2" t="str">
        <f>'[01_Entry.xlsx]Book'!D66</f>
        <v>SL001</v>
      </c>
      <c r="D66" s="2" t="str">
        <f>'[01_Entry.xlsx]Book'!E66</f>
        <v>هزینه باسکول پوز</v>
      </c>
      <c r="E66" s="2" t="str">
        <f>'[01_Entry.xlsx]Book'!O66</f>
        <v>بارفروش</v>
      </c>
      <c r="F66" s="2" t="str">
        <f>'[01_Entry.xlsx]Book'!N66</f>
        <v>فروش بار (بارفروش)</v>
      </c>
      <c r="G66" s="3">
        <f>'[01_Entry.xlsx]Book'!L66</f>
        <v>96000000.0</v>
      </c>
      <c r="H66" s="3">
        <f>'[01_Entry.xlsx]Book'!M66</f>
        <v/>
      </c>
      <c r="I66" s="3">
        <f>'[01_Entry.xlsx]Book'!K66</f>
        <v>96000000.0</v>
      </c>
      <c r="J66" s="3">
        <f>'[01_Entry.xlsx]Book'!P66</f>
        <v/>
      </c>
      <c r="K66" s="3" t="str">
        <f>'[01_Entry.xlsx]Book'!F66</f>
        <v>پرتقال تامسون</v>
      </c>
      <c r="L66" s="3">
        <f>'[01_Entry.xlsx]Book'!G66</f>
        <v>0</v>
      </c>
      <c r="M66" s="3">
        <f>'[01_Entry.xlsx]Book'!I66</f>
        <v>1600.0</v>
      </c>
      <c r="N66" s="2">
        <f>IF($A66="","",MID($A66,6,2))</f>
        <v>0</v>
      </c>
      <c r="O66" s="2">
        <f>IF(OR($C66="",$C66&lt;&gt;'Inv'!$D$12),"",N(O$65)+1)</f>
        <v>0</v>
      </c>
    </row>
    <row r="67" spans="1:15">
      <c r="A67" s="2" t="str">
        <f>'[01_Entry.xlsx]Book'!A67</f>
        <v>1405/07/09</v>
      </c>
      <c r="B67" s="2" t="str">
        <f>'[01_Entry.xlsx]Book'!B67</f>
        <v>BS-015</v>
      </c>
      <c r="C67" s="2" t="str">
        <f>'[01_Entry.xlsx]Book'!D67</f>
        <v>X006</v>
      </c>
      <c r="D67" s="2" t="str">
        <f>'[01_Entry.xlsx]Book'!E67</f>
        <v>مقابل: فروش بار (بارفروش)</v>
      </c>
      <c r="E67" s="2" t="str">
        <f>'[01_Entry.xlsx]Book'!O67</f>
        <v>سایر حساب</v>
      </c>
      <c r="F67" s="2" t="str">
        <f>'[01_Entry.xlsx]Book'!N67</f>
        <v>مقابل</v>
      </c>
      <c r="G67" s="3">
        <f>'[01_Entry.xlsx]Book'!L67</f>
        <v/>
      </c>
      <c r="H67" s="3">
        <f>'[01_Entry.xlsx]Book'!M67</f>
        <v>96000000.0</v>
      </c>
      <c r="I67" s="3">
        <f>'[01_Entry.xlsx]Book'!K67</f>
        <v>96000000.0</v>
      </c>
      <c r="J67" s="3">
        <f>'[01_Entry.xlsx]Book'!P67</f>
        <v/>
      </c>
      <c r="K67" s="3">
        <f>'[01_Entry.xlsx]Book'!F67</f>
        <v/>
      </c>
      <c r="L67" s="3">
        <f>'[01_Entry.xlsx]Book'!G67</f>
        <v/>
      </c>
      <c r="M67" s="3">
        <f>'[01_Entry.xlsx]Book'!I67</f>
        <v/>
      </c>
      <c r="N67" s="2">
        <f>IF($A67="","",MID($A67,6,2))</f>
        <v>0</v>
      </c>
      <c r="O67" s="2">
        <f>IF(OR($C67="",$C67&lt;&gt;'Inv'!$D$12),"",N(O$66)+1)</f>
        <v>0</v>
      </c>
    </row>
    <row r="68" spans="1:15">
      <c r="A68" s="2" t="str">
        <f>'[01_Entry.xlsx]Book'!A68</f>
        <v>1405/07/09</v>
      </c>
      <c r="B68" s="2" t="str">
        <f>'[01_Entry.xlsx]Book'!B68</f>
        <v>BS-015</v>
      </c>
      <c r="C68" s="2" t="str">
        <f>'[01_Entry.xlsx]Book'!D68</f>
        <v>BANK02</v>
      </c>
      <c r="D68" s="2" t="str">
        <f>'[01_Entry.xlsx]Book'!E68</f>
        <v>پوز باسکول — فروش بار (بارفروش)</v>
      </c>
      <c r="E68" s="2">
        <f>'[01_Entry.xlsx]Book'!O68</f>
        <v/>
      </c>
      <c r="F68" s="2" t="str">
        <f>'[01_Entry.xlsx]Book'!N68</f>
        <v>پوز</v>
      </c>
      <c r="G68" s="3">
        <f>'[01_Entry.xlsx]Book'!L68</f>
        <v>80000</v>
      </c>
      <c r="H68" s="3">
        <f>'[01_Entry.xlsx]Book'!M68</f>
        <v/>
      </c>
      <c r="I68" s="3">
        <f>'[01_Entry.xlsx]Book'!K68</f>
        <v>80000.0</v>
      </c>
      <c r="J68" s="3">
        <f>'[01_Entry.xlsx]Book'!P68</f>
        <v/>
      </c>
      <c r="K68" s="3">
        <f>'[01_Entry.xlsx]Book'!F68</f>
        <v/>
      </c>
      <c r="L68" s="3">
        <f>'[01_Entry.xlsx]Book'!G68</f>
        <v/>
      </c>
      <c r="M68" s="3">
        <f>'[01_Entry.xlsx]Book'!I68</f>
        <v/>
      </c>
      <c r="N68" s="2">
        <f>IF($A68="","",MID($A68,6,2))</f>
        <v>0</v>
      </c>
      <c r="O68" s="2">
        <f>IF(OR($C68="",$C68&lt;&gt;'Inv'!$D$12),"",N(O$67)+1)</f>
        <v>0</v>
      </c>
    </row>
    <row r="69" spans="1:15">
      <c r="A69" s="2" t="str">
        <f>'[01_Entry.xlsx]Book'!A69</f>
        <v>1405/07/09</v>
      </c>
      <c r="B69" s="2" t="str">
        <f>'[01_Entry.xlsx]Book'!B69</f>
        <v>BS-015</v>
      </c>
      <c r="C69" s="2" t="str">
        <f>'[01_Entry.xlsx]Book'!D69</f>
        <v>X002</v>
      </c>
      <c r="D69" s="2" t="str">
        <f>'[01_Entry.xlsx]Book'!E69</f>
        <v>مقابل پوز — فروش بار (بارفروش)</v>
      </c>
      <c r="E69" s="2" t="str">
        <f>'[01_Entry.xlsx]Book'!O69</f>
        <v>سایر حساب</v>
      </c>
      <c r="F69" s="2" t="str">
        <f>'[01_Entry.xlsx]Book'!N69</f>
        <v>مقابل پوز</v>
      </c>
      <c r="G69" s="3">
        <f>'[01_Entry.xlsx]Book'!L69</f>
        <v/>
      </c>
      <c r="H69" s="3">
        <f>'[01_Entry.xlsx]Book'!M69</f>
        <v>80000</v>
      </c>
      <c r="I69" s="3">
        <f>'[01_Entry.xlsx]Book'!K69</f>
        <v>80000.0</v>
      </c>
      <c r="J69" s="3">
        <f>'[01_Entry.xlsx]Book'!P69</f>
        <v/>
      </c>
      <c r="K69" s="3">
        <f>'[01_Entry.xlsx]Book'!F69</f>
        <v/>
      </c>
      <c r="L69" s="3">
        <f>'[01_Entry.xlsx]Book'!G69</f>
        <v/>
      </c>
      <c r="M69" s="3">
        <f>'[01_Entry.xlsx]Book'!I69</f>
        <v/>
      </c>
      <c r="N69" s="2">
        <f>IF($A69="","",MID($A69,6,2))</f>
        <v>0</v>
      </c>
      <c r="O69" s="2">
        <f>IF(OR($C69="",$C69&lt;&gt;'Inv'!$D$12),"",N(O$68)+1)</f>
        <v>0</v>
      </c>
    </row>
    <row r="70" spans="1:15">
      <c r="A70" s="2" t="str">
        <f>'[01_Entry.xlsx]Book'!A70</f>
        <v>1405/07/10</v>
      </c>
      <c r="B70" s="2" t="str">
        <f>'[01_Entry.xlsx]Book'!B70</f>
        <v>BS-016</v>
      </c>
      <c r="C70" s="2" t="str">
        <f>'[01_Entry.xlsx]Book'!D70</f>
        <v>C010</v>
      </c>
      <c r="D70" s="2">
        <f>'[01_Entry.xlsx]Book'!E70</f>
        <v/>
      </c>
      <c r="E70" s="2" t="str">
        <f>'[01_Entry.xlsx]Book'!O70</f>
        <v>باغدار</v>
      </c>
      <c r="F70" s="2" t="str">
        <f>'[01_Entry.xlsx]Book'!N70</f>
        <v>خرید مرکبات</v>
      </c>
      <c r="G70" s="3">
        <f>'[01_Entry.xlsx]Book'!L70</f>
        <v/>
      </c>
      <c r="H70" s="3">
        <f>'[01_Entry.xlsx]Book'!M70</f>
        <v>29930000.0</v>
      </c>
      <c r="I70" s="3">
        <f>'[01_Entry.xlsx]Book'!K70</f>
        <v>29930000.0</v>
      </c>
      <c r="J70" s="3">
        <f>'[01_Entry.xlsx]Book'!P70</f>
        <v/>
      </c>
      <c r="K70" s="3" t="str">
        <f>'[01_Entry.xlsx]Book'!F70</f>
        <v>پرتقال کاراکارا</v>
      </c>
      <c r="L70" s="3">
        <f>'[01_Entry.xlsx]Book'!G70</f>
        <v>58</v>
      </c>
      <c r="M70" s="3">
        <f>'[01_Entry.xlsx]Book'!I70</f>
        <v>831.4019999999999</v>
      </c>
      <c r="N70" s="2">
        <f>IF($A70="","",MID($A70,6,2))</f>
        <v>0</v>
      </c>
      <c r="O70" s="2">
        <f>IF(OR($C70="",$C70&lt;&gt;'Inv'!$D$12),"",N(O$69)+1)</f>
        <v>0</v>
      </c>
    </row>
    <row r="71" spans="1:15">
      <c r="A71" s="2" t="str">
        <f>'[01_Entry.xlsx]Book'!A71</f>
        <v>1405/07/10</v>
      </c>
      <c r="B71" s="2" t="str">
        <f>'[01_Entry.xlsx]Book'!B71</f>
        <v>BS-016</v>
      </c>
      <c r="C71" s="2" t="str">
        <f>'[01_Entry.xlsx]Book'!D71</f>
        <v>X004</v>
      </c>
      <c r="D71" s="2" t="str">
        <f>'[01_Entry.xlsx]Book'!E71</f>
        <v>مقابل: خرید مرکبات</v>
      </c>
      <c r="E71" s="2" t="str">
        <f>'[01_Entry.xlsx]Book'!O71</f>
        <v>سایر حساب</v>
      </c>
      <c r="F71" s="2" t="str">
        <f>'[01_Entry.xlsx]Book'!N71</f>
        <v>مقابل</v>
      </c>
      <c r="G71" s="3">
        <f>'[01_Entry.xlsx]Book'!L71</f>
        <v>29930000.0</v>
      </c>
      <c r="H71" s="3">
        <f>'[01_Entry.xlsx]Book'!M71</f>
        <v/>
      </c>
      <c r="I71" s="3">
        <f>'[01_Entry.xlsx]Book'!K71</f>
        <v>29930000.0</v>
      </c>
      <c r="J71" s="3">
        <f>'[01_Entry.xlsx]Book'!P71</f>
        <v/>
      </c>
      <c r="K71" s="3">
        <f>'[01_Entry.xlsx]Book'!F71</f>
        <v/>
      </c>
      <c r="L71" s="3">
        <f>'[01_Entry.xlsx]Book'!G71</f>
        <v/>
      </c>
      <c r="M71" s="3">
        <f>'[01_Entry.xlsx]Book'!I71</f>
        <v/>
      </c>
      <c r="N71" s="2">
        <f>IF($A71="","",MID($A71,6,2))</f>
        <v>0</v>
      </c>
      <c r="O71" s="2">
        <f>IF(OR($C71="",$C71&lt;&gt;'Inv'!$D$12),"",N(O$70)+1)</f>
        <v>0</v>
      </c>
    </row>
    <row r="72" spans="1:15">
      <c r="A72" s="2">
        <f>'[01_Entry.xlsx]Book'!A72</f>
        <v/>
      </c>
      <c r="B72" s="2">
        <f>'[01_Entry.xlsx]Book'!B72</f>
        <v/>
      </c>
      <c r="C72" s="2">
        <f>'[01_Entry.xlsx]Book'!D72</f>
        <v/>
      </c>
      <c r="D72" s="2">
        <f>'[01_Entry.xlsx]Book'!E72</f>
        <v/>
      </c>
      <c r="E72" s="2">
        <f>'[01_Entry.xlsx]Book'!O72</f>
        <v/>
      </c>
      <c r="F72" s="2">
        <f>'[01_Entry.xlsx]Book'!N72</f>
        <v/>
      </c>
      <c r="G72" s="3">
        <f>'[01_Entry.xlsx]Book'!L72</f>
        <v/>
      </c>
      <c r="H72" s="3">
        <f>'[01_Entry.xlsx]Book'!M72</f>
        <v/>
      </c>
      <c r="I72" s="3">
        <f>'[01_Entry.xlsx]Book'!K72</f>
        <v/>
      </c>
      <c r="J72" s="3">
        <f>'[01_Entry.xlsx]Book'!P72</f>
        <v/>
      </c>
      <c r="K72" s="3">
        <f>'[01_Entry.xlsx]Book'!F72</f>
        <v/>
      </c>
      <c r="L72" s="3">
        <f>'[01_Entry.xlsx]Book'!G72</f>
        <v/>
      </c>
      <c r="M72" s="3">
        <f>'[01_Entry.xlsx]Book'!I72</f>
        <v/>
      </c>
      <c r="N72" s="2">
        <f>IF($A72="","",MID($A72,6,2))</f>
        <v>0</v>
      </c>
      <c r="O72" s="2">
        <f>IF(OR($C72="",$C72&lt;&gt;'Inv'!$D$12),"",N(O$71)+1)</f>
        <v>0</v>
      </c>
    </row>
    <row r="73" spans="1:15">
      <c r="A73" s="2">
        <f>'[01_Entry.xlsx]Book'!A73</f>
        <v/>
      </c>
      <c r="B73" s="2">
        <f>'[01_Entry.xlsx]Book'!B73</f>
        <v/>
      </c>
      <c r="C73" s="2">
        <f>'[01_Entry.xlsx]Book'!D73</f>
        <v/>
      </c>
      <c r="D73" s="2">
        <f>'[01_Entry.xlsx]Book'!E73</f>
        <v/>
      </c>
      <c r="E73" s="2">
        <f>'[01_Entry.xlsx]Book'!O73</f>
        <v/>
      </c>
      <c r="F73" s="2">
        <f>'[01_Entry.xlsx]Book'!N73</f>
        <v/>
      </c>
      <c r="G73" s="3">
        <f>'[01_Entry.xlsx]Book'!L73</f>
        <v/>
      </c>
      <c r="H73" s="3">
        <f>'[01_Entry.xlsx]Book'!M73</f>
        <v/>
      </c>
      <c r="I73" s="3">
        <f>'[01_Entry.xlsx]Book'!K73</f>
        <v/>
      </c>
      <c r="J73" s="3">
        <f>'[01_Entry.xlsx]Book'!P73</f>
        <v/>
      </c>
      <c r="K73" s="3">
        <f>'[01_Entry.xlsx]Book'!F73</f>
        <v/>
      </c>
      <c r="L73" s="3">
        <f>'[01_Entry.xlsx]Book'!G73</f>
        <v/>
      </c>
      <c r="M73" s="3">
        <f>'[01_Entry.xlsx]Book'!I73</f>
        <v/>
      </c>
      <c r="N73" s="2">
        <f>IF($A73="","",MID($A73,6,2))</f>
        <v>0</v>
      </c>
      <c r="O73" s="2">
        <f>IF(OR($C73="",$C73&lt;&gt;'Inv'!$D$12),"",N(O$72)+1)</f>
        <v>0</v>
      </c>
    </row>
    <row r="74" spans="1:15">
      <c r="A74" s="2" t="str">
        <f>'[01_Entry.xlsx]Book'!A74</f>
        <v>1405/07/11</v>
      </c>
      <c r="B74" s="2" t="str">
        <f>'[01_Entry.xlsx]Book'!B74</f>
        <v>BS-017</v>
      </c>
      <c r="C74" s="2">
        <f>'[01_Entry.xlsx]Book'!D74</f>
        <v/>
      </c>
      <c r="D74" s="2" t="str">
        <f>'[01_Entry.xlsx]Book'!E74</f>
        <v>هزینه باسکول نقدی</v>
      </c>
      <c r="E74" s="2">
        <f>'[01_Entry.xlsx]Book'!O74</f>
        <v/>
      </c>
      <c r="F74" s="2" t="str">
        <f>'[01_Entry.xlsx]Book'!N74</f>
        <v>درآمد پوز باسکول (بدون طرف)</v>
      </c>
      <c r="G74" s="3">
        <f>'[01_Entry.xlsx]Book'!L74</f>
        <v/>
      </c>
      <c r="H74" s="3">
        <f>'[01_Entry.xlsx]Book'!M74</f>
        <v/>
      </c>
      <c r="I74" s="3">
        <f>'[01_Entry.xlsx]Book'!K74</f>
        <v>0.0</v>
      </c>
      <c r="J74" s="3">
        <f>'[01_Entry.xlsx]Book'!P74</f>
        <v/>
      </c>
      <c r="K74" s="3">
        <f>'[01_Entry.xlsx]Book'!F74</f>
        <v>0</v>
      </c>
      <c r="L74" s="3">
        <f>'[01_Entry.xlsx]Book'!G74</f>
        <v>0</v>
      </c>
      <c r="M74" s="3">
        <f>'[01_Entry.xlsx]Book'!I74</f>
        <v>0.0</v>
      </c>
      <c r="N74" s="2">
        <f>IF($A74="","",MID($A74,6,2))</f>
        <v>0</v>
      </c>
      <c r="O74" s="2">
        <f>IF(OR($C74="",$C74&lt;&gt;'Inv'!$D$12),"",N(O$73)+1)</f>
        <v>0</v>
      </c>
    </row>
    <row r="75" spans="1:15">
      <c r="A75" s="2" t="str">
        <f>'[01_Entry.xlsx]Book'!A75</f>
        <v>1405/07/11</v>
      </c>
      <c r="B75" s="2" t="str">
        <f>'[01_Entry.xlsx]Book'!B75</f>
        <v>BS-017</v>
      </c>
      <c r="C75" s="2">
        <f>'[01_Entry.xlsx]Book'!D75</f>
        <v/>
      </c>
      <c r="D75" s="2" t="str">
        <f>'[01_Entry.xlsx]Book'!E75</f>
        <v>مقابل: درآمد پوز باسکول (بدون طرف)</v>
      </c>
      <c r="E75" s="2">
        <f>'[01_Entry.xlsx]Book'!O75</f>
        <v/>
      </c>
      <c r="F75" s="2" t="str">
        <f>'[01_Entry.xlsx]Book'!N75</f>
        <v>مقابل</v>
      </c>
      <c r="G75" s="3">
        <f>'[01_Entry.xlsx]Book'!L75</f>
        <v/>
      </c>
      <c r="H75" s="3">
        <f>'[01_Entry.xlsx]Book'!M75</f>
        <v/>
      </c>
      <c r="I75" s="3">
        <f>'[01_Entry.xlsx]Book'!K75</f>
        <v>0.0</v>
      </c>
      <c r="J75" s="3">
        <f>'[01_Entry.xlsx]Book'!P75</f>
        <v/>
      </c>
      <c r="K75" s="3">
        <f>'[01_Entry.xlsx]Book'!F75</f>
        <v/>
      </c>
      <c r="L75" s="3">
        <f>'[01_Entry.xlsx]Book'!G75</f>
        <v/>
      </c>
      <c r="M75" s="3">
        <f>'[01_Entry.xlsx]Book'!I75</f>
        <v/>
      </c>
      <c r="N75" s="2">
        <f>IF($A75="","",MID($A75,6,2))</f>
        <v>0</v>
      </c>
      <c r="O75" s="2">
        <f>IF(OR($C75="",$C75&lt;&gt;'Inv'!$D$12),"",N(O$74)+1)</f>
        <v>0</v>
      </c>
    </row>
    <row r="76" spans="1:15">
      <c r="A76" s="2" t="str">
        <f>'[01_Entry.xlsx]Book'!A76</f>
        <v>1405/07/11</v>
      </c>
      <c r="B76" s="2" t="str">
        <f>'[01_Entry.xlsx]Book'!B76</f>
        <v>BS-017</v>
      </c>
      <c r="C76" s="2" t="str">
        <f>'[01_Entry.xlsx]Book'!D76</f>
        <v>BANK02</v>
      </c>
      <c r="D76" s="2" t="str">
        <f>'[01_Entry.xlsx]Book'!E76</f>
        <v>پوز باسکول — درآمد پوز باسکول (بدون طرف)</v>
      </c>
      <c r="E76" s="2">
        <f>'[01_Entry.xlsx]Book'!O76</f>
        <v/>
      </c>
      <c r="F76" s="2" t="str">
        <f>'[01_Entry.xlsx]Book'!N76</f>
        <v>پوز</v>
      </c>
      <c r="G76" s="3">
        <f>'[01_Entry.xlsx]Book'!L76</f>
        <v>300000</v>
      </c>
      <c r="H76" s="3">
        <f>'[01_Entry.xlsx]Book'!M76</f>
        <v/>
      </c>
      <c r="I76" s="3">
        <f>'[01_Entry.xlsx]Book'!K76</f>
        <v>300000.0</v>
      </c>
      <c r="J76" s="3">
        <f>'[01_Entry.xlsx]Book'!P76</f>
        <v/>
      </c>
      <c r="K76" s="3">
        <f>'[01_Entry.xlsx]Book'!F76</f>
        <v/>
      </c>
      <c r="L76" s="3">
        <f>'[01_Entry.xlsx]Book'!G76</f>
        <v/>
      </c>
      <c r="M76" s="3">
        <f>'[01_Entry.xlsx]Book'!I76</f>
        <v/>
      </c>
      <c r="N76" s="2">
        <f>IF($A76="","",MID($A76,6,2))</f>
        <v>0</v>
      </c>
      <c r="O76" s="2">
        <f>IF(OR($C76="",$C76&lt;&gt;'Inv'!$D$12),"",N(O$75)+1)</f>
        <v>0</v>
      </c>
    </row>
    <row r="77" spans="1:15">
      <c r="A77" s="2" t="str">
        <f>'[01_Entry.xlsx]Book'!A77</f>
        <v>1405/07/11</v>
      </c>
      <c r="B77" s="2" t="str">
        <f>'[01_Entry.xlsx]Book'!B77</f>
        <v>BS-017</v>
      </c>
      <c r="C77" s="2" t="str">
        <f>'[01_Entry.xlsx]Book'!D77</f>
        <v>X002</v>
      </c>
      <c r="D77" s="2" t="str">
        <f>'[01_Entry.xlsx]Book'!E77</f>
        <v>مقابل پوز — درآمد پوز باسکول (بدون طرف)</v>
      </c>
      <c r="E77" s="2" t="str">
        <f>'[01_Entry.xlsx]Book'!O77</f>
        <v>سایر حساب</v>
      </c>
      <c r="F77" s="2" t="str">
        <f>'[01_Entry.xlsx]Book'!N77</f>
        <v>مقابل پوز</v>
      </c>
      <c r="G77" s="3">
        <f>'[01_Entry.xlsx]Book'!L77</f>
        <v/>
      </c>
      <c r="H77" s="3">
        <f>'[01_Entry.xlsx]Book'!M77</f>
        <v>300000</v>
      </c>
      <c r="I77" s="3">
        <f>'[01_Entry.xlsx]Book'!K77</f>
        <v>300000.0</v>
      </c>
      <c r="J77" s="3">
        <f>'[01_Entry.xlsx]Book'!P77</f>
        <v/>
      </c>
      <c r="K77" s="3">
        <f>'[01_Entry.xlsx]Book'!F77</f>
        <v/>
      </c>
      <c r="L77" s="3">
        <f>'[01_Entry.xlsx]Book'!G77</f>
        <v/>
      </c>
      <c r="M77" s="3">
        <f>'[01_Entry.xlsx]Book'!I77</f>
        <v/>
      </c>
      <c r="N77" s="2">
        <f>IF($A77="","",MID($A77,6,2))</f>
        <v>0</v>
      </c>
      <c r="O77" s="2">
        <f>IF(OR($C77="",$C77&lt;&gt;'Inv'!$D$12),"",N(O$76)+1)</f>
        <v>0</v>
      </c>
    </row>
    <row r="78" spans="1:15">
      <c r="A78" s="2" t="str">
        <f>'[01_Entry.xlsx]Book'!A78</f>
        <v>1405/07/12</v>
      </c>
      <c r="B78" s="2" t="str">
        <f>'[01_Entry.xlsx]Book'!B78</f>
        <v>BS-018</v>
      </c>
      <c r="C78" s="2" t="str">
        <f>'[01_Entry.xlsx]Book'!D78</f>
        <v>C011</v>
      </c>
      <c r="D78" s="2">
        <f>'[01_Entry.xlsx]Book'!E78</f>
        <v/>
      </c>
      <c r="E78" s="2" t="str">
        <f>'[01_Entry.xlsx]Book'!O78</f>
        <v>باغدار</v>
      </c>
      <c r="F78" s="2" t="str">
        <f>'[01_Entry.xlsx]Book'!N78</f>
        <v>خرید مرکبات</v>
      </c>
      <c r="G78" s="3">
        <f>'[01_Entry.xlsx]Book'!L78</f>
        <v/>
      </c>
      <c r="H78" s="3">
        <f>'[01_Entry.xlsx]Book'!M78</f>
        <v>36757000.0</v>
      </c>
      <c r="I78" s="3">
        <f>'[01_Entry.xlsx]Book'!K78</f>
        <v>36757000.0</v>
      </c>
      <c r="J78" s="3">
        <f>'[01_Entry.xlsx]Book'!P78</f>
        <v/>
      </c>
      <c r="K78" s="3" t="str">
        <f>'[01_Entry.xlsx]Book'!F78</f>
        <v>پرتقال بیروتی</v>
      </c>
      <c r="L78" s="3">
        <f>'[01_Entry.xlsx]Book'!G78</f>
        <v>72</v>
      </c>
      <c r="M78" s="3">
        <f>'[01_Entry.xlsx]Book'!I78</f>
        <v>1081.08</v>
      </c>
      <c r="N78" s="2">
        <f>IF($A78="","",MID($A78,6,2))</f>
        <v>0</v>
      </c>
      <c r="O78" s="2">
        <f>IF(OR($C78="",$C78&lt;&gt;'Inv'!$D$12),"",N(O$77)+1)</f>
        <v>0</v>
      </c>
    </row>
    <row r="79" spans="1:15">
      <c r="A79" s="2" t="str">
        <f>'[01_Entry.xlsx]Book'!A79</f>
        <v>1405/07/12</v>
      </c>
      <c r="B79" s="2" t="str">
        <f>'[01_Entry.xlsx]Book'!B79</f>
        <v>BS-018</v>
      </c>
      <c r="C79" s="2" t="str">
        <f>'[01_Entry.xlsx]Book'!D79</f>
        <v>X004</v>
      </c>
      <c r="D79" s="2" t="str">
        <f>'[01_Entry.xlsx]Book'!E79</f>
        <v>مقابل: خرید مرکبات</v>
      </c>
      <c r="E79" s="2" t="str">
        <f>'[01_Entry.xlsx]Book'!O79</f>
        <v>سایر حساب</v>
      </c>
      <c r="F79" s="2" t="str">
        <f>'[01_Entry.xlsx]Book'!N79</f>
        <v>مقابل</v>
      </c>
      <c r="G79" s="3">
        <f>'[01_Entry.xlsx]Book'!L79</f>
        <v>36757000.0</v>
      </c>
      <c r="H79" s="3">
        <f>'[01_Entry.xlsx]Book'!M79</f>
        <v/>
      </c>
      <c r="I79" s="3">
        <f>'[01_Entry.xlsx]Book'!K79</f>
        <v>36757000.0</v>
      </c>
      <c r="J79" s="3">
        <f>'[01_Entry.xlsx]Book'!P79</f>
        <v/>
      </c>
      <c r="K79" s="3">
        <f>'[01_Entry.xlsx]Book'!F79</f>
        <v/>
      </c>
      <c r="L79" s="3">
        <f>'[01_Entry.xlsx]Book'!G79</f>
        <v/>
      </c>
      <c r="M79" s="3">
        <f>'[01_Entry.xlsx]Book'!I79</f>
        <v/>
      </c>
      <c r="N79" s="2">
        <f>IF($A79="","",MID($A79,6,2))</f>
        <v>0</v>
      </c>
      <c r="O79" s="2">
        <f>IF(OR($C79="",$C79&lt;&gt;'Inv'!$D$12),"",N(O$78)+1)</f>
        <v>0</v>
      </c>
    </row>
    <row r="80" spans="1:15">
      <c r="A80" s="2">
        <f>'[01_Entry.xlsx]Book'!A80</f>
        <v/>
      </c>
      <c r="B80" s="2">
        <f>'[01_Entry.xlsx]Book'!B80</f>
        <v/>
      </c>
      <c r="C80" s="2">
        <f>'[01_Entry.xlsx]Book'!D80</f>
        <v/>
      </c>
      <c r="D80" s="2">
        <f>'[01_Entry.xlsx]Book'!E80</f>
        <v/>
      </c>
      <c r="E80" s="2">
        <f>'[01_Entry.xlsx]Book'!O80</f>
        <v/>
      </c>
      <c r="F80" s="2">
        <f>'[01_Entry.xlsx]Book'!N80</f>
        <v/>
      </c>
      <c r="G80" s="3">
        <f>'[01_Entry.xlsx]Book'!L80</f>
        <v/>
      </c>
      <c r="H80" s="3">
        <f>'[01_Entry.xlsx]Book'!M80</f>
        <v/>
      </c>
      <c r="I80" s="3">
        <f>'[01_Entry.xlsx]Book'!K80</f>
        <v/>
      </c>
      <c r="J80" s="3">
        <f>'[01_Entry.xlsx]Book'!P80</f>
        <v/>
      </c>
      <c r="K80" s="3">
        <f>'[01_Entry.xlsx]Book'!F80</f>
        <v/>
      </c>
      <c r="L80" s="3">
        <f>'[01_Entry.xlsx]Book'!G80</f>
        <v/>
      </c>
      <c r="M80" s="3">
        <f>'[01_Entry.xlsx]Book'!I80</f>
        <v/>
      </c>
      <c r="N80" s="2">
        <f>IF($A80="","",MID($A80,6,2))</f>
        <v>0</v>
      </c>
      <c r="O80" s="2">
        <f>IF(OR($C80="",$C80&lt;&gt;'Inv'!$D$12),"",N(O$79)+1)</f>
        <v>0</v>
      </c>
    </row>
    <row r="81" spans="1:15">
      <c r="A81" s="2">
        <f>'[01_Entry.xlsx]Book'!A81</f>
        <v/>
      </c>
      <c r="B81" s="2">
        <f>'[01_Entry.xlsx]Book'!B81</f>
        <v/>
      </c>
      <c r="C81" s="2">
        <f>'[01_Entry.xlsx]Book'!D81</f>
        <v/>
      </c>
      <c r="D81" s="2">
        <f>'[01_Entry.xlsx]Book'!E81</f>
        <v/>
      </c>
      <c r="E81" s="2">
        <f>'[01_Entry.xlsx]Book'!O81</f>
        <v/>
      </c>
      <c r="F81" s="2">
        <f>'[01_Entry.xlsx]Book'!N81</f>
        <v/>
      </c>
      <c r="G81" s="3">
        <f>'[01_Entry.xlsx]Book'!L81</f>
        <v/>
      </c>
      <c r="H81" s="3">
        <f>'[01_Entry.xlsx]Book'!M81</f>
        <v/>
      </c>
      <c r="I81" s="3">
        <f>'[01_Entry.xlsx]Book'!K81</f>
        <v/>
      </c>
      <c r="J81" s="3">
        <f>'[01_Entry.xlsx]Book'!P81</f>
        <v/>
      </c>
      <c r="K81" s="3">
        <f>'[01_Entry.xlsx]Book'!F81</f>
        <v/>
      </c>
      <c r="L81" s="3">
        <f>'[01_Entry.xlsx]Book'!G81</f>
        <v/>
      </c>
      <c r="M81" s="3">
        <f>'[01_Entry.xlsx]Book'!I81</f>
        <v/>
      </c>
      <c r="N81" s="2">
        <f>IF($A81="","",MID($A81,6,2))</f>
        <v>0</v>
      </c>
      <c r="O81" s="2">
        <f>IF(OR($C81="",$C81&lt;&gt;'Inv'!$D$12),"",N(O$80)+1)</f>
        <v>0</v>
      </c>
    </row>
    <row r="82" spans="1:15">
      <c r="A82" s="2">
        <f>'[01_Entry.xlsx]Book'!A82</f>
        <v/>
      </c>
      <c r="B82" s="2">
        <f>'[01_Entry.xlsx]Book'!B82</f>
        <v/>
      </c>
      <c r="C82" s="2">
        <f>'[01_Entry.xlsx]Book'!D82</f>
        <v/>
      </c>
      <c r="D82" s="2">
        <f>'[01_Entry.xlsx]Book'!E82</f>
        <v/>
      </c>
      <c r="E82" s="2">
        <f>'[01_Entry.xlsx]Book'!O82</f>
        <v/>
      </c>
      <c r="F82" s="2">
        <f>'[01_Entry.xlsx]Book'!N82</f>
        <v/>
      </c>
      <c r="G82" s="3">
        <f>'[01_Entry.xlsx]Book'!L82</f>
        <v/>
      </c>
      <c r="H82" s="3">
        <f>'[01_Entry.xlsx]Book'!M82</f>
        <v/>
      </c>
      <c r="I82" s="3">
        <f>'[01_Entry.xlsx]Book'!K82</f>
        <v/>
      </c>
      <c r="J82" s="3">
        <f>'[01_Entry.xlsx]Book'!P82</f>
        <v/>
      </c>
      <c r="K82" s="3">
        <f>'[01_Entry.xlsx]Book'!F82</f>
        <v/>
      </c>
      <c r="L82" s="3">
        <f>'[01_Entry.xlsx]Book'!G82</f>
        <v/>
      </c>
      <c r="M82" s="3">
        <f>'[01_Entry.xlsx]Book'!I82</f>
        <v/>
      </c>
      <c r="N82" s="2">
        <f>IF($A82="","",MID($A82,6,2))</f>
        <v>0</v>
      </c>
      <c r="O82" s="2">
        <f>IF(OR($C82="",$C82&lt;&gt;'Inv'!$D$12),"",N(O$81)+1)</f>
        <v>0</v>
      </c>
    </row>
    <row r="83" spans="1:15">
      <c r="A83" s="2">
        <f>'[01_Entry.xlsx]Book'!A83</f>
        <v/>
      </c>
      <c r="B83" s="2">
        <f>'[01_Entry.xlsx]Book'!B83</f>
        <v/>
      </c>
      <c r="C83" s="2">
        <f>'[01_Entry.xlsx]Book'!D83</f>
        <v/>
      </c>
      <c r="D83" s="2">
        <f>'[01_Entry.xlsx]Book'!E83</f>
        <v/>
      </c>
      <c r="E83" s="2">
        <f>'[01_Entry.xlsx]Book'!O83</f>
        <v/>
      </c>
      <c r="F83" s="2">
        <f>'[01_Entry.xlsx]Book'!N83</f>
        <v/>
      </c>
      <c r="G83" s="3">
        <f>'[01_Entry.xlsx]Book'!L83</f>
        <v/>
      </c>
      <c r="H83" s="3">
        <f>'[01_Entry.xlsx]Book'!M83</f>
        <v/>
      </c>
      <c r="I83" s="3">
        <f>'[01_Entry.xlsx]Book'!K83</f>
        <v/>
      </c>
      <c r="J83" s="3">
        <f>'[01_Entry.xlsx]Book'!P83</f>
        <v/>
      </c>
      <c r="K83" s="3">
        <f>'[01_Entry.xlsx]Book'!F83</f>
        <v/>
      </c>
      <c r="L83" s="3">
        <f>'[01_Entry.xlsx]Book'!G83</f>
        <v/>
      </c>
      <c r="M83" s="3">
        <f>'[01_Entry.xlsx]Book'!I83</f>
        <v/>
      </c>
      <c r="N83" s="2">
        <f>IF($A83="","",MID($A83,6,2))</f>
        <v>0</v>
      </c>
      <c r="O83" s="2">
        <f>IF(OR($C83="",$C83&lt;&gt;'Inv'!$D$12),"",N(O$82)+1)</f>
        <v>0</v>
      </c>
    </row>
    <row r="84" spans="1:15">
      <c r="A84" s="2">
        <f>'[01_Entry.xlsx]Book'!A84</f>
        <v/>
      </c>
      <c r="B84" s="2">
        <f>'[01_Entry.xlsx]Book'!B84</f>
        <v/>
      </c>
      <c r="C84" s="2">
        <f>'[01_Entry.xlsx]Book'!D84</f>
        <v/>
      </c>
      <c r="D84" s="2">
        <f>'[01_Entry.xlsx]Book'!E84</f>
        <v/>
      </c>
      <c r="E84" s="2">
        <f>'[01_Entry.xlsx]Book'!O84</f>
        <v/>
      </c>
      <c r="F84" s="2">
        <f>'[01_Entry.xlsx]Book'!N84</f>
        <v/>
      </c>
      <c r="G84" s="3">
        <f>'[01_Entry.xlsx]Book'!L84</f>
        <v/>
      </c>
      <c r="H84" s="3">
        <f>'[01_Entry.xlsx]Book'!M84</f>
        <v/>
      </c>
      <c r="I84" s="3">
        <f>'[01_Entry.xlsx]Book'!K84</f>
        <v/>
      </c>
      <c r="J84" s="3">
        <f>'[01_Entry.xlsx]Book'!P84</f>
        <v/>
      </c>
      <c r="K84" s="3">
        <f>'[01_Entry.xlsx]Book'!F84</f>
        <v/>
      </c>
      <c r="L84" s="3">
        <f>'[01_Entry.xlsx]Book'!G84</f>
        <v/>
      </c>
      <c r="M84" s="3">
        <f>'[01_Entry.xlsx]Book'!I84</f>
        <v/>
      </c>
      <c r="N84" s="2">
        <f>IF($A84="","",MID($A84,6,2))</f>
        <v>0</v>
      </c>
      <c r="O84" s="2">
        <f>IF(OR($C84="",$C84&lt;&gt;'Inv'!$D$12),"",N(O$83)+1)</f>
        <v>0</v>
      </c>
    </row>
    <row r="85" spans="1:15">
      <c r="A85" s="2">
        <f>'[01_Entry.xlsx]Book'!A85</f>
        <v/>
      </c>
      <c r="B85" s="2">
        <f>'[01_Entry.xlsx]Book'!B85</f>
        <v/>
      </c>
      <c r="C85" s="2">
        <f>'[01_Entry.xlsx]Book'!D85</f>
        <v/>
      </c>
      <c r="D85" s="2">
        <f>'[01_Entry.xlsx]Book'!E85</f>
        <v/>
      </c>
      <c r="E85" s="2">
        <f>'[01_Entry.xlsx]Book'!O85</f>
        <v/>
      </c>
      <c r="F85" s="2">
        <f>'[01_Entry.xlsx]Book'!N85</f>
        <v/>
      </c>
      <c r="G85" s="3">
        <f>'[01_Entry.xlsx]Book'!L85</f>
        <v/>
      </c>
      <c r="H85" s="3">
        <f>'[01_Entry.xlsx]Book'!M85</f>
        <v/>
      </c>
      <c r="I85" s="3">
        <f>'[01_Entry.xlsx]Book'!K85</f>
        <v/>
      </c>
      <c r="J85" s="3">
        <f>'[01_Entry.xlsx]Book'!P85</f>
        <v/>
      </c>
      <c r="K85" s="3">
        <f>'[01_Entry.xlsx]Book'!F85</f>
        <v/>
      </c>
      <c r="L85" s="3">
        <f>'[01_Entry.xlsx]Book'!G85</f>
        <v/>
      </c>
      <c r="M85" s="3">
        <f>'[01_Entry.xlsx]Book'!I85</f>
        <v/>
      </c>
      <c r="N85" s="2">
        <f>IF($A85="","",MID($A85,6,2))</f>
        <v>0</v>
      </c>
      <c r="O85" s="2">
        <f>IF(OR($C85="",$C85&lt;&gt;'Inv'!$D$12),"",N(O$84)+1)</f>
        <v>0</v>
      </c>
    </row>
    <row r="86" spans="1:15">
      <c r="A86" s="2">
        <f>'[01_Entry.xlsx]Book'!A86</f>
        <v/>
      </c>
      <c r="B86" s="2">
        <f>'[01_Entry.xlsx]Book'!B86</f>
        <v/>
      </c>
      <c r="C86" s="2">
        <f>'[01_Entry.xlsx]Book'!D86</f>
        <v/>
      </c>
      <c r="D86" s="2">
        <f>'[01_Entry.xlsx]Book'!E86</f>
        <v/>
      </c>
      <c r="E86" s="2">
        <f>'[01_Entry.xlsx]Book'!O86</f>
        <v/>
      </c>
      <c r="F86" s="2">
        <f>'[01_Entry.xlsx]Book'!N86</f>
        <v/>
      </c>
      <c r="G86" s="3">
        <f>'[01_Entry.xlsx]Book'!L86</f>
        <v/>
      </c>
      <c r="H86" s="3">
        <f>'[01_Entry.xlsx]Book'!M86</f>
        <v/>
      </c>
      <c r="I86" s="3">
        <f>'[01_Entry.xlsx]Book'!K86</f>
        <v/>
      </c>
      <c r="J86" s="3">
        <f>'[01_Entry.xlsx]Book'!P86</f>
        <v/>
      </c>
      <c r="K86" s="3">
        <f>'[01_Entry.xlsx]Book'!F86</f>
        <v/>
      </c>
      <c r="L86" s="3">
        <f>'[01_Entry.xlsx]Book'!G86</f>
        <v/>
      </c>
      <c r="M86" s="3">
        <f>'[01_Entry.xlsx]Book'!I86</f>
        <v/>
      </c>
      <c r="N86" s="2">
        <f>IF($A86="","",MID($A86,6,2))</f>
        <v>0</v>
      </c>
      <c r="O86" s="2">
        <f>IF(OR($C86="",$C86&lt;&gt;'Inv'!$D$12),"",N(O$85)+1)</f>
        <v>0</v>
      </c>
    </row>
    <row r="87" spans="1:15">
      <c r="A87" s="2">
        <f>'[01_Entry.xlsx]Book'!A87</f>
        <v/>
      </c>
      <c r="B87" s="2">
        <f>'[01_Entry.xlsx]Book'!B87</f>
        <v/>
      </c>
      <c r="C87" s="2">
        <f>'[01_Entry.xlsx]Book'!D87</f>
        <v/>
      </c>
      <c r="D87" s="2">
        <f>'[01_Entry.xlsx]Book'!E87</f>
        <v/>
      </c>
      <c r="E87" s="2">
        <f>'[01_Entry.xlsx]Book'!O87</f>
        <v/>
      </c>
      <c r="F87" s="2">
        <f>'[01_Entry.xlsx]Book'!N87</f>
        <v/>
      </c>
      <c r="G87" s="3">
        <f>'[01_Entry.xlsx]Book'!L87</f>
        <v/>
      </c>
      <c r="H87" s="3">
        <f>'[01_Entry.xlsx]Book'!M87</f>
        <v/>
      </c>
      <c r="I87" s="3">
        <f>'[01_Entry.xlsx]Book'!K87</f>
        <v/>
      </c>
      <c r="J87" s="3">
        <f>'[01_Entry.xlsx]Book'!P87</f>
        <v/>
      </c>
      <c r="K87" s="3">
        <f>'[01_Entry.xlsx]Book'!F87</f>
        <v/>
      </c>
      <c r="L87" s="3">
        <f>'[01_Entry.xlsx]Book'!G87</f>
        <v/>
      </c>
      <c r="M87" s="3">
        <f>'[01_Entry.xlsx]Book'!I87</f>
        <v/>
      </c>
      <c r="N87" s="2">
        <f>IF($A87="","",MID($A87,6,2))</f>
        <v>0</v>
      </c>
      <c r="O87" s="2">
        <f>IF(OR($C87="",$C87&lt;&gt;'Inv'!$D$12),"",N(O$86)+1)</f>
        <v>0</v>
      </c>
    </row>
    <row r="88" spans="1:15">
      <c r="A88" s="2">
        <f>'[01_Entry.xlsx]Book'!A88</f>
        <v/>
      </c>
      <c r="B88" s="2">
        <f>'[01_Entry.xlsx]Book'!B88</f>
        <v/>
      </c>
      <c r="C88" s="2">
        <f>'[01_Entry.xlsx]Book'!D88</f>
        <v/>
      </c>
      <c r="D88" s="2">
        <f>'[01_Entry.xlsx]Book'!E88</f>
        <v/>
      </c>
      <c r="E88" s="2">
        <f>'[01_Entry.xlsx]Book'!O88</f>
        <v/>
      </c>
      <c r="F88" s="2">
        <f>'[01_Entry.xlsx]Book'!N88</f>
        <v/>
      </c>
      <c r="G88" s="3">
        <f>'[01_Entry.xlsx]Book'!L88</f>
        <v/>
      </c>
      <c r="H88" s="3">
        <f>'[01_Entry.xlsx]Book'!M88</f>
        <v/>
      </c>
      <c r="I88" s="3">
        <f>'[01_Entry.xlsx]Book'!K88</f>
        <v/>
      </c>
      <c r="J88" s="3">
        <f>'[01_Entry.xlsx]Book'!P88</f>
        <v/>
      </c>
      <c r="K88" s="3">
        <f>'[01_Entry.xlsx]Book'!F88</f>
        <v/>
      </c>
      <c r="L88" s="3">
        <f>'[01_Entry.xlsx]Book'!G88</f>
        <v/>
      </c>
      <c r="M88" s="3">
        <f>'[01_Entry.xlsx]Book'!I88</f>
        <v/>
      </c>
      <c r="N88" s="2">
        <f>IF($A88="","",MID($A88,6,2))</f>
        <v>0</v>
      </c>
      <c r="O88" s="2">
        <f>IF(OR($C88="",$C88&lt;&gt;'Inv'!$D$12),"",N(O$87)+1)</f>
        <v>0</v>
      </c>
    </row>
    <row r="89" spans="1:15">
      <c r="A89" s="2">
        <f>'[01_Entry.xlsx]Book'!A89</f>
        <v/>
      </c>
      <c r="B89" s="2">
        <f>'[01_Entry.xlsx]Book'!B89</f>
        <v/>
      </c>
      <c r="C89" s="2">
        <f>'[01_Entry.xlsx]Book'!D89</f>
        <v/>
      </c>
      <c r="D89" s="2">
        <f>'[01_Entry.xlsx]Book'!E89</f>
        <v/>
      </c>
      <c r="E89" s="2">
        <f>'[01_Entry.xlsx]Book'!O89</f>
        <v/>
      </c>
      <c r="F89" s="2">
        <f>'[01_Entry.xlsx]Book'!N89</f>
        <v/>
      </c>
      <c r="G89" s="3">
        <f>'[01_Entry.xlsx]Book'!L89</f>
        <v/>
      </c>
      <c r="H89" s="3">
        <f>'[01_Entry.xlsx]Book'!M89</f>
        <v/>
      </c>
      <c r="I89" s="3">
        <f>'[01_Entry.xlsx]Book'!K89</f>
        <v/>
      </c>
      <c r="J89" s="3">
        <f>'[01_Entry.xlsx]Book'!P89</f>
        <v/>
      </c>
      <c r="K89" s="3">
        <f>'[01_Entry.xlsx]Book'!F89</f>
        <v/>
      </c>
      <c r="L89" s="3">
        <f>'[01_Entry.xlsx]Book'!G89</f>
        <v/>
      </c>
      <c r="M89" s="3">
        <f>'[01_Entry.xlsx]Book'!I89</f>
        <v/>
      </c>
      <c r="N89" s="2">
        <f>IF($A89="","",MID($A89,6,2))</f>
        <v>0</v>
      </c>
      <c r="O89" s="2">
        <f>IF(OR($C89="",$C89&lt;&gt;'Inv'!$D$12),"",N(O$88)+1)</f>
        <v>0</v>
      </c>
    </row>
    <row r="90" spans="1:15">
      <c r="A90" s="2">
        <f>'[01_Entry.xlsx]Book'!A90</f>
        <v/>
      </c>
      <c r="B90" s="2">
        <f>'[01_Entry.xlsx]Book'!B90</f>
        <v/>
      </c>
      <c r="C90" s="2">
        <f>'[01_Entry.xlsx]Book'!D90</f>
        <v/>
      </c>
      <c r="D90" s="2">
        <f>'[01_Entry.xlsx]Book'!E90</f>
        <v/>
      </c>
      <c r="E90" s="2">
        <f>'[01_Entry.xlsx]Book'!O90</f>
        <v/>
      </c>
      <c r="F90" s="2">
        <f>'[01_Entry.xlsx]Book'!N90</f>
        <v/>
      </c>
      <c r="G90" s="3">
        <f>'[01_Entry.xlsx]Book'!L90</f>
        <v/>
      </c>
      <c r="H90" s="3">
        <f>'[01_Entry.xlsx]Book'!M90</f>
        <v/>
      </c>
      <c r="I90" s="3">
        <f>'[01_Entry.xlsx]Book'!K90</f>
        <v/>
      </c>
      <c r="J90" s="3">
        <f>'[01_Entry.xlsx]Book'!P90</f>
        <v/>
      </c>
      <c r="K90" s="3">
        <f>'[01_Entry.xlsx]Book'!F90</f>
        <v/>
      </c>
      <c r="L90" s="3">
        <f>'[01_Entry.xlsx]Book'!G90</f>
        <v/>
      </c>
      <c r="M90" s="3">
        <f>'[01_Entry.xlsx]Book'!I90</f>
        <v/>
      </c>
      <c r="N90" s="2">
        <f>IF($A90="","",MID($A90,6,2))</f>
        <v>0</v>
      </c>
      <c r="O90" s="2">
        <f>IF(OR($C90="",$C90&lt;&gt;'Inv'!$D$12),"",N(O$89)+1)</f>
        <v>0</v>
      </c>
    </row>
    <row r="91" spans="1:15">
      <c r="A91" s="2">
        <f>'[01_Entry.xlsx]Book'!A91</f>
        <v/>
      </c>
      <c r="B91" s="2">
        <f>'[01_Entry.xlsx]Book'!B91</f>
        <v/>
      </c>
      <c r="C91" s="2">
        <f>'[01_Entry.xlsx]Book'!D91</f>
        <v/>
      </c>
      <c r="D91" s="2">
        <f>'[01_Entry.xlsx]Book'!E91</f>
        <v/>
      </c>
      <c r="E91" s="2">
        <f>'[01_Entry.xlsx]Book'!O91</f>
        <v/>
      </c>
      <c r="F91" s="2">
        <f>'[01_Entry.xlsx]Book'!N91</f>
        <v/>
      </c>
      <c r="G91" s="3">
        <f>'[01_Entry.xlsx]Book'!L91</f>
        <v/>
      </c>
      <c r="H91" s="3">
        <f>'[01_Entry.xlsx]Book'!M91</f>
        <v/>
      </c>
      <c r="I91" s="3">
        <f>'[01_Entry.xlsx]Book'!K91</f>
        <v/>
      </c>
      <c r="J91" s="3">
        <f>'[01_Entry.xlsx]Book'!P91</f>
        <v/>
      </c>
      <c r="K91" s="3">
        <f>'[01_Entry.xlsx]Book'!F91</f>
        <v/>
      </c>
      <c r="L91" s="3">
        <f>'[01_Entry.xlsx]Book'!G91</f>
        <v/>
      </c>
      <c r="M91" s="3">
        <f>'[01_Entry.xlsx]Book'!I91</f>
        <v/>
      </c>
      <c r="N91" s="2">
        <f>IF($A91="","",MID($A91,6,2))</f>
        <v>0</v>
      </c>
      <c r="O91" s="2">
        <f>IF(OR($C91="",$C91&lt;&gt;'Inv'!$D$12),"",N(O$90)+1)</f>
        <v>0</v>
      </c>
    </row>
    <row r="92" spans="1:15">
      <c r="A92" s="2">
        <f>'[01_Entry.xlsx]Book'!A92</f>
        <v/>
      </c>
      <c r="B92" s="2">
        <f>'[01_Entry.xlsx]Book'!B92</f>
        <v/>
      </c>
      <c r="C92" s="2">
        <f>'[01_Entry.xlsx]Book'!D92</f>
        <v/>
      </c>
      <c r="D92" s="2">
        <f>'[01_Entry.xlsx]Book'!E92</f>
        <v/>
      </c>
      <c r="E92" s="2">
        <f>'[01_Entry.xlsx]Book'!O92</f>
        <v/>
      </c>
      <c r="F92" s="2">
        <f>'[01_Entry.xlsx]Book'!N92</f>
        <v/>
      </c>
      <c r="G92" s="3">
        <f>'[01_Entry.xlsx]Book'!L92</f>
        <v/>
      </c>
      <c r="H92" s="3">
        <f>'[01_Entry.xlsx]Book'!M92</f>
        <v/>
      </c>
      <c r="I92" s="3">
        <f>'[01_Entry.xlsx]Book'!K92</f>
        <v/>
      </c>
      <c r="J92" s="3">
        <f>'[01_Entry.xlsx]Book'!P92</f>
        <v/>
      </c>
      <c r="K92" s="3">
        <f>'[01_Entry.xlsx]Book'!F92</f>
        <v/>
      </c>
      <c r="L92" s="3">
        <f>'[01_Entry.xlsx]Book'!G92</f>
        <v/>
      </c>
      <c r="M92" s="3">
        <f>'[01_Entry.xlsx]Book'!I92</f>
        <v/>
      </c>
      <c r="N92" s="2">
        <f>IF($A92="","",MID($A92,6,2))</f>
        <v>0</v>
      </c>
      <c r="O92" s="2">
        <f>IF(OR($C92="",$C92&lt;&gt;'Inv'!$D$12),"",N(O$91)+1)</f>
        <v>0</v>
      </c>
    </row>
    <row r="93" spans="1:15">
      <c r="A93" s="2">
        <f>'[01_Entry.xlsx]Book'!A93</f>
        <v/>
      </c>
      <c r="B93" s="2">
        <f>'[01_Entry.xlsx]Book'!B93</f>
        <v/>
      </c>
      <c r="C93" s="2">
        <f>'[01_Entry.xlsx]Book'!D93</f>
        <v/>
      </c>
      <c r="D93" s="2">
        <f>'[01_Entry.xlsx]Book'!E93</f>
        <v/>
      </c>
      <c r="E93" s="2">
        <f>'[01_Entry.xlsx]Book'!O93</f>
        <v/>
      </c>
      <c r="F93" s="2">
        <f>'[01_Entry.xlsx]Book'!N93</f>
        <v/>
      </c>
      <c r="G93" s="3">
        <f>'[01_Entry.xlsx]Book'!L93</f>
        <v/>
      </c>
      <c r="H93" s="3">
        <f>'[01_Entry.xlsx]Book'!M93</f>
        <v/>
      </c>
      <c r="I93" s="3">
        <f>'[01_Entry.xlsx]Book'!K93</f>
        <v/>
      </c>
      <c r="J93" s="3">
        <f>'[01_Entry.xlsx]Book'!P93</f>
        <v/>
      </c>
      <c r="K93" s="3">
        <f>'[01_Entry.xlsx]Book'!F93</f>
        <v/>
      </c>
      <c r="L93" s="3">
        <f>'[01_Entry.xlsx]Book'!G93</f>
        <v/>
      </c>
      <c r="M93" s="3">
        <f>'[01_Entry.xlsx]Book'!I93</f>
        <v/>
      </c>
      <c r="N93" s="2">
        <f>IF($A93="","",MID($A93,6,2))</f>
        <v>0</v>
      </c>
      <c r="O93" s="2">
        <f>IF(OR($C93="",$C93&lt;&gt;'Inv'!$D$12),"",N(O$92)+1)</f>
        <v>0</v>
      </c>
    </row>
    <row r="94" spans="1:15">
      <c r="A94" s="2">
        <f>'[01_Entry.xlsx]Book'!A94</f>
        <v/>
      </c>
      <c r="B94" s="2">
        <f>'[01_Entry.xlsx]Book'!B94</f>
        <v/>
      </c>
      <c r="C94" s="2">
        <f>'[01_Entry.xlsx]Book'!D94</f>
        <v/>
      </c>
      <c r="D94" s="2">
        <f>'[01_Entry.xlsx]Book'!E94</f>
        <v/>
      </c>
      <c r="E94" s="2">
        <f>'[01_Entry.xlsx]Book'!O94</f>
        <v/>
      </c>
      <c r="F94" s="2">
        <f>'[01_Entry.xlsx]Book'!N94</f>
        <v/>
      </c>
      <c r="G94" s="3">
        <f>'[01_Entry.xlsx]Book'!L94</f>
        <v/>
      </c>
      <c r="H94" s="3">
        <f>'[01_Entry.xlsx]Book'!M94</f>
        <v/>
      </c>
      <c r="I94" s="3">
        <f>'[01_Entry.xlsx]Book'!K94</f>
        <v/>
      </c>
      <c r="J94" s="3">
        <f>'[01_Entry.xlsx]Book'!P94</f>
        <v/>
      </c>
      <c r="K94" s="3">
        <f>'[01_Entry.xlsx]Book'!F94</f>
        <v/>
      </c>
      <c r="L94" s="3">
        <f>'[01_Entry.xlsx]Book'!G94</f>
        <v/>
      </c>
      <c r="M94" s="3">
        <f>'[01_Entry.xlsx]Book'!I94</f>
        <v/>
      </c>
      <c r="N94" s="2">
        <f>IF($A94="","",MID($A94,6,2))</f>
        <v>0</v>
      </c>
      <c r="O94" s="2">
        <f>IF(OR($C94="",$C94&lt;&gt;'Inv'!$D$12),"",N(O$93)+1)</f>
        <v>0</v>
      </c>
    </row>
    <row r="95" spans="1:15">
      <c r="A95" s="2">
        <f>'[01_Entry.xlsx]Book'!A95</f>
        <v/>
      </c>
      <c r="B95" s="2">
        <f>'[01_Entry.xlsx]Book'!B95</f>
        <v/>
      </c>
      <c r="C95" s="2">
        <f>'[01_Entry.xlsx]Book'!D95</f>
        <v/>
      </c>
      <c r="D95" s="2">
        <f>'[01_Entry.xlsx]Book'!E95</f>
        <v/>
      </c>
      <c r="E95" s="2">
        <f>'[01_Entry.xlsx]Book'!O95</f>
        <v/>
      </c>
      <c r="F95" s="2">
        <f>'[01_Entry.xlsx]Book'!N95</f>
        <v/>
      </c>
      <c r="G95" s="3">
        <f>'[01_Entry.xlsx]Book'!L95</f>
        <v/>
      </c>
      <c r="H95" s="3">
        <f>'[01_Entry.xlsx]Book'!M95</f>
        <v/>
      </c>
      <c r="I95" s="3">
        <f>'[01_Entry.xlsx]Book'!K95</f>
        <v/>
      </c>
      <c r="J95" s="3">
        <f>'[01_Entry.xlsx]Book'!P95</f>
        <v/>
      </c>
      <c r="K95" s="3">
        <f>'[01_Entry.xlsx]Book'!F95</f>
        <v/>
      </c>
      <c r="L95" s="3">
        <f>'[01_Entry.xlsx]Book'!G95</f>
        <v/>
      </c>
      <c r="M95" s="3">
        <f>'[01_Entry.xlsx]Book'!I95</f>
        <v/>
      </c>
      <c r="N95" s="2">
        <f>IF($A95="","",MID($A95,6,2))</f>
        <v>0</v>
      </c>
      <c r="O95" s="2">
        <f>IF(OR($C95="",$C95&lt;&gt;'Inv'!$D$12),"",N(O$94)+1)</f>
        <v>0</v>
      </c>
    </row>
    <row r="96" spans="1:15">
      <c r="A96" s="2">
        <f>'[01_Entry.xlsx]Book'!A96</f>
        <v/>
      </c>
      <c r="B96" s="2">
        <f>'[01_Entry.xlsx]Book'!B96</f>
        <v/>
      </c>
      <c r="C96" s="2">
        <f>'[01_Entry.xlsx]Book'!D96</f>
        <v/>
      </c>
      <c r="D96" s="2">
        <f>'[01_Entry.xlsx]Book'!E96</f>
        <v/>
      </c>
      <c r="E96" s="2">
        <f>'[01_Entry.xlsx]Book'!O96</f>
        <v/>
      </c>
      <c r="F96" s="2">
        <f>'[01_Entry.xlsx]Book'!N96</f>
        <v/>
      </c>
      <c r="G96" s="3">
        <f>'[01_Entry.xlsx]Book'!L96</f>
        <v/>
      </c>
      <c r="H96" s="3">
        <f>'[01_Entry.xlsx]Book'!M96</f>
        <v/>
      </c>
      <c r="I96" s="3">
        <f>'[01_Entry.xlsx]Book'!K96</f>
        <v/>
      </c>
      <c r="J96" s="3">
        <f>'[01_Entry.xlsx]Book'!P96</f>
        <v/>
      </c>
      <c r="K96" s="3">
        <f>'[01_Entry.xlsx]Book'!F96</f>
        <v/>
      </c>
      <c r="L96" s="3">
        <f>'[01_Entry.xlsx]Book'!G96</f>
        <v/>
      </c>
      <c r="M96" s="3">
        <f>'[01_Entry.xlsx]Book'!I96</f>
        <v/>
      </c>
      <c r="N96" s="2">
        <f>IF($A96="","",MID($A96,6,2))</f>
        <v>0</v>
      </c>
      <c r="O96" s="2">
        <f>IF(OR($C96="",$C96&lt;&gt;'Inv'!$D$12),"",N(O$95)+1)</f>
        <v>0</v>
      </c>
    </row>
    <row r="97" spans="1:15">
      <c r="A97" s="2">
        <f>'[01_Entry.xlsx]Book'!A97</f>
        <v/>
      </c>
      <c r="B97" s="2">
        <f>'[01_Entry.xlsx]Book'!B97</f>
        <v/>
      </c>
      <c r="C97" s="2">
        <f>'[01_Entry.xlsx]Book'!D97</f>
        <v/>
      </c>
      <c r="D97" s="2">
        <f>'[01_Entry.xlsx]Book'!E97</f>
        <v/>
      </c>
      <c r="E97" s="2">
        <f>'[01_Entry.xlsx]Book'!O97</f>
        <v/>
      </c>
      <c r="F97" s="2">
        <f>'[01_Entry.xlsx]Book'!N97</f>
        <v/>
      </c>
      <c r="G97" s="3">
        <f>'[01_Entry.xlsx]Book'!L97</f>
        <v/>
      </c>
      <c r="H97" s="3">
        <f>'[01_Entry.xlsx]Book'!M97</f>
        <v/>
      </c>
      <c r="I97" s="3">
        <f>'[01_Entry.xlsx]Book'!K97</f>
        <v/>
      </c>
      <c r="J97" s="3">
        <f>'[01_Entry.xlsx]Book'!P97</f>
        <v/>
      </c>
      <c r="K97" s="3">
        <f>'[01_Entry.xlsx]Book'!F97</f>
        <v/>
      </c>
      <c r="L97" s="3">
        <f>'[01_Entry.xlsx]Book'!G97</f>
        <v/>
      </c>
      <c r="M97" s="3">
        <f>'[01_Entry.xlsx]Book'!I97</f>
        <v/>
      </c>
      <c r="N97" s="2">
        <f>IF($A97="","",MID($A97,6,2))</f>
        <v>0</v>
      </c>
      <c r="O97" s="2">
        <f>IF(OR($C97="",$C97&lt;&gt;'Inv'!$D$12),"",N(O$96)+1)</f>
        <v>0</v>
      </c>
    </row>
    <row r="98" spans="1:15">
      <c r="A98" s="2">
        <f>'[01_Entry.xlsx]Book'!A98</f>
        <v/>
      </c>
      <c r="B98" s="2">
        <f>'[01_Entry.xlsx]Book'!B98</f>
        <v/>
      </c>
      <c r="C98" s="2">
        <f>'[01_Entry.xlsx]Book'!D98</f>
        <v/>
      </c>
      <c r="D98" s="2">
        <f>'[01_Entry.xlsx]Book'!E98</f>
        <v/>
      </c>
      <c r="E98" s="2">
        <f>'[01_Entry.xlsx]Book'!O98</f>
        <v/>
      </c>
      <c r="F98" s="2">
        <f>'[01_Entry.xlsx]Book'!N98</f>
        <v/>
      </c>
      <c r="G98" s="3">
        <f>'[01_Entry.xlsx]Book'!L98</f>
        <v/>
      </c>
      <c r="H98" s="3">
        <f>'[01_Entry.xlsx]Book'!M98</f>
        <v/>
      </c>
      <c r="I98" s="3">
        <f>'[01_Entry.xlsx]Book'!K98</f>
        <v/>
      </c>
      <c r="J98" s="3">
        <f>'[01_Entry.xlsx]Book'!P98</f>
        <v/>
      </c>
      <c r="K98" s="3">
        <f>'[01_Entry.xlsx]Book'!F98</f>
        <v/>
      </c>
      <c r="L98" s="3">
        <f>'[01_Entry.xlsx]Book'!G98</f>
        <v/>
      </c>
      <c r="M98" s="3">
        <f>'[01_Entry.xlsx]Book'!I98</f>
        <v/>
      </c>
      <c r="N98" s="2">
        <f>IF($A98="","",MID($A98,6,2))</f>
        <v>0</v>
      </c>
      <c r="O98" s="2">
        <f>IF(OR($C98="",$C98&lt;&gt;'Inv'!$D$12),"",N(O$97)+1)</f>
        <v>0</v>
      </c>
    </row>
    <row r="99" spans="1:15">
      <c r="A99" s="2">
        <f>'[01_Entry.xlsx]Book'!A99</f>
        <v/>
      </c>
      <c r="B99" s="2">
        <f>'[01_Entry.xlsx]Book'!B99</f>
        <v/>
      </c>
      <c r="C99" s="2">
        <f>'[01_Entry.xlsx]Book'!D99</f>
        <v/>
      </c>
      <c r="D99" s="2">
        <f>'[01_Entry.xlsx]Book'!E99</f>
        <v/>
      </c>
      <c r="E99" s="2">
        <f>'[01_Entry.xlsx]Book'!O99</f>
        <v/>
      </c>
      <c r="F99" s="2">
        <f>'[01_Entry.xlsx]Book'!N99</f>
        <v/>
      </c>
      <c r="G99" s="3">
        <f>'[01_Entry.xlsx]Book'!L99</f>
        <v/>
      </c>
      <c r="H99" s="3">
        <f>'[01_Entry.xlsx]Book'!M99</f>
        <v/>
      </c>
      <c r="I99" s="3">
        <f>'[01_Entry.xlsx]Book'!K99</f>
        <v/>
      </c>
      <c r="J99" s="3">
        <f>'[01_Entry.xlsx]Book'!P99</f>
        <v/>
      </c>
      <c r="K99" s="3">
        <f>'[01_Entry.xlsx]Book'!F99</f>
        <v/>
      </c>
      <c r="L99" s="3">
        <f>'[01_Entry.xlsx]Book'!G99</f>
        <v/>
      </c>
      <c r="M99" s="3">
        <f>'[01_Entry.xlsx]Book'!I99</f>
        <v/>
      </c>
      <c r="N99" s="2">
        <f>IF($A99="","",MID($A99,6,2))</f>
        <v>0</v>
      </c>
      <c r="O99" s="2">
        <f>IF(OR($C99="",$C99&lt;&gt;'Inv'!$D$12),"",N(O$98)+1)</f>
        <v>0</v>
      </c>
    </row>
    <row r="100" spans="1:15">
      <c r="A100" s="2">
        <f>'[01_Entry.xlsx]Book'!A100</f>
        <v/>
      </c>
      <c r="B100" s="2">
        <f>'[01_Entry.xlsx]Book'!B100</f>
        <v/>
      </c>
      <c r="C100" s="2">
        <f>'[01_Entry.xlsx]Book'!D100</f>
        <v/>
      </c>
      <c r="D100" s="2">
        <f>'[01_Entry.xlsx]Book'!E100</f>
        <v/>
      </c>
      <c r="E100" s="2">
        <f>'[01_Entry.xlsx]Book'!O100</f>
        <v/>
      </c>
      <c r="F100" s="2">
        <f>'[01_Entry.xlsx]Book'!N100</f>
        <v/>
      </c>
      <c r="G100" s="3">
        <f>'[01_Entry.xlsx]Book'!L100</f>
        <v/>
      </c>
      <c r="H100" s="3">
        <f>'[01_Entry.xlsx]Book'!M100</f>
        <v/>
      </c>
      <c r="I100" s="3">
        <f>'[01_Entry.xlsx]Book'!K100</f>
        <v/>
      </c>
      <c r="J100" s="3">
        <f>'[01_Entry.xlsx]Book'!P100</f>
        <v/>
      </c>
      <c r="K100" s="3">
        <f>'[01_Entry.xlsx]Book'!F100</f>
        <v/>
      </c>
      <c r="L100" s="3">
        <f>'[01_Entry.xlsx]Book'!G100</f>
        <v/>
      </c>
      <c r="M100" s="3">
        <f>'[01_Entry.xlsx]Book'!I100</f>
        <v/>
      </c>
      <c r="N100" s="2">
        <f>IF($A100="","",MID($A100,6,2))</f>
        <v>0</v>
      </c>
      <c r="O100" s="2">
        <f>IF(OR($C100="",$C100&lt;&gt;'Inv'!$D$12),"",N(O$99)+1)</f>
        <v>0</v>
      </c>
    </row>
    <row r="101" spans="1:15">
      <c r="A101" s="2">
        <f>'[01_Entry.xlsx]Book'!A101</f>
        <v/>
      </c>
      <c r="B101" s="2">
        <f>'[01_Entry.xlsx]Book'!B101</f>
        <v/>
      </c>
      <c r="C101" s="2">
        <f>'[01_Entry.xlsx]Book'!D101</f>
        <v/>
      </c>
      <c r="D101" s="2">
        <f>'[01_Entry.xlsx]Book'!E101</f>
        <v/>
      </c>
      <c r="E101" s="2">
        <f>'[01_Entry.xlsx]Book'!O101</f>
        <v/>
      </c>
      <c r="F101" s="2">
        <f>'[01_Entry.xlsx]Book'!N101</f>
        <v/>
      </c>
      <c r="G101" s="3">
        <f>'[01_Entry.xlsx]Book'!L101</f>
        <v/>
      </c>
      <c r="H101" s="3">
        <f>'[01_Entry.xlsx]Book'!M101</f>
        <v/>
      </c>
      <c r="I101" s="3">
        <f>'[01_Entry.xlsx]Book'!K101</f>
        <v/>
      </c>
      <c r="J101" s="3">
        <f>'[01_Entry.xlsx]Book'!P101</f>
        <v/>
      </c>
      <c r="K101" s="3">
        <f>'[01_Entry.xlsx]Book'!F101</f>
        <v/>
      </c>
      <c r="L101" s="3">
        <f>'[01_Entry.xlsx]Book'!G101</f>
        <v/>
      </c>
      <c r="M101" s="3">
        <f>'[01_Entry.xlsx]Book'!I101</f>
        <v/>
      </c>
      <c r="N101" s="2">
        <f>IF($A101="","",MID($A101,6,2))</f>
        <v>0</v>
      </c>
      <c r="O101" s="2">
        <f>IF(OR($C101="",$C101&lt;&gt;'Inv'!$D$12),"",N(O$100)+1)</f>
        <v>0</v>
      </c>
    </row>
    <row r="102" spans="1:15">
      <c r="A102" s="2">
        <f>'[01_Entry.xlsx]Book'!A102</f>
        <v/>
      </c>
      <c r="B102" s="2">
        <f>'[01_Entry.xlsx]Book'!B102</f>
        <v/>
      </c>
      <c r="C102" s="2">
        <f>'[01_Entry.xlsx]Book'!D102</f>
        <v/>
      </c>
      <c r="D102" s="2">
        <f>'[01_Entry.xlsx]Book'!E102</f>
        <v/>
      </c>
      <c r="E102" s="2">
        <f>'[01_Entry.xlsx]Book'!O102</f>
        <v/>
      </c>
      <c r="F102" s="2">
        <f>'[01_Entry.xlsx]Book'!N102</f>
        <v/>
      </c>
      <c r="G102" s="3">
        <f>'[01_Entry.xlsx]Book'!L102</f>
        <v/>
      </c>
      <c r="H102" s="3">
        <f>'[01_Entry.xlsx]Book'!M102</f>
        <v/>
      </c>
      <c r="I102" s="3">
        <f>'[01_Entry.xlsx]Book'!K102</f>
        <v/>
      </c>
      <c r="J102" s="3">
        <f>'[01_Entry.xlsx]Book'!P102</f>
        <v/>
      </c>
      <c r="K102" s="3">
        <f>'[01_Entry.xlsx]Book'!F102</f>
        <v/>
      </c>
      <c r="L102" s="3">
        <f>'[01_Entry.xlsx]Book'!G102</f>
        <v/>
      </c>
      <c r="M102" s="3">
        <f>'[01_Entry.xlsx]Book'!I102</f>
        <v/>
      </c>
      <c r="N102" s="2">
        <f>IF($A102="","",MID($A102,6,2))</f>
        <v>0</v>
      </c>
      <c r="O102" s="2">
        <f>IF(OR($C102="",$C102&lt;&gt;'Inv'!$D$12),"",N(O$101)+1)</f>
        <v>0</v>
      </c>
    </row>
    <row r="103" spans="1:15">
      <c r="A103" s="2">
        <f>'[01_Entry.xlsx]Book'!A103</f>
        <v/>
      </c>
      <c r="B103" s="2">
        <f>'[01_Entry.xlsx]Book'!B103</f>
        <v/>
      </c>
      <c r="C103" s="2">
        <f>'[01_Entry.xlsx]Book'!D103</f>
        <v/>
      </c>
      <c r="D103" s="2">
        <f>'[01_Entry.xlsx]Book'!E103</f>
        <v/>
      </c>
      <c r="E103" s="2">
        <f>'[01_Entry.xlsx]Book'!O103</f>
        <v/>
      </c>
      <c r="F103" s="2">
        <f>'[01_Entry.xlsx]Book'!N103</f>
        <v/>
      </c>
      <c r="G103" s="3">
        <f>'[01_Entry.xlsx]Book'!L103</f>
        <v/>
      </c>
      <c r="H103" s="3">
        <f>'[01_Entry.xlsx]Book'!M103</f>
        <v/>
      </c>
      <c r="I103" s="3">
        <f>'[01_Entry.xlsx]Book'!K103</f>
        <v/>
      </c>
      <c r="J103" s="3">
        <f>'[01_Entry.xlsx]Book'!P103</f>
        <v/>
      </c>
      <c r="K103" s="3">
        <f>'[01_Entry.xlsx]Book'!F103</f>
        <v/>
      </c>
      <c r="L103" s="3">
        <f>'[01_Entry.xlsx]Book'!G103</f>
        <v/>
      </c>
      <c r="M103" s="3">
        <f>'[01_Entry.xlsx]Book'!I103</f>
        <v/>
      </c>
      <c r="N103" s="2">
        <f>IF($A103="","",MID($A103,6,2))</f>
        <v>0</v>
      </c>
      <c r="O103" s="2">
        <f>IF(OR($C103="",$C103&lt;&gt;'Inv'!$D$12),"",N(O$102)+1)</f>
        <v>0</v>
      </c>
    </row>
    <row r="104" spans="1:15">
      <c r="A104" s="2">
        <f>'[01_Entry.xlsx]Book'!A104</f>
        <v/>
      </c>
      <c r="B104" s="2">
        <f>'[01_Entry.xlsx]Book'!B104</f>
        <v/>
      </c>
      <c r="C104" s="2">
        <f>'[01_Entry.xlsx]Book'!D104</f>
        <v/>
      </c>
      <c r="D104" s="2">
        <f>'[01_Entry.xlsx]Book'!E104</f>
        <v/>
      </c>
      <c r="E104" s="2">
        <f>'[01_Entry.xlsx]Book'!O104</f>
        <v/>
      </c>
      <c r="F104" s="2">
        <f>'[01_Entry.xlsx]Book'!N104</f>
        <v/>
      </c>
      <c r="G104" s="3">
        <f>'[01_Entry.xlsx]Book'!L104</f>
        <v/>
      </c>
      <c r="H104" s="3">
        <f>'[01_Entry.xlsx]Book'!M104</f>
        <v/>
      </c>
      <c r="I104" s="3">
        <f>'[01_Entry.xlsx]Book'!K104</f>
        <v/>
      </c>
      <c r="J104" s="3">
        <f>'[01_Entry.xlsx]Book'!P104</f>
        <v/>
      </c>
      <c r="K104" s="3">
        <f>'[01_Entry.xlsx]Book'!F104</f>
        <v/>
      </c>
      <c r="L104" s="3">
        <f>'[01_Entry.xlsx]Book'!G104</f>
        <v/>
      </c>
      <c r="M104" s="3">
        <f>'[01_Entry.xlsx]Book'!I104</f>
        <v/>
      </c>
      <c r="N104" s="2">
        <f>IF($A104="","",MID($A104,6,2))</f>
        <v>0</v>
      </c>
      <c r="O104" s="2">
        <f>IF(OR($C104="",$C104&lt;&gt;'Inv'!$D$12),"",N(O$103)+1)</f>
        <v>0</v>
      </c>
    </row>
    <row r="105" spans="1:15">
      <c r="A105" s="2">
        <f>'[01_Entry.xlsx]Book'!A105</f>
        <v/>
      </c>
      <c r="B105" s="2">
        <f>'[01_Entry.xlsx]Book'!B105</f>
        <v/>
      </c>
      <c r="C105" s="2">
        <f>'[01_Entry.xlsx]Book'!D105</f>
        <v/>
      </c>
      <c r="D105" s="2">
        <f>'[01_Entry.xlsx]Book'!E105</f>
        <v/>
      </c>
      <c r="E105" s="2">
        <f>'[01_Entry.xlsx]Book'!O105</f>
        <v/>
      </c>
      <c r="F105" s="2">
        <f>'[01_Entry.xlsx]Book'!N105</f>
        <v/>
      </c>
      <c r="G105" s="3">
        <f>'[01_Entry.xlsx]Book'!L105</f>
        <v/>
      </c>
      <c r="H105" s="3">
        <f>'[01_Entry.xlsx]Book'!M105</f>
        <v/>
      </c>
      <c r="I105" s="3">
        <f>'[01_Entry.xlsx]Book'!K105</f>
        <v/>
      </c>
      <c r="J105" s="3">
        <f>'[01_Entry.xlsx]Book'!P105</f>
        <v/>
      </c>
      <c r="K105" s="3">
        <f>'[01_Entry.xlsx]Book'!F105</f>
        <v/>
      </c>
      <c r="L105" s="3">
        <f>'[01_Entry.xlsx]Book'!G105</f>
        <v/>
      </c>
      <c r="M105" s="3">
        <f>'[01_Entry.xlsx]Book'!I105</f>
        <v/>
      </c>
      <c r="N105" s="2">
        <f>IF($A105="","",MID($A105,6,2))</f>
        <v>0</v>
      </c>
      <c r="O105" s="2">
        <f>IF(OR($C105="",$C105&lt;&gt;'Inv'!$D$12),"",N(O$104)+1)</f>
        <v>0</v>
      </c>
    </row>
    <row r="106" spans="1:15">
      <c r="A106" s="2">
        <f>'[01_Entry.xlsx]Book'!A106</f>
        <v/>
      </c>
      <c r="B106" s="2">
        <f>'[01_Entry.xlsx]Book'!B106</f>
        <v/>
      </c>
      <c r="C106" s="2">
        <f>'[01_Entry.xlsx]Book'!D106</f>
        <v/>
      </c>
      <c r="D106" s="2">
        <f>'[01_Entry.xlsx]Book'!E106</f>
        <v/>
      </c>
      <c r="E106" s="2">
        <f>'[01_Entry.xlsx]Book'!O106</f>
        <v/>
      </c>
      <c r="F106" s="2">
        <f>'[01_Entry.xlsx]Book'!N106</f>
        <v/>
      </c>
      <c r="G106" s="3">
        <f>'[01_Entry.xlsx]Book'!L106</f>
        <v/>
      </c>
      <c r="H106" s="3">
        <f>'[01_Entry.xlsx]Book'!M106</f>
        <v/>
      </c>
      <c r="I106" s="3">
        <f>'[01_Entry.xlsx]Book'!K106</f>
        <v/>
      </c>
      <c r="J106" s="3">
        <f>'[01_Entry.xlsx]Book'!P106</f>
        <v/>
      </c>
      <c r="K106" s="3">
        <f>'[01_Entry.xlsx]Book'!F106</f>
        <v/>
      </c>
      <c r="L106" s="3">
        <f>'[01_Entry.xlsx]Book'!G106</f>
        <v/>
      </c>
      <c r="M106" s="3">
        <f>'[01_Entry.xlsx]Book'!I106</f>
        <v/>
      </c>
      <c r="N106" s="2">
        <f>IF($A106="","",MID($A106,6,2))</f>
        <v>0</v>
      </c>
      <c r="O106" s="2">
        <f>IF(OR($C106="",$C106&lt;&gt;'Inv'!$D$12),"",N(O$105)+1)</f>
        <v>0</v>
      </c>
    </row>
    <row r="107" spans="1:15">
      <c r="A107" s="2">
        <f>'[01_Entry.xlsx]Book'!A107</f>
        <v/>
      </c>
      <c r="B107" s="2">
        <f>'[01_Entry.xlsx]Book'!B107</f>
        <v/>
      </c>
      <c r="C107" s="2">
        <f>'[01_Entry.xlsx]Book'!D107</f>
        <v/>
      </c>
      <c r="D107" s="2">
        <f>'[01_Entry.xlsx]Book'!E107</f>
        <v/>
      </c>
      <c r="E107" s="2">
        <f>'[01_Entry.xlsx]Book'!O107</f>
        <v/>
      </c>
      <c r="F107" s="2">
        <f>'[01_Entry.xlsx]Book'!N107</f>
        <v/>
      </c>
      <c r="G107" s="3">
        <f>'[01_Entry.xlsx]Book'!L107</f>
        <v/>
      </c>
      <c r="H107" s="3">
        <f>'[01_Entry.xlsx]Book'!M107</f>
        <v/>
      </c>
      <c r="I107" s="3">
        <f>'[01_Entry.xlsx]Book'!K107</f>
        <v/>
      </c>
      <c r="J107" s="3">
        <f>'[01_Entry.xlsx]Book'!P107</f>
        <v/>
      </c>
      <c r="K107" s="3">
        <f>'[01_Entry.xlsx]Book'!F107</f>
        <v/>
      </c>
      <c r="L107" s="3">
        <f>'[01_Entry.xlsx]Book'!G107</f>
        <v/>
      </c>
      <c r="M107" s="3">
        <f>'[01_Entry.xlsx]Book'!I107</f>
        <v/>
      </c>
      <c r="N107" s="2">
        <f>IF($A107="","",MID($A107,6,2))</f>
        <v>0</v>
      </c>
      <c r="O107" s="2">
        <f>IF(OR($C107="",$C107&lt;&gt;'Inv'!$D$12),"",N(O$106)+1)</f>
        <v>0</v>
      </c>
    </row>
    <row r="108" spans="1:15">
      <c r="A108" s="2">
        <f>'[01_Entry.xlsx]Book'!A108</f>
        <v/>
      </c>
      <c r="B108" s="2">
        <f>'[01_Entry.xlsx]Book'!B108</f>
        <v/>
      </c>
      <c r="C108" s="2">
        <f>'[01_Entry.xlsx]Book'!D108</f>
        <v/>
      </c>
      <c r="D108" s="2">
        <f>'[01_Entry.xlsx]Book'!E108</f>
        <v/>
      </c>
      <c r="E108" s="2">
        <f>'[01_Entry.xlsx]Book'!O108</f>
        <v/>
      </c>
      <c r="F108" s="2">
        <f>'[01_Entry.xlsx]Book'!N108</f>
        <v/>
      </c>
      <c r="G108" s="3">
        <f>'[01_Entry.xlsx]Book'!L108</f>
        <v/>
      </c>
      <c r="H108" s="3">
        <f>'[01_Entry.xlsx]Book'!M108</f>
        <v/>
      </c>
      <c r="I108" s="3">
        <f>'[01_Entry.xlsx]Book'!K108</f>
        <v/>
      </c>
      <c r="J108" s="3">
        <f>'[01_Entry.xlsx]Book'!P108</f>
        <v/>
      </c>
      <c r="K108" s="3">
        <f>'[01_Entry.xlsx]Book'!F108</f>
        <v/>
      </c>
      <c r="L108" s="3">
        <f>'[01_Entry.xlsx]Book'!G108</f>
        <v/>
      </c>
      <c r="M108" s="3">
        <f>'[01_Entry.xlsx]Book'!I108</f>
        <v/>
      </c>
      <c r="N108" s="2">
        <f>IF($A108="","",MID($A108,6,2))</f>
        <v>0</v>
      </c>
      <c r="O108" s="2">
        <f>IF(OR($C108="",$C108&lt;&gt;'Inv'!$D$12),"",N(O$107)+1)</f>
        <v>0</v>
      </c>
    </row>
    <row r="109" spans="1:15">
      <c r="A109" s="2">
        <f>'[01_Entry.xlsx]Book'!A109</f>
        <v/>
      </c>
      <c r="B109" s="2">
        <f>'[01_Entry.xlsx]Book'!B109</f>
        <v/>
      </c>
      <c r="C109" s="2">
        <f>'[01_Entry.xlsx]Book'!D109</f>
        <v/>
      </c>
      <c r="D109" s="2">
        <f>'[01_Entry.xlsx]Book'!E109</f>
        <v/>
      </c>
      <c r="E109" s="2">
        <f>'[01_Entry.xlsx]Book'!O109</f>
        <v/>
      </c>
      <c r="F109" s="2">
        <f>'[01_Entry.xlsx]Book'!N109</f>
        <v/>
      </c>
      <c r="G109" s="3">
        <f>'[01_Entry.xlsx]Book'!L109</f>
        <v/>
      </c>
      <c r="H109" s="3">
        <f>'[01_Entry.xlsx]Book'!M109</f>
        <v/>
      </c>
      <c r="I109" s="3">
        <f>'[01_Entry.xlsx]Book'!K109</f>
        <v/>
      </c>
      <c r="J109" s="3">
        <f>'[01_Entry.xlsx]Book'!P109</f>
        <v/>
      </c>
      <c r="K109" s="3">
        <f>'[01_Entry.xlsx]Book'!F109</f>
        <v/>
      </c>
      <c r="L109" s="3">
        <f>'[01_Entry.xlsx]Book'!G109</f>
        <v/>
      </c>
      <c r="M109" s="3">
        <f>'[01_Entry.xlsx]Book'!I109</f>
        <v/>
      </c>
      <c r="N109" s="2">
        <f>IF($A109="","",MID($A109,6,2))</f>
        <v>0</v>
      </c>
      <c r="O109" s="2">
        <f>IF(OR($C109="",$C109&lt;&gt;'Inv'!$D$12),"",N(O$108)+1)</f>
        <v>0</v>
      </c>
    </row>
    <row r="110" spans="1:15">
      <c r="A110" s="2">
        <f>'[01_Entry.xlsx]Book'!A110</f>
        <v/>
      </c>
      <c r="B110" s="2">
        <f>'[01_Entry.xlsx]Book'!B110</f>
        <v/>
      </c>
      <c r="C110" s="2">
        <f>'[01_Entry.xlsx]Book'!D110</f>
        <v/>
      </c>
      <c r="D110" s="2">
        <f>'[01_Entry.xlsx]Book'!E110</f>
        <v/>
      </c>
      <c r="E110" s="2">
        <f>'[01_Entry.xlsx]Book'!O110</f>
        <v/>
      </c>
      <c r="F110" s="2">
        <f>'[01_Entry.xlsx]Book'!N110</f>
        <v/>
      </c>
      <c r="G110" s="3">
        <f>'[01_Entry.xlsx]Book'!L110</f>
        <v/>
      </c>
      <c r="H110" s="3">
        <f>'[01_Entry.xlsx]Book'!M110</f>
        <v/>
      </c>
      <c r="I110" s="3">
        <f>'[01_Entry.xlsx]Book'!K110</f>
        <v/>
      </c>
      <c r="J110" s="3">
        <f>'[01_Entry.xlsx]Book'!P110</f>
        <v/>
      </c>
      <c r="K110" s="3">
        <f>'[01_Entry.xlsx]Book'!F110</f>
        <v/>
      </c>
      <c r="L110" s="3">
        <f>'[01_Entry.xlsx]Book'!G110</f>
        <v/>
      </c>
      <c r="M110" s="3">
        <f>'[01_Entry.xlsx]Book'!I110</f>
        <v/>
      </c>
      <c r="N110" s="2">
        <f>IF($A110="","",MID($A110,6,2))</f>
        <v>0</v>
      </c>
      <c r="O110" s="2">
        <f>IF(OR($C110="",$C110&lt;&gt;'Inv'!$D$12),"",N(O$109)+1)</f>
        <v>0</v>
      </c>
    </row>
    <row r="111" spans="1:15">
      <c r="A111" s="2">
        <f>'[01_Entry.xlsx]Book'!A111</f>
        <v/>
      </c>
      <c r="B111" s="2">
        <f>'[01_Entry.xlsx]Book'!B111</f>
        <v/>
      </c>
      <c r="C111" s="2">
        <f>'[01_Entry.xlsx]Book'!D111</f>
        <v/>
      </c>
      <c r="D111" s="2">
        <f>'[01_Entry.xlsx]Book'!E111</f>
        <v/>
      </c>
      <c r="E111" s="2">
        <f>'[01_Entry.xlsx]Book'!O111</f>
        <v/>
      </c>
      <c r="F111" s="2">
        <f>'[01_Entry.xlsx]Book'!N111</f>
        <v/>
      </c>
      <c r="G111" s="3">
        <f>'[01_Entry.xlsx]Book'!L111</f>
        <v/>
      </c>
      <c r="H111" s="3">
        <f>'[01_Entry.xlsx]Book'!M111</f>
        <v/>
      </c>
      <c r="I111" s="3">
        <f>'[01_Entry.xlsx]Book'!K111</f>
        <v/>
      </c>
      <c r="J111" s="3">
        <f>'[01_Entry.xlsx]Book'!P111</f>
        <v/>
      </c>
      <c r="K111" s="3">
        <f>'[01_Entry.xlsx]Book'!F111</f>
        <v/>
      </c>
      <c r="L111" s="3">
        <f>'[01_Entry.xlsx]Book'!G111</f>
        <v/>
      </c>
      <c r="M111" s="3">
        <f>'[01_Entry.xlsx]Book'!I111</f>
        <v/>
      </c>
      <c r="N111" s="2">
        <f>IF($A111="","",MID($A111,6,2))</f>
        <v>0</v>
      </c>
      <c r="O111" s="2">
        <f>IF(OR($C111="",$C111&lt;&gt;'Inv'!$D$12),"",N(O$110)+1)</f>
        <v>0</v>
      </c>
    </row>
    <row r="112" spans="1:15">
      <c r="A112" s="2">
        <f>'[01_Entry.xlsx]Book'!A112</f>
        <v/>
      </c>
      <c r="B112" s="2">
        <f>'[01_Entry.xlsx]Book'!B112</f>
        <v/>
      </c>
      <c r="C112" s="2">
        <f>'[01_Entry.xlsx]Book'!D112</f>
        <v/>
      </c>
      <c r="D112" s="2">
        <f>'[01_Entry.xlsx]Book'!E112</f>
        <v/>
      </c>
      <c r="E112" s="2">
        <f>'[01_Entry.xlsx]Book'!O112</f>
        <v/>
      </c>
      <c r="F112" s="2">
        <f>'[01_Entry.xlsx]Book'!N112</f>
        <v/>
      </c>
      <c r="G112" s="3">
        <f>'[01_Entry.xlsx]Book'!L112</f>
        <v/>
      </c>
      <c r="H112" s="3">
        <f>'[01_Entry.xlsx]Book'!M112</f>
        <v/>
      </c>
      <c r="I112" s="3">
        <f>'[01_Entry.xlsx]Book'!K112</f>
        <v/>
      </c>
      <c r="J112" s="3">
        <f>'[01_Entry.xlsx]Book'!P112</f>
        <v/>
      </c>
      <c r="K112" s="3">
        <f>'[01_Entry.xlsx]Book'!F112</f>
        <v/>
      </c>
      <c r="L112" s="3">
        <f>'[01_Entry.xlsx]Book'!G112</f>
        <v/>
      </c>
      <c r="M112" s="3">
        <f>'[01_Entry.xlsx]Book'!I112</f>
        <v/>
      </c>
      <c r="N112" s="2">
        <f>IF($A112="","",MID($A112,6,2))</f>
        <v>0</v>
      </c>
      <c r="O112" s="2">
        <f>IF(OR($C112="",$C112&lt;&gt;'Inv'!$D$12),"",N(O$111)+1)</f>
        <v>0</v>
      </c>
    </row>
    <row r="113" spans="1:15">
      <c r="A113" s="2">
        <f>'[01_Entry.xlsx]Book'!A113</f>
        <v/>
      </c>
      <c r="B113" s="2">
        <f>'[01_Entry.xlsx]Book'!B113</f>
        <v/>
      </c>
      <c r="C113" s="2">
        <f>'[01_Entry.xlsx]Book'!D113</f>
        <v/>
      </c>
      <c r="D113" s="2">
        <f>'[01_Entry.xlsx]Book'!E113</f>
        <v/>
      </c>
      <c r="E113" s="2">
        <f>'[01_Entry.xlsx]Book'!O113</f>
        <v/>
      </c>
      <c r="F113" s="2">
        <f>'[01_Entry.xlsx]Book'!N113</f>
        <v/>
      </c>
      <c r="G113" s="3">
        <f>'[01_Entry.xlsx]Book'!L113</f>
        <v/>
      </c>
      <c r="H113" s="3">
        <f>'[01_Entry.xlsx]Book'!M113</f>
        <v/>
      </c>
      <c r="I113" s="3">
        <f>'[01_Entry.xlsx]Book'!K113</f>
        <v/>
      </c>
      <c r="J113" s="3">
        <f>'[01_Entry.xlsx]Book'!P113</f>
        <v/>
      </c>
      <c r="K113" s="3">
        <f>'[01_Entry.xlsx]Book'!F113</f>
        <v/>
      </c>
      <c r="L113" s="3">
        <f>'[01_Entry.xlsx]Book'!G113</f>
        <v/>
      </c>
      <c r="M113" s="3">
        <f>'[01_Entry.xlsx]Book'!I113</f>
        <v/>
      </c>
      <c r="N113" s="2">
        <f>IF($A113="","",MID($A113,6,2))</f>
        <v>0</v>
      </c>
      <c r="O113" s="2">
        <f>IF(OR($C113="",$C113&lt;&gt;'Inv'!$D$12),"",N(O$112)+1)</f>
        <v>0</v>
      </c>
    </row>
    <row r="114" spans="1:15">
      <c r="A114" s="2">
        <f>'[01_Entry.xlsx]Book'!A114</f>
        <v/>
      </c>
      <c r="B114" s="2">
        <f>'[01_Entry.xlsx]Book'!B114</f>
        <v/>
      </c>
      <c r="C114" s="2">
        <f>'[01_Entry.xlsx]Book'!D114</f>
        <v/>
      </c>
      <c r="D114" s="2">
        <f>'[01_Entry.xlsx]Book'!E114</f>
        <v/>
      </c>
      <c r="E114" s="2">
        <f>'[01_Entry.xlsx]Book'!O114</f>
        <v/>
      </c>
      <c r="F114" s="2">
        <f>'[01_Entry.xlsx]Book'!N114</f>
        <v/>
      </c>
      <c r="G114" s="3">
        <f>'[01_Entry.xlsx]Book'!L114</f>
        <v/>
      </c>
      <c r="H114" s="3">
        <f>'[01_Entry.xlsx]Book'!M114</f>
        <v/>
      </c>
      <c r="I114" s="3">
        <f>'[01_Entry.xlsx]Book'!K114</f>
        <v/>
      </c>
      <c r="J114" s="3">
        <f>'[01_Entry.xlsx]Book'!P114</f>
        <v/>
      </c>
      <c r="K114" s="3">
        <f>'[01_Entry.xlsx]Book'!F114</f>
        <v/>
      </c>
      <c r="L114" s="3">
        <f>'[01_Entry.xlsx]Book'!G114</f>
        <v/>
      </c>
      <c r="M114" s="3">
        <f>'[01_Entry.xlsx]Book'!I114</f>
        <v/>
      </c>
      <c r="N114" s="2">
        <f>IF($A114="","",MID($A114,6,2))</f>
        <v>0</v>
      </c>
      <c r="O114" s="2">
        <f>IF(OR($C114="",$C114&lt;&gt;'Inv'!$D$12),"",N(O$113)+1)</f>
        <v>0</v>
      </c>
    </row>
    <row r="115" spans="1:15">
      <c r="A115" s="2">
        <f>'[01_Entry.xlsx]Book'!A115</f>
        <v/>
      </c>
      <c r="B115" s="2">
        <f>'[01_Entry.xlsx]Book'!B115</f>
        <v/>
      </c>
      <c r="C115" s="2">
        <f>'[01_Entry.xlsx]Book'!D115</f>
        <v/>
      </c>
      <c r="D115" s="2">
        <f>'[01_Entry.xlsx]Book'!E115</f>
        <v/>
      </c>
      <c r="E115" s="2">
        <f>'[01_Entry.xlsx]Book'!O115</f>
        <v/>
      </c>
      <c r="F115" s="2">
        <f>'[01_Entry.xlsx]Book'!N115</f>
        <v/>
      </c>
      <c r="G115" s="3">
        <f>'[01_Entry.xlsx]Book'!L115</f>
        <v/>
      </c>
      <c r="H115" s="3">
        <f>'[01_Entry.xlsx]Book'!M115</f>
        <v/>
      </c>
      <c r="I115" s="3">
        <f>'[01_Entry.xlsx]Book'!K115</f>
        <v/>
      </c>
      <c r="J115" s="3">
        <f>'[01_Entry.xlsx]Book'!P115</f>
        <v/>
      </c>
      <c r="K115" s="3">
        <f>'[01_Entry.xlsx]Book'!F115</f>
        <v/>
      </c>
      <c r="L115" s="3">
        <f>'[01_Entry.xlsx]Book'!G115</f>
        <v/>
      </c>
      <c r="M115" s="3">
        <f>'[01_Entry.xlsx]Book'!I115</f>
        <v/>
      </c>
      <c r="N115" s="2">
        <f>IF($A115="","",MID($A115,6,2))</f>
        <v>0</v>
      </c>
      <c r="O115" s="2">
        <f>IF(OR($C115="",$C115&lt;&gt;'Inv'!$D$12),"",N(O$114)+1)</f>
        <v>0</v>
      </c>
    </row>
    <row r="116" spans="1:15">
      <c r="A116" s="2">
        <f>'[01_Entry.xlsx]Book'!A116</f>
        <v/>
      </c>
      <c r="B116" s="2">
        <f>'[01_Entry.xlsx]Book'!B116</f>
        <v/>
      </c>
      <c r="C116" s="2">
        <f>'[01_Entry.xlsx]Book'!D116</f>
        <v/>
      </c>
      <c r="D116" s="2">
        <f>'[01_Entry.xlsx]Book'!E116</f>
        <v/>
      </c>
      <c r="E116" s="2">
        <f>'[01_Entry.xlsx]Book'!O116</f>
        <v/>
      </c>
      <c r="F116" s="2">
        <f>'[01_Entry.xlsx]Book'!N116</f>
        <v/>
      </c>
      <c r="G116" s="3">
        <f>'[01_Entry.xlsx]Book'!L116</f>
        <v/>
      </c>
      <c r="H116" s="3">
        <f>'[01_Entry.xlsx]Book'!M116</f>
        <v/>
      </c>
      <c r="I116" s="3">
        <f>'[01_Entry.xlsx]Book'!K116</f>
        <v/>
      </c>
      <c r="J116" s="3">
        <f>'[01_Entry.xlsx]Book'!P116</f>
        <v/>
      </c>
      <c r="K116" s="3">
        <f>'[01_Entry.xlsx]Book'!F116</f>
        <v/>
      </c>
      <c r="L116" s="3">
        <f>'[01_Entry.xlsx]Book'!G116</f>
        <v/>
      </c>
      <c r="M116" s="3">
        <f>'[01_Entry.xlsx]Book'!I116</f>
        <v/>
      </c>
      <c r="N116" s="2">
        <f>IF($A116="","",MID($A116,6,2))</f>
        <v>0</v>
      </c>
      <c r="O116" s="2">
        <f>IF(OR($C116="",$C116&lt;&gt;'Inv'!$D$12),"",N(O$115)+1)</f>
        <v>0</v>
      </c>
    </row>
    <row r="117" spans="1:15">
      <c r="A117" s="2">
        <f>'[01_Entry.xlsx]Book'!A117</f>
        <v/>
      </c>
      <c r="B117" s="2">
        <f>'[01_Entry.xlsx]Book'!B117</f>
        <v/>
      </c>
      <c r="C117" s="2">
        <f>'[01_Entry.xlsx]Book'!D117</f>
        <v/>
      </c>
      <c r="D117" s="2">
        <f>'[01_Entry.xlsx]Book'!E117</f>
        <v/>
      </c>
      <c r="E117" s="2">
        <f>'[01_Entry.xlsx]Book'!O117</f>
        <v/>
      </c>
      <c r="F117" s="2">
        <f>'[01_Entry.xlsx]Book'!N117</f>
        <v/>
      </c>
      <c r="G117" s="3">
        <f>'[01_Entry.xlsx]Book'!L117</f>
        <v/>
      </c>
      <c r="H117" s="3">
        <f>'[01_Entry.xlsx]Book'!M117</f>
        <v/>
      </c>
      <c r="I117" s="3">
        <f>'[01_Entry.xlsx]Book'!K117</f>
        <v/>
      </c>
      <c r="J117" s="3">
        <f>'[01_Entry.xlsx]Book'!P117</f>
        <v/>
      </c>
      <c r="K117" s="3">
        <f>'[01_Entry.xlsx]Book'!F117</f>
        <v/>
      </c>
      <c r="L117" s="3">
        <f>'[01_Entry.xlsx]Book'!G117</f>
        <v/>
      </c>
      <c r="M117" s="3">
        <f>'[01_Entry.xlsx]Book'!I117</f>
        <v/>
      </c>
      <c r="N117" s="2">
        <f>IF($A117="","",MID($A117,6,2))</f>
        <v>0</v>
      </c>
      <c r="O117" s="2">
        <f>IF(OR($C117="",$C117&lt;&gt;'Inv'!$D$12),"",N(O$116)+1)</f>
        <v>0</v>
      </c>
    </row>
    <row r="118" spans="1:15">
      <c r="A118" s="2">
        <f>'[01_Entry.xlsx]Book'!A118</f>
        <v/>
      </c>
      <c r="B118" s="2">
        <f>'[01_Entry.xlsx]Book'!B118</f>
        <v/>
      </c>
      <c r="C118" s="2">
        <f>'[01_Entry.xlsx]Book'!D118</f>
        <v/>
      </c>
      <c r="D118" s="2">
        <f>'[01_Entry.xlsx]Book'!E118</f>
        <v/>
      </c>
      <c r="E118" s="2">
        <f>'[01_Entry.xlsx]Book'!O118</f>
        <v/>
      </c>
      <c r="F118" s="2">
        <f>'[01_Entry.xlsx]Book'!N118</f>
        <v/>
      </c>
      <c r="G118" s="3">
        <f>'[01_Entry.xlsx]Book'!L118</f>
        <v/>
      </c>
      <c r="H118" s="3">
        <f>'[01_Entry.xlsx]Book'!M118</f>
        <v/>
      </c>
      <c r="I118" s="3">
        <f>'[01_Entry.xlsx]Book'!K118</f>
        <v/>
      </c>
      <c r="J118" s="3">
        <f>'[01_Entry.xlsx]Book'!P118</f>
        <v/>
      </c>
      <c r="K118" s="3">
        <f>'[01_Entry.xlsx]Book'!F118</f>
        <v/>
      </c>
      <c r="L118" s="3">
        <f>'[01_Entry.xlsx]Book'!G118</f>
        <v/>
      </c>
      <c r="M118" s="3">
        <f>'[01_Entry.xlsx]Book'!I118</f>
        <v/>
      </c>
      <c r="N118" s="2">
        <f>IF($A118="","",MID($A118,6,2))</f>
        <v>0</v>
      </c>
      <c r="O118" s="2">
        <f>IF(OR($C118="",$C118&lt;&gt;'Inv'!$D$12),"",N(O$117)+1)</f>
        <v>0</v>
      </c>
    </row>
    <row r="119" spans="1:15">
      <c r="A119" s="2">
        <f>'[01_Entry.xlsx]Book'!A119</f>
        <v/>
      </c>
      <c r="B119" s="2">
        <f>'[01_Entry.xlsx]Book'!B119</f>
        <v/>
      </c>
      <c r="C119" s="2">
        <f>'[01_Entry.xlsx]Book'!D119</f>
        <v/>
      </c>
      <c r="D119" s="2">
        <f>'[01_Entry.xlsx]Book'!E119</f>
        <v/>
      </c>
      <c r="E119" s="2">
        <f>'[01_Entry.xlsx]Book'!O119</f>
        <v/>
      </c>
      <c r="F119" s="2">
        <f>'[01_Entry.xlsx]Book'!N119</f>
        <v/>
      </c>
      <c r="G119" s="3">
        <f>'[01_Entry.xlsx]Book'!L119</f>
        <v/>
      </c>
      <c r="H119" s="3">
        <f>'[01_Entry.xlsx]Book'!M119</f>
        <v/>
      </c>
      <c r="I119" s="3">
        <f>'[01_Entry.xlsx]Book'!K119</f>
        <v/>
      </c>
      <c r="J119" s="3">
        <f>'[01_Entry.xlsx]Book'!P119</f>
        <v/>
      </c>
      <c r="K119" s="3">
        <f>'[01_Entry.xlsx]Book'!F119</f>
        <v/>
      </c>
      <c r="L119" s="3">
        <f>'[01_Entry.xlsx]Book'!G119</f>
        <v/>
      </c>
      <c r="M119" s="3">
        <f>'[01_Entry.xlsx]Book'!I119</f>
        <v/>
      </c>
      <c r="N119" s="2">
        <f>IF($A119="","",MID($A119,6,2))</f>
        <v>0</v>
      </c>
      <c r="O119" s="2">
        <f>IF(OR($C119="",$C119&lt;&gt;'Inv'!$D$12),"",N(O$118)+1)</f>
        <v>0</v>
      </c>
    </row>
    <row r="120" spans="1:15">
      <c r="A120" s="2">
        <f>'[01_Entry.xlsx]Book'!A120</f>
        <v/>
      </c>
      <c r="B120" s="2">
        <f>'[01_Entry.xlsx]Book'!B120</f>
        <v/>
      </c>
      <c r="C120" s="2">
        <f>'[01_Entry.xlsx]Book'!D120</f>
        <v/>
      </c>
      <c r="D120" s="2">
        <f>'[01_Entry.xlsx]Book'!E120</f>
        <v/>
      </c>
      <c r="E120" s="2">
        <f>'[01_Entry.xlsx]Book'!O120</f>
        <v/>
      </c>
      <c r="F120" s="2">
        <f>'[01_Entry.xlsx]Book'!N120</f>
        <v/>
      </c>
      <c r="G120" s="3">
        <f>'[01_Entry.xlsx]Book'!L120</f>
        <v/>
      </c>
      <c r="H120" s="3">
        <f>'[01_Entry.xlsx]Book'!M120</f>
        <v/>
      </c>
      <c r="I120" s="3">
        <f>'[01_Entry.xlsx]Book'!K120</f>
        <v/>
      </c>
      <c r="J120" s="3">
        <f>'[01_Entry.xlsx]Book'!P120</f>
        <v/>
      </c>
      <c r="K120" s="3">
        <f>'[01_Entry.xlsx]Book'!F120</f>
        <v/>
      </c>
      <c r="L120" s="3">
        <f>'[01_Entry.xlsx]Book'!G120</f>
        <v/>
      </c>
      <c r="M120" s="3">
        <f>'[01_Entry.xlsx]Book'!I120</f>
        <v/>
      </c>
      <c r="N120" s="2">
        <f>IF($A120="","",MID($A120,6,2))</f>
        <v>0</v>
      </c>
      <c r="O120" s="2">
        <f>IF(OR($C120="",$C120&lt;&gt;'Inv'!$D$12),"",N(O$119)+1)</f>
        <v>0</v>
      </c>
    </row>
    <row r="121" spans="1:15">
      <c r="A121" s="2">
        <f>'[01_Entry.xlsx]Book'!A121</f>
        <v/>
      </c>
      <c r="B121" s="2">
        <f>'[01_Entry.xlsx]Book'!B121</f>
        <v/>
      </c>
      <c r="C121" s="2">
        <f>'[01_Entry.xlsx]Book'!D121</f>
        <v/>
      </c>
      <c r="D121" s="2">
        <f>'[01_Entry.xlsx]Book'!E121</f>
        <v/>
      </c>
      <c r="E121" s="2">
        <f>'[01_Entry.xlsx]Book'!O121</f>
        <v/>
      </c>
      <c r="F121" s="2">
        <f>'[01_Entry.xlsx]Book'!N121</f>
        <v/>
      </c>
      <c r="G121" s="3">
        <f>'[01_Entry.xlsx]Book'!L121</f>
        <v/>
      </c>
      <c r="H121" s="3">
        <f>'[01_Entry.xlsx]Book'!M121</f>
        <v/>
      </c>
      <c r="I121" s="3">
        <f>'[01_Entry.xlsx]Book'!K121</f>
        <v/>
      </c>
      <c r="J121" s="3">
        <f>'[01_Entry.xlsx]Book'!P121</f>
        <v/>
      </c>
      <c r="K121" s="3">
        <f>'[01_Entry.xlsx]Book'!F121</f>
        <v/>
      </c>
      <c r="L121" s="3">
        <f>'[01_Entry.xlsx]Book'!G121</f>
        <v/>
      </c>
      <c r="M121" s="3">
        <f>'[01_Entry.xlsx]Book'!I121</f>
        <v/>
      </c>
      <c r="N121" s="2">
        <f>IF($A121="","",MID($A121,6,2))</f>
        <v>0</v>
      </c>
      <c r="O121" s="2">
        <f>IF(OR($C121="",$C121&lt;&gt;'Inv'!$D$12),"",N(O$120)+1)</f>
        <v>0</v>
      </c>
    </row>
    <row r="122" spans="1:15">
      <c r="A122" s="2">
        <f>'[01_Entry.xlsx]Book'!A122</f>
        <v/>
      </c>
      <c r="B122" s="2">
        <f>'[01_Entry.xlsx]Book'!B122</f>
        <v/>
      </c>
      <c r="C122" s="2">
        <f>'[01_Entry.xlsx]Book'!D122</f>
        <v/>
      </c>
      <c r="D122" s="2">
        <f>'[01_Entry.xlsx]Book'!E122</f>
        <v/>
      </c>
      <c r="E122" s="2">
        <f>'[01_Entry.xlsx]Book'!O122</f>
        <v/>
      </c>
      <c r="F122" s="2">
        <f>'[01_Entry.xlsx]Book'!N122</f>
        <v/>
      </c>
      <c r="G122" s="3">
        <f>'[01_Entry.xlsx]Book'!L122</f>
        <v/>
      </c>
      <c r="H122" s="3">
        <f>'[01_Entry.xlsx]Book'!M122</f>
        <v/>
      </c>
      <c r="I122" s="3">
        <f>'[01_Entry.xlsx]Book'!K122</f>
        <v/>
      </c>
      <c r="J122" s="3">
        <f>'[01_Entry.xlsx]Book'!P122</f>
        <v/>
      </c>
      <c r="K122" s="3">
        <f>'[01_Entry.xlsx]Book'!F122</f>
        <v/>
      </c>
      <c r="L122" s="3">
        <f>'[01_Entry.xlsx]Book'!G122</f>
        <v/>
      </c>
      <c r="M122" s="3">
        <f>'[01_Entry.xlsx]Book'!I122</f>
        <v/>
      </c>
      <c r="N122" s="2">
        <f>IF($A122="","",MID($A122,6,2))</f>
        <v>0</v>
      </c>
      <c r="O122" s="2">
        <f>IF(OR($C122="",$C122&lt;&gt;'Inv'!$D$12),"",N(O$121)+1)</f>
        <v>0</v>
      </c>
    </row>
    <row r="123" spans="1:15">
      <c r="A123" s="2">
        <f>'[01_Entry.xlsx]Book'!A123</f>
        <v/>
      </c>
      <c r="B123" s="2">
        <f>'[01_Entry.xlsx]Book'!B123</f>
        <v/>
      </c>
      <c r="C123" s="2">
        <f>'[01_Entry.xlsx]Book'!D123</f>
        <v/>
      </c>
      <c r="D123" s="2">
        <f>'[01_Entry.xlsx]Book'!E123</f>
        <v/>
      </c>
      <c r="E123" s="2">
        <f>'[01_Entry.xlsx]Book'!O123</f>
        <v/>
      </c>
      <c r="F123" s="2">
        <f>'[01_Entry.xlsx]Book'!N123</f>
        <v/>
      </c>
      <c r="G123" s="3">
        <f>'[01_Entry.xlsx]Book'!L123</f>
        <v/>
      </c>
      <c r="H123" s="3">
        <f>'[01_Entry.xlsx]Book'!M123</f>
        <v/>
      </c>
      <c r="I123" s="3">
        <f>'[01_Entry.xlsx]Book'!K123</f>
        <v/>
      </c>
      <c r="J123" s="3">
        <f>'[01_Entry.xlsx]Book'!P123</f>
        <v/>
      </c>
      <c r="K123" s="3">
        <f>'[01_Entry.xlsx]Book'!F123</f>
        <v/>
      </c>
      <c r="L123" s="3">
        <f>'[01_Entry.xlsx]Book'!G123</f>
        <v/>
      </c>
      <c r="M123" s="3">
        <f>'[01_Entry.xlsx]Book'!I123</f>
        <v/>
      </c>
      <c r="N123" s="2">
        <f>IF($A123="","",MID($A123,6,2))</f>
        <v>0</v>
      </c>
      <c r="O123" s="2">
        <f>IF(OR($C123="",$C123&lt;&gt;'Inv'!$D$12),"",N(O$122)+1)</f>
        <v>0</v>
      </c>
    </row>
    <row r="124" spans="1:15">
      <c r="A124" s="2">
        <f>'[01_Entry.xlsx]Book'!A124</f>
        <v/>
      </c>
      <c r="B124" s="2">
        <f>'[01_Entry.xlsx]Book'!B124</f>
        <v/>
      </c>
      <c r="C124" s="2">
        <f>'[01_Entry.xlsx]Book'!D124</f>
        <v/>
      </c>
      <c r="D124" s="2">
        <f>'[01_Entry.xlsx]Book'!E124</f>
        <v/>
      </c>
      <c r="E124" s="2">
        <f>'[01_Entry.xlsx]Book'!O124</f>
        <v/>
      </c>
      <c r="F124" s="2">
        <f>'[01_Entry.xlsx]Book'!N124</f>
        <v/>
      </c>
      <c r="G124" s="3">
        <f>'[01_Entry.xlsx]Book'!L124</f>
        <v/>
      </c>
      <c r="H124" s="3">
        <f>'[01_Entry.xlsx]Book'!M124</f>
        <v/>
      </c>
      <c r="I124" s="3">
        <f>'[01_Entry.xlsx]Book'!K124</f>
        <v/>
      </c>
      <c r="J124" s="3">
        <f>'[01_Entry.xlsx]Book'!P124</f>
        <v/>
      </c>
      <c r="K124" s="3">
        <f>'[01_Entry.xlsx]Book'!F124</f>
        <v/>
      </c>
      <c r="L124" s="3">
        <f>'[01_Entry.xlsx]Book'!G124</f>
        <v/>
      </c>
      <c r="M124" s="3">
        <f>'[01_Entry.xlsx]Book'!I124</f>
        <v/>
      </c>
      <c r="N124" s="2">
        <f>IF($A124="","",MID($A124,6,2))</f>
        <v>0</v>
      </c>
      <c r="O124" s="2">
        <f>IF(OR($C124="",$C124&lt;&gt;'Inv'!$D$12),"",N(O$123)+1)</f>
        <v>0</v>
      </c>
    </row>
    <row r="125" spans="1:15">
      <c r="A125" s="2">
        <f>'[01_Entry.xlsx]Book'!A125</f>
        <v/>
      </c>
      <c r="B125" s="2">
        <f>'[01_Entry.xlsx]Book'!B125</f>
        <v/>
      </c>
      <c r="C125" s="2">
        <f>'[01_Entry.xlsx]Book'!D125</f>
        <v/>
      </c>
      <c r="D125" s="2">
        <f>'[01_Entry.xlsx]Book'!E125</f>
        <v/>
      </c>
      <c r="E125" s="2">
        <f>'[01_Entry.xlsx]Book'!O125</f>
        <v/>
      </c>
      <c r="F125" s="2">
        <f>'[01_Entry.xlsx]Book'!N125</f>
        <v/>
      </c>
      <c r="G125" s="3">
        <f>'[01_Entry.xlsx]Book'!L125</f>
        <v/>
      </c>
      <c r="H125" s="3">
        <f>'[01_Entry.xlsx]Book'!M125</f>
        <v/>
      </c>
      <c r="I125" s="3">
        <f>'[01_Entry.xlsx]Book'!K125</f>
        <v/>
      </c>
      <c r="J125" s="3">
        <f>'[01_Entry.xlsx]Book'!P125</f>
        <v/>
      </c>
      <c r="K125" s="3">
        <f>'[01_Entry.xlsx]Book'!F125</f>
        <v/>
      </c>
      <c r="L125" s="3">
        <f>'[01_Entry.xlsx]Book'!G125</f>
        <v/>
      </c>
      <c r="M125" s="3">
        <f>'[01_Entry.xlsx]Book'!I125</f>
        <v/>
      </c>
      <c r="N125" s="2">
        <f>IF($A125="","",MID($A125,6,2))</f>
        <v>0</v>
      </c>
      <c r="O125" s="2">
        <f>IF(OR($C125="",$C125&lt;&gt;'Inv'!$D$12),"",N(O$124)+1)</f>
        <v>0</v>
      </c>
    </row>
    <row r="126" spans="1:15">
      <c r="A126" s="2">
        <f>'[01_Entry.xlsx]Book'!A126</f>
        <v/>
      </c>
      <c r="B126" s="2">
        <f>'[01_Entry.xlsx]Book'!B126</f>
        <v/>
      </c>
      <c r="C126" s="2">
        <f>'[01_Entry.xlsx]Book'!D126</f>
        <v/>
      </c>
      <c r="D126" s="2">
        <f>'[01_Entry.xlsx]Book'!E126</f>
        <v/>
      </c>
      <c r="E126" s="2">
        <f>'[01_Entry.xlsx]Book'!O126</f>
        <v/>
      </c>
      <c r="F126" s="2">
        <f>'[01_Entry.xlsx]Book'!N126</f>
        <v/>
      </c>
      <c r="G126" s="3">
        <f>'[01_Entry.xlsx]Book'!L126</f>
        <v/>
      </c>
      <c r="H126" s="3">
        <f>'[01_Entry.xlsx]Book'!M126</f>
        <v/>
      </c>
      <c r="I126" s="3">
        <f>'[01_Entry.xlsx]Book'!K126</f>
        <v/>
      </c>
      <c r="J126" s="3">
        <f>'[01_Entry.xlsx]Book'!P126</f>
        <v/>
      </c>
      <c r="K126" s="3">
        <f>'[01_Entry.xlsx]Book'!F126</f>
        <v/>
      </c>
      <c r="L126" s="3">
        <f>'[01_Entry.xlsx]Book'!G126</f>
        <v/>
      </c>
      <c r="M126" s="3">
        <f>'[01_Entry.xlsx]Book'!I126</f>
        <v/>
      </c>
      <c r="N126" s="2">
        <f>IF($A126="","",MID($A126,6,2))</f>
        <v>0</v>
      </c>
      <c r="O126" s="2">
        <f>IF(OR($C126="",$C126&lt;&gt;'Inv'!$D$12),"",N(O$125)+1)</f>
        <v>0</v>
      </c>
    </row>
    <row r="127" spans="1:15">
      <c r="A127" s="2">
        <f>'[01_Entry.xlsx]Book'!A127</f>
        <v/>
      </c>
      <c r="B127" s="2">
        <f>'[01_Entry.xlsx]Book'!B127</f>
        <v/>
      </c>
      <c r="C127" s="2">
        <f>'[01_Entry.xlsx]Book'!D127</f>
        <v/>
      </c>
      <c r="D127" s="2">
        <f>'[01_Entry.xlsx]Book'!E127</f>
        <v/>
      </c>
      <c r="E127" s="2">
        <f>'[01_Entry.xlsx]Book'!O127</f>
        <v/>
      </c>
      <c r="F127" s="2">
        <f>'[01_Entry.xlsx]Book'!N127</f>
        <v/>
      </c>
      <c r="G127" s="3">
        <f>'[01_Entry.xlsx]Book'!L127</f>
        <v/>
      </c>
      <c r="H127" s="3">
        <f>'[01_Entry.xlsx]Book'!M127</f>
        <v/>
      </c>
      <c r="I127" s="3">
        <f>'[01_Entry.xlsx]Book'!K127</f>
        <v/>
      </c>
      <c r="J127" s="3">
        <f>'[01_Entry.xlsx]Book'!P127</f>
        <v/>
      </c>
      <c r="K127" s="3">
        <f>'[01_Entry.xlsx]Book'!F127</f>
        <v/>
      </c>
      <c r="L127" s="3">
        <f>'[01_Entry.xlsx]Book'!G127</f>
        <v/>
      </c>
      <c r="M127" s="3">
        <f>'[01_Entry.xlsx]Book'!I127</f>
        <v/>
      </c>
      <c r="N127" s="2">
        <f>IF($A127="","",MID($A127,6,2))</f>
        <v>0</v>
      </c>
      <c r="O127" s="2">
        <f>IF(OR($C127="",$C127&lt;&gt;'Inv'!$D$12),"",N(O$126)+1)</f>
        <v>0</v>
      </c>
    </row>
    <row r="128" spans="1:15">
      <c r="A128" s="2">
        <f>'[01_Entry.xlsx]Book'!A128</f>
        <v/>
      </c>
      <c r="B128" s="2">
        <f>'[01_Entry.xlsx]Book'!B128</f>
        <v/>
      </c>
      <c r="C128" s="2">
        <f>'[01_Entry.xlsx]Book'!D128</f>
        <v/>
      </c>
      <c r="D128" s="2">
        <f>'[01_Entry.xlsx]Book'!E128</f>
        <v/>
      </c>
      <c r="E128" s="2">
        <f>'[01_Entry.xlsx]Book'!O128</f>
        <v/>
      </c>
      <c r="F128" s="2">
        <f>'[01_Entry.xlsx]Book'!N128</f>
        <v/>
      </c>
      <c r="G128" s="3">
        <f>'[01_Entry.xlsx]Book'!L128</f>
        <v/>
      </c>
      <c r="H128" s="3">
        <f>'[01_Entry.xlsx]Book'!M128</f>
        <v/>
      </c>
      <c r="I128" s="3">
        <f>'[01_Entry.xlsx]Book'!K128</f>
        <v/>
      </c>
      <c r="J128" s="3">
        <f>'[01_Entry.xlsx]Book'!P128</f>
        <v/>
      </c>
      <c r="K128" s="3">
        <f>'[01_Entry.xlsx]Book'!F128</f>
        <v/>
      </c>
      <c r="L128" s="3">
        <f>'[01_Entry.xlsx]Book'!G128</f>
        <v/>
      </c>
      <c r="M128" s="3">
        <f>'[01_Entry.xlsx]Book'!I128</f>
        <v/>
      </c>
      <c r="N128" s="2">
        <f>IF($A128="","",MID($A128,6,2))</f>
        <v>0</v>
      </c>
      <c r="O128" s="2">
        <f>IF(OR($C128="",$C128&lt;&gt;'Inv'!$D$12),"",N(O$127)+1)</f>
        <v>0</v>
      </c>
    </row>
    <row r="129" spans="1:15">
      <c r="A129" s="2">
        <f>'[01_Entry.xlsx]Book'!A129</f>
        <v/>
      </c>
      <c r="B129" s="2">
        <f>'[01_Entry.xlsx]Book'!B129</f>
        <v/>
      </c>
      <c r="C129" s="2">
        <f>'[01_Entry.xlsx]Book'!D129</f>
        <v/>
      </c>
      <c r="D129" s="2">
        <f>'[01_Entry.xlsx]Book'!E129</f>
        <v/>
      </c>
      <c r="E129" s="2">
        <f>'[01_Entry.xlsx]Book'!O129</f>
        <v/>
      </c>
      <c r="F129" s="2">
        <f>'[01_Entry.xlsx]Book'!N129</f>
        <v/>
      </c>
      <c r="G129" s="3">
        <f>'[01_Entry.xlsx]Book'!L129</f>
        <v/>
      </c>
      <c r="H129" s="3">
        <f>'[01_Entry.xlsx]Book'!M129</f>
        <v/>
      </c>
      <c r="I129" s="3">
        <f>'[01_Entry.xlsx]Book'!K129</f>
        <v/>
      </c>
      <c r="J129" s="3">
        <f>'[01_Entry.xlsx]Book'!P129</f>
        <v/>
      </c>
      <c r="K129" s="3">
        <f>'[01_Entry.xlsx]Book'!F129</f>
        <v/>
      </c>
      <c r="L129" s="3">
        <f>'[01_Entry.xlsx]Book'!G129</f>
        <v/>
      </c>
      <c r="M129" s="3">
        <f>'[01_Entry.xlsx]Book'!I129</f>
        <v/>
      </c>
      <c r="N129" s="2">
        <f>IF($A129="","",MID($A129,6,2))</f>
        <v>0</v>
      </c>
      <c r="O129" s="2">
        <f>IF(OR($C129="",$C129&lt;&gt;'Inv'!$D$12),"",N(O$128)+1)</f>
        <v>0</v>
      </c>
    </row>
    <row r="130" spans="1:15">
      <c r="A130" s="2">
        <f>'[01_Entry.xlsx]Book'!A130</f>
        <v/>
      </c>
      <c r="B130" s="2">
        <f>'[01_Entry.xlsx]Book'!B130</f>
        <v/>
      </c>
      <c r="C130" s="2">
        <f>'[01_Entry.xlsx]Book'!D130</f>
        <v/>
      </c>
      <c r="D130" s="2">
        <f>'[01_Entry.xlsx]Book'!E130</f>
        <v/>
      </c>
      <c r="E130" s="2">
        <f>'[01_Entry.xlsx]Book'!O130</f>
        <v/>
      </c>
      <c r="F130" s="2">
        <f>'[01_Entry.xlsx]Book'!N130</f>
        <v/>
      </c>
      <c r="G130" s="3">
        <f>'[01_Entry.xlsx]Book'!L130</f>
        <v/>
      </c>
      <c r="H130" s="3">
        <f>'[01_Entry.xlsx]Book'!M130</f>
        <v/>
      </c>
      <c r="I130" s="3">
        <f>'[01_Entry.xlsx]Book'!K130</f>
        <v/>
      </c>
      <c r="J130" s="3">
        <f>'[01_Entry.xlsx]Book'!P130</f>
        <v/>
      </c>
      <c r="K130" s="3">
        <f>'[01_Entry.xlsx]Book'!F130</f>
        <v/>
      </c>
      <c r="L130" s="3">
        <f>'[01_Entry.xlsx]Book'!G130</f>
        <v/>
      </c>
      <c r="M130" s="3">
        <f>'[01_Entry.xlsx]Book'!I130</f>
        <v/>
      </c>
      <c r="N130" s="2">
        <f>IF($A130="","",MID($A130,6,2))</f>
        <v>0</v>
      </c>
      <c r="O130" s="2">
        <f>IF(OR($C130="",$C130&lt;&gt;'Inv'!$D$12),"",N(O$129)+1)</f>
        <v>0</v>
      </c>
    </row>
    <row r="131" spans="1:15">
      <c r="A131" s="2">
        <f>'[01_Entry.xlsx]Book'!A131</f>
        <v/>
      </c>
      <c r="B131" s="2">
        <f>'[01_Entry.xlsx]Book'!B131</f>
        <v/>
      </c>
      <c r="C131" s="2">
        <f>'[01_Entry.xlsx]Book'!D131</f>
        <v/>
      </c>
      <c r="D131" s="2">
        <f>'[01_Entry.xlsx]Book'!E131</f>
        <v/>
      </c>
      <c r="E131" s="2">
        <f>'[01_Entry.xlsx]Book'!O131</f>
        <v/>
      </c>
      <c r="F131" s="2">
        <f>'[01_Entry.xlsx]Book'!N131</f>
        <v/>
      </c>
      <c r="G131" s="3">
        <f>'[01_Entry.xlsx]Book'!L131</f>
        <v/>
      </c>
      <c r="H131" s="3">
        <f>'[01_Entry.xlsx]Book'!M131</f>
        <v/>
      </c>
      <c r="I131" s="3">
        <f>'[01_Entry.xlsx]Book'!K131</f>
        <v/>
      </c>
      <c r="J131" s="3">
        <f>'[01_Entry.xlsx]Book'!P131</f>
        <v/>
      </c>
      <c r="K131" s="3">
        <f>'[01_Entry.xlsx]Book'!F131</f>
        <v/>
      </c>
      <c r="L131" s="3">
        <f>'[01_Entry.xlsx]Book'!G131</f>
        <v/>
      </c>
      <c r="M131" s="3">
        <f>'[01_Entry.xlsx]Book'!I131</f>
        <v/>
      </c>
      <c r="N131" s="2">
        <f>IF($A131="","",MID($A131,6,2))</f>
        <v>0</v>
      </c>
      <c r="O131" s="2">
        <f>IF(OR($C131="",$C131&lt;&gt;'Inv'!$D$12),"",N(O$130)+1)</f>
        <v>0</v>
      </c>
    </row>
    <row r="132" spans="1:15">
      <c r="A132" s="2">
        <f>'[01_Entry.xlsx]Book'!A132</f>
        <v/>
      </c>
      <c r="B132" s="2">
        <f>'[01_Entry.xlsx]Book'!B132</f>
        <v/>
      </c>
      <c r="C132" s="2">
        <f>'[01_Entry.xlsx]Book'!D132</f>
        <v/>
      </c>
      <c r="D132" s="2">
        <f>'[01_Entry.xlsx]Book'!E132</f>
        <v/>
      </c>
      <c r="E132" s="2">
        <f>'[01_Entry.xlsx]Book'!O132</f>
        <v/>
      </c>
      <c r="F132" s="2">
        <f>'[01_Entry.xlsx]Book'!N132</f>
        <v/>
      </c>
      <c r="G132" s="3">
        <f>'[01_Entry.xlsx]Book'!L132</f>
        <v/>
      </c>
      <c r="H132" s="3">
        <f>'[01_Entry.xlsx]Book'!M132</f>
        <v/>
      </c>
      <c r="I132" s="3">
        <f>'[01_Entry.xlsx]Book'!K132</f>
        <v/>
      </c>
      <c r="J132" s="3">
        <f>'[01_Entry.xlsx]Book'!P132</f>
        <v/>
      </c>
      <c r="K132" s="3">
        <f>'[01_Entry.xlsx]Book'!F132</f>
        <v/>
      </c>
      <c r="L132" s="3">
        <f>'[01_Entry.xlsx]Book'!G132</f>
        <v/>
      </c>
      <c r="M132" s="3">
        <f>'[01_Entry.xlsx]Book'!I132</f>
        <v/>
      </c>
      <c r="N132" s="2">
        <f>IF($A132="","",MID($A132,6,2))</f>
        <v>0</v>
      </c>
      <c r="O132" s="2">
        <f>IF(OR($C132="",$C132&lt;&gt;'Inv'!$D$12),"",N(O$131)+1)</f>
        <v>0</v>
      </c>
    </row>
    <row r="133" spans="1:15">
      <c r="A133" s="2">
        <f>'[01_Entry.xlsx]Book'!A133</f>
        <v/>
      </c>
      <c r="B133" s="2">
        <f>'[01_Entry.xlsx]Book'!B133</f>
        <v/>
      </c>
      <c r="C133" s="2">
        <f>'[01_Entry.xlsx]Book'!D133</f>
        <v/>
      </c>
      <c r="D133" s="2">
        <f>'[01_Entry.xlsx]Book'!E133</f>
        <v/>
      </c>
      <c r="E133" s="2">
        <f>'[01_Entry.xlsx]Book'!O133</f>
        <v/>
      </c>
      <c r="F133" s="2">
        <f>'[01_Entry.xlsx]Book'!N133</f>
        <v/>
      </c>
      <c r="G133" s="3">
        <f>'[01_Entry.xlsx]Book'!L133</f>
        <v/>
      </c>
      <c r="H133" s="3">
        <f>'[01_Entry.xlsx]Book'!M133</f>
        <v/>
      </c>
      <c r="I133" s="3">
        <f>'[01_Entry.xlsx]Book'!K133</f>
        <v/>
      </c>
      <c r="J133" s="3">
        <f>'[01_Entry.xlsx]Book'!P133</f>
        <v/>
      </c>
      <c r="K133" s="3">
        <f>'[01_Entry.xlsx]Book'!F133</f>
        <v/>
      </c>
      <c r="L133" s="3">
        <f>'[01_Entry.xlsx]Book'!G133</f>
        <v/>
      </c>
      <c r="M133" s="3">
        <f>'[01_Entry.xlsx]Book'!I133</f>
        <v/>
      </c>
      <c r="N133" s="2">
        <f>IF($A133="","",MID($A133,6,2))</f>
        <v>0</v>
      </c>
      <c r="O133" s="2">
        <f>IF(OR($C133="",$C133&lt;&gt;'Inv'!$D$12),"",N(O$132)+1)</f>
        <v>0</v>
      </c>
    </row>
    <row r="134" spans="1:15">
      <c r="A134" s="2">
        <f>'[01_Entry.xlsx]Book'!A134</f>
        <v/>
      </c>
      <c r="B134" s="2">
        <f>'[01_Entry.xlsx]Book'!B134</f>
        <v/>
      </c>
      <c r="C134" s="2">
        <f>'[01_Entry.xlsx]Book'!D134</f>
        <v/>
      </c>
      <c r="D134" s="2">
        <f>'[01_Entry.xlsx]Book'!E134</f>
        <v/>
      </c>
      <c r="E134" s="2">
        <f>'[01_Entry.xlsx]Book'!O134</f>
        <v/>
      </c>
      <c r="F134" s="2">
        <f>'[01_Entry.xlsx]Book'!N134</f>
        <v/>
      </c>
      <c r="G134" s="3">
        <f>'[01_Entry.xlsx]Book'!L134</f>
        <v/>
      </c>
      <c r="H134" s="3">
        <f>'[01_Entry.xlsx]Book'!M134</f>
        <v/>
      </c>
      <c r="I134" s="3">
        <f>'[01_Entry.xlsx]Book'!K134</f>
        <v/>
      </c>
      <c r="J134" s="3">
        <f>'[01_Entry.xlsx]Book'!P134</f>
        <v/>
      </c>
      <c r="K134" s="3">
        <f>'[01_Entry.xlsx]Book'!F134</f>
        <v/>
      </c>
      <c r="L134" s="3">
        <f>'[01_Entry.xlsx]Book'!G134</f>
        <v/>
      </c>
      <c r="M134" s="3">
        <f>'[01_Entry.xlsx]Book'!I134</f>
        <v/>
      </c>
      <c r="N134" s="2">
        <f>IF($A134="","",MID($A134,6,2))</f>
        <v>0</v>
      </c>
      <c r="O134" s="2">
        <f>IF(OR($C134="",$C134&lt;&gt;'Inv'!$D$12),"",N(O$133)+1)</f>
        <v>0</v>
      </c>
    </row>
    <row r="135" spans="1:15">
      <c r="A135" s="2">
        <f>'[01_Entry.xlsx]Book'!A135</f>
        <v/>
      </c>
      <c r="B135" s="2">
        <f>'[01_Entry.xlsx]Book'!B135</f>
        <v/>
      </c>
      <c r="C135" s="2">
        <f>'[01_Entry.xlsx]Book'!D135</f>
        <v/>
      </c>
      <c r="D135" s="2">
        <f>'[01_Entry.xlsx]Book'!E135</f>
        <v/>
      </c>
      <c r="E135" s="2">
        <f>'[01_Entry.xlsx]Book'!O135</f>
        <v/>
      </c>
      <c r="F135" s="2">
        <f>'[01_Entry.xlsx]Book'!N135</f>
        <v/>
      </c>
      <c r="G135" s="3">
        <f>'[01_Entry.xlsx]Book'!L135</f>
        <v/>
      </c>
      <c r="H135" s="3">
        <f>'[01_Entry.xlsx]Book'!M135</f>
        <v/>
      </c>
      <c r="I135" s="3">
        <f>'[01_Entry.xlsx]Book'!K135</f>
        <v/>
      </c>
      <c r="J135" s="3">
        <f>'[01_Entry.xlsx]Book'!P135</f>
        <v/>
      </c>
      <c r="K135" s="3">
        <f>'[01_Entry.xlsx]Book'!F135</f>
        <v/>
      </c>
      <c r="L135" s="3">
        <f>'[01_Entry.xlsx]Book'!G135</f>
        <v/>
      </c>
      <c r="M135" s="3">
        <f>'[01_Entry.xlsx]Book'!I135</f>
        <v/>
      </c>
      <c r="N135" s="2">
        <f>IF($A135="","",MID($A135,6,2))</f>
        <v>0</v>
      </c>
      <c r="O135" s="2">
        <f>IF(OR($C135="",$C135&lt;&gt;'Inv'!$D$12),"",N(O$134)+1)</f>
        <v>0</v>
      </c>
    </row>
    <row r="136" spans="1:15">
      <c r="A136" s="2">
        <f>'[01_Entry.xlsx]Book'!A136</f>
        <v/>
      </c>
      <c r="B136" s="2">
        <f>'[01_Entry.xlsx]Book'!B136</f>
        <v/>
      </c>
      <c r="C136" s="2">
        <f>'[01_Entry.xlsx]Book'!D136</f>
        <v/>
      </c>
      <c r="D136" s="2">
        <f>'[01_Entry.xlsx]Book'!E136</f>
        <v/>
      </c>
      <c r="E136" s="2">
        <f>'[01_Entry.xlsx]Book'!O136</f>
        <v/>
      </c>
      <c r="F136" s="2">
        <f>'[01_Entry.xlsx]Book'!N136</f>
        <v/>
      </c>
      <c r="G136" s="3">
        <f>'[01_Entry.xlsx]Book'!L136</f>
        <v/>
      </c>
      <c r="H136" s="3">
        <f>'[01_Entry.xlsx]Book'!M136</f>
        <v/>
      </c>
      <c r="I136" s="3">
        <f>'[01_Entry.xlsx]Book'!K136</f>
        <v/>
      </c>
      <c r="J136" s="3">
        <f>'[01_Entry.xlsx]Book'!P136</f>
        <v/>
      </c>
      <c r="K136" s="3">
        <f>'[01_Entry.xlsx]Book'!F136</f>
        <v/>
      </c>
      <c r="L136" s="3">
        <f>'[01_Entry.xlsx]Book'!G136</f>
        <v/>
      </c>
      <c r="M136" s="3">
        <f>'[01_Entry.xlsx]Book'!I136</f>
        <v/>
      </c>
      <c r="N136" s="2">
        <f>IF($A136="","",MID($A136,6,2))</f>
        <v>0</v>
      </c>
      <c r="O136" s="2">
        <f>IF(OR($C136="",$C136&lt;&gt;'Inv'!$D$12),"",N(O$135)+1)</f>
        <v>0</v>
      </c>
    </row>
    <row r="137" spans="1:15">
      <c r="A137" s="2">
        <f>'[01_Entry.xlsx]Book'!A137</f>
        <v/>
      </c>
      <c r="B137" s="2">
        <f>'[01_Entry.xlsx]Book'!B137</f>
        <v/>
      </c>
      <c r="C137" s="2">
        <f>'[01_Entry.xlsx]Book'!D137</f>
        <v/>
      </c>
      <c r="D137" s="2">
        <f>'[01_Entry.xlsx]Book'!E137</f>
        <v/>
      </c>
      <c r="E137" s="2">
        <f>'[01_Entry.xlsx]Book'!O137</f>
        <v/>
      </c>
      <c r="F137" s="2">
        <f>'[01_Entry.xlsx]Book'!N137</f>
        <v/>
      </c>
      <c r="G137" s="3">
        <f>'[01_Entry.xlsx]Book'!L137</f>
        <v/>
      </c>
      <c r="H137" s="3">
        <f>'[01_Entry.xlsx]Book'!M137</f>
        <v/>
      </c>
      <c r="I137" s="3">
        <f>'[01_Entry.xlsx]Book'!K137</f>
        <v/>
      </c>
      <c r="J137" s="3">
        <f>'[01_Entry.xlsx]Book'!P137</f>
        <v/>
      </c>
      <c r="K137" s="3">
        <f>'[01_Entry.xlsx]Book'!F137</f>
        <v/>
      </c>
      <c r="L137" s="3">
        <f>'[01_Entry.xlsx]Book'!G137</f>
        <v/>
      </c>
      <c r="M137" s="3">
        <f>'[01_Entry.xlsx]Book'!I137</f>
        <v/>
      </c>
      <c r="N137" s="2">
        <f>IF($A137="","",MID($A137,6,2))</f>
        <v>0</v>
      </c>
      <c r="O137" s="2">
        <f>IF(OR($C137="",$C137&lt;&gt;'Inv'!$D$12),"",N(O$136)+1)</f>
        <v>0</v>
      </c>
    </row>
    <row r="138" spans="1:15">
      <c r="A138" s="2">
        <f>'[01_Entry.xlsx]Book'!A138</f>
        <v/>
      </c>
      <c r="B138" s="2">
        <f>'[01_Entry.xlsx]Book'!B138</f>
        <v/>
      </c>
      <c r="C138" s="2">
        <f>'[01_Entry.xlsx]Book'!D138</f>
        <v/>
      </c>
      <c r="D138" s="2">
        <f>'[01_Entry.xlsx]Book'!E138</f>
        <v/>
      </c>
      <c r="E138" s="2">
        <f>'[01_Entry.xlsx]Book'!O138</f>
        <v/>
      </c>
      <c r="F138" s="2">
        <f>'[01_Entry.xlsx]Book'!N138</f>
        <v/>
      </c>
      <c r="G138" s="3">
        <f>'[01_Entry.xlsx]Book'!L138</f>
        <v/>
      </c>
      <c r="H138" s="3">
        <f>'[01_Entry.xlsx]Book'!M138</f>
        <v/>
      </c>
      <c r="I138" s="3">
        <f>'[01_Entry.xlsx]Book'!K138</f>
        <v/>
      </c>
      <c r="J138" s="3">
        <f>'[01_Entry.xlsx]Book'!P138</f>
        <v/>
      </c>
      <c r="K138" s="3">
        <f>'[01_Entry.xlsx]Book'!F138</f>
        <v/>
      </c>
      <c r="L138" s="3">
        <f>'[01_Entry.xlsx]Book'!G138</f>
        <v/>
      </c>
      <c r="M138" s="3">
        <f>'[01_Entry.xlsx]Book'!I138</f>
        <v/>
      </c>
      <c r="N138" s="2">
        <f>IF($A138="","",MID($A138,6,2))</f>
        <v>0</v>
      </c>
      <c r="O138" s="2">
        <f>IF(OR($C138="",$C138&lt;&gt;'Inv'!$D$12),"",N(O$137)+1)</f>
        <v>0</v>
      </c>
    </row>
    <row r="139" spans="1:15">
      <c r="A139" s="2">
        <f>'[01_Entry.xlsx]Book'!A139</f>
        <v/>
      </c>
      <c r="B139" s="2">
        <f>'[01_Entry.xlsx]Book'!B139</f>
        <v/>
      </c>
      <c r="C139" s="2">
        <f>'[01_Entry.xlsx]Book'!D139</f>
        <v/>
      </c>
      <c r="D139" s="2">
        <f>'[01_Entry.xlsx]Book'!E139</f>
        <v/>
      </c>
      <c r="E139" s="2">
        <f>'[01_Entry.xlsx]Book'!O139</f>
        <v/>
      </c>
      <c r="F139" s="2">
        <f>'[01_Entry.xlsx]Book'!N139</f>
        <v/>
      </c>
      <c r="G139" s="3">
        <f>'[01_Entry.xlsx]Book'!L139</f>
        <v/>
      </c>
      <c r="H139" s="3">
        <f>'[01_Entry.xlsx]Book'!M139</f>
        <v/>
      </c>
      <c r="I139" s="3">
        <f>'[01_Entry.xlsx]Book'!K139</f>
        <v/>
      </c>
      <c r="J139" s="3">
        <f>'[01_Entry.xlsx]Book'!P139</f>
        <v/>
      </c>
      <c r="K139" s="3">
        <f>'[01_Entry.xlsx]Book'!F139</f>
        <v/>
      </c>
      <c r="L139" s="3">
        <f>'[01_Entry.xlsx]Book'!G139</f>
        <v/>
      </c>
      <c r="M139" s="3">
        <f>'[01_Entry.xlsx]Book'!I139</f>
        <v/>
      </c>
      <c r="N139" s="2">
        <f>IF($A139="","",MID($A139,6,2))</f>
        <v>0</v>
      </c>
      <c r="O139" s="2">
        <f>IF(OR($C139="",$C139&lt;&gt;'Inv'!$D$12),"",N(O$138)+1)</f>
        <v>0</v>
      </c>
    </row>
    <row r="140" spans="1:15">
      <c r="A140" s="2">
        <f>'[01_Entry.xlsx]Book'!A140</f>
        <v/>
      </c>
      <c r="B140" s="2">
        <f>'[01_Entry.xlsx]Book'!B140</f>
        <v/>
      </c>
      <c r="C140" s="2">
        <f>'[01_Entry.xlsx]Book'!D140</f>
        <v/>
      </c>
      <c r="D140" s="2">
        <f>'[01_Entry.xlsx]Book'!E140</f>
        <v/>
      </c>
      <c r="E140" s="2">
        <f>'[01_Entry.xlsx]Book'!O140</f>
        <v/>
      </c>
      <c r="F140" s="2">
        <f>'[01_Entry.xlsx]Book'!N140</f>
        <v/>
      </c>
      <c r="G140" s="3">
        <f>'[01_Entry.xlsx]Book'!L140</f>
        <v/>
      </c>
      <c r="H140" s="3">
        <f>'[01_Entry.xlsx]Book'!M140</f>
        <v/>
      </c>
      <c r="I140" s="3">
        <f>'[01_Entry.xlsx]Book'!K140</f>
        <v/>
      </c>
      <c r="J140" s="3">
        <f>'[01_Entry.xlsx]Book'!P140</f>
        <v/>
      </c>
      <c r="K140" s="3">
        <f>'[01_Entry.xlsx]Book'!F140</f>
        <v/>
      </c>
      <c r="L140" s="3">
        <f>'[01_Entry.xlsx]Book'!G140</f>
        <v/>
      </c>
      <c r="M140" s="3">
        <f>'[01_Entry.xlsx]Book'!I140</f>
        <v/>
      </c>
      <c r="N140" s="2">
        <f>IF($A140="","",MID($A140,6,2))</f>
        <v>0</v>
      </c>
      <c r="O140" s="2">
        <f>IF(OR($C140="",$C140&lt;&gt;'Inv'!$D$12),"",N(O$139)+1)</f>
        <v>0</v>
      </c>
    </row>
    <row r="141" spans="1:15">
      <c r="A141" s="2">
        <f>'[01_Entry.xlsx]Book'!A141</f>
        <v/>
      </c>
      <c r="B141" s="2">
        <f>'[01_Entry.xlsx]Book'!B141</f>
        <v/>
      </c>
      <c r="C141" s="2">
        <f>'[01_Entry.xlsx]Book'!D141</f>
        <v/>
      </c>
      <c r="D141" s="2">
        <f>'[01_Entry.xlsx]Book'!E141</f>
        <v/>
      </c>
      <c r="E141" s="2">
        <f>'[01_Entry.xlsx]Book'!O141</f>
        <v/>
      </c>
      <c r="F141" s="2">
        <f>'[01_Entry.xlsx]Book'!N141</f>
        <v/>
      </c>
      <c r="G141" s="3">
        <f>'[01_Entry.xlsx]Book'!L141</f>
        <v/>
      </c>
      <c r="H141" s="3">
        <f>'[01_Entry.xlsx]Book'!M141</f>
        <v/>
      </c>
      <c r="I141" s="3">
        <f>'[01_Entry.xlsx]Book'!K141</f>
        <v/>
      </c>
      <c r="J141" s="3">
        <f>'[01_Entry.xlsx]Book'!P141</f>
        <v/>
      </c>
      <c r="K141" s="3">
        <f>'[01_Entry.xlsx]Book'!F141</f>
        <v/>
      </c>
      <c r="L141" s="3">
        <f>'[01_Entry.xlsx]Book'!G141</f>
        <v/>
      </c>
      <c r="M141" s="3">
        <f>'[01_Entry.xlsx]Book'!I141</f>
        <v/>
      </c>
      <c r="N141" s="2">
        <f>IF($A141="","",MID($A141,6,2))</f>
        <v>0</v>
      </c>
      <c r="O141" s="2">
        <f>IF(OR($C141="",$C141&lt;&gt;'Inv'!$D$12),"",N(O$140)+1)</f>
        <v>0</v>
      </c>
    </row>
    <row r="142" spans="1:15">
      <c r="A142" s="2">
        <f>'[01_Entry.xlsx]Book'!A142</f>
        <v/>
      </c>
      <c r="B142" s="2">
        <f>'[01_Entry.xlsx]Book'!B142</f>
        <v/>
      </c>
      <c r="C142" s="2">
        <f>'[01_Entry.xlsx]Book'!D142</f>
        <v/>
      </c>
      <c r="D142" s="2">
        <f>'[01_Entry.xlsx]Book'!E142</f>
        <v/>
      </c>
      <c r="E142" s="2">
        <f>'[01_Entry.xlsx]Book'!O142</f>
        <v/>
      </c>
      <c r="F142" s="2">
        <f>'[01_Entry.xlsx]Book'!N142</f>
        <v/>
      </c>
      <c r="G142" s="3">
        <f>'[01_Entry.xlsx]Book'!L142</f>
        <v/>
      </c>
      <c r="H142" s="3">
        <f>'[01_Entry.xlsx]Book'!M142</f>
        <v/>
      </c>
      <c r="I142" s="3">
        <f>'[01_Entry.xlsx]Book'!K142</f>
        <v/>
      </c>
      <c r="J142" s="3">
        <f>'[01_Entry.xlsx]Book'!P142</f>
        <v/>
      </c>
      <c r="K142" s="3">
        <f>'[01_Entry.xlsx]Book'!F142</f>
        <v/>
      </c>
      <c r="L142" s="3">
        <f>'[01_Entry.xlsx]Book'!G142</f>
        <v/>
      </c>
      <c r="M142" s="3">
        <f>'[01_Entry.xlsx]Book'!I142</f>
        <v/>
      </c>
      <c r="N142" s="2">
        <f>IF($A142="","",MID($A142,6,2))</f>
        <v>0</v>
      </c>
      <c r="O142" s="2">
        <f>IF(OR($C142="",$C142&lt;&gt;'Inv'!$D$12),"",N(O$141)+1)</f>
        <v>0</v>
      </c>
    </row>
    <row r="143" spans="1:15">
      <c r="A143" s="2">
        <f>'[01_Entry.xlsx]Book'!A143</f>
        <v/>
      </c>
      <c r="B143" s="2">
        <f>'[01_Entry.xlsx]Book'!B143</f>
        <v/>
      </c>
      <c r="C143" s="2">
        <f>'[01_Entry.xlsx]Book'!D143</f>
        <v/>
      </c>
      <c r="D143" s="2">
        <f>'[01_Entry.xlsx]Book'!E143</f>
        <v/>
      </c>
      <c r="E143" s="2">
        <f>'[01_Entry.xlsx]Book'!O143</f>
        <v/>
      </c>
      <c r="F143" s="2">
        <f>'[01_Entry.xlsx]Book'!N143</f>
        <v/>
      </c>
      <c r="G143" s="3">
        <f>'[01_Entry.xlsx]Book'!L143</f>
        <v/>
      </c>
      <c r="H143" s="3">
        <f>'[01_Entry.xlsx]Book'!M143</f>
        <v/>
      </c>
      <c r="I143" s="3">
        <f>'[01_Entry.xlsx]Book'!K143</f>
        <v/>
      </c>
      <c r="J143" s="3">
        <f>'[01_Entry.xlsx]Book'!P143</f>
        <v/>
      </c>
      <c r="K143" s="3">
        <f>'[01_Entry.xlsx]Book'!F143</f>
        <v/>
      </c>
      <c r="L143" s="3">
        <f>'[01_Entry.xlsx]Book'!G143</f>
        <v/>
      </c>
      <c r="M143" s="3">
        <f>'[01_Entry.xlsx]Book'!I143</f>
        <v/>
      </c>
      <c r="N143" s="2">
        <f>IF($A143="","",MID($A143,6,2))</f>
        <v>0</v>
      </c>
      <c r="O143" s="2">
        <f>IF(OR($C143="",$C143&lt;&gt;'Inv'!$D$12),"",N(O$142)+1)</f>
        <v>0</v>
      </c>
    </row>
    <row r="144" spans="1:15">
      <c r="A144" s="2">
        <f>'[01_Entry.xlsx]Book'!A144</f>
        <v/>
      </c>
      <c r="B144" s="2">
        <f>'[01_Entry.xlsx]Book'!B144</f>
        <v/>
      </c>
      <c r="C144" s="2">
        <f>'[01_Entry.xlsx]Book'!D144</f>
        <v/>
      </c>
      <c r="D144" s="2">
        <f>'[01_Entry.xlsx]Book'!E144</f>
        <v/>
      </c>
      <c r="E144" s="2">
        <f>'[01_Entry.xlsx]Book'!O144</f>
        <v/>
      </c>
      <c r="F144" s="2">
        <f>'[01_Entry.xlsx]Book'!N144</f>
        <v/>
      </c>
      <c r="G144" s="3">
        <f>'[01_Entry.xlsx]Book'!L144</f>
        <v/>
      </c>
      <c r="H144" s="3">
        <f>'[01_Entry.xlsx]Book'!M144</f>
        <v/>
      </c>
      <c r="I144" s="3">
        <f>'[01_Entry.xlsx]Book'!K144</f>
        <v/>
      </c>
      <c r="J144" s="3">
        <f>'[01_Entry.xlsx]Book'!P144</f>
        <v/>
      </c>
      <c r="K144" s="3">
        <f>'[01_Entry.xlsx]Book'!F144</f>
        <v/>
      </c>
      <c r="L144" s="3">
        <f>'[01_Entry.xlsx]Book'!G144</f>
        <v/>
      </c>
      <c r="M144" s="3">
        <f>'[01_Entry.xlsx]Book'!I144</f>
        <v/>
      </c>
      <c r="N144" s="2">
        <f>IF($A144="","",MID($A144,6,2))</f>
        <v>0</v>
      </c>
      <c r="O144" s="2">
        <f>IF(OR($C144="",$C144&lt;&gt;'Inv'!$D$12),"",N(O$143)+1)</f>
        <v>0</v>
      </c>
    </row>
    <row r="145" spans="1:15">
      <c r="A145" s="2">
        <f>'[01_Entry.xlsx]Book'!A145</f>
        <v/>
      </c>
      <c r="B145" s="2">
        <f>'[01_Entry.xlsx]Book'!B145</f>
        <v/>
      </c>
      <c r="C145" s="2">
        <f>'[01_Entry.xlsx]Book'!D145</f>
        <v/>
      </c>
      <c r="D145" s="2">
        <f>'[01_Entry.xlsx]Book'!E145</f>
        <v/>
      </c>
      <c r="E145" s="2">
        <f>'[01_Entry.xlsx]Book'!O145</f>
        <v/>
      </c>
      <c r="F145" s="2">
        <f>'[01_Entry.xlsx]Book'!N145</f>
        <v/>
      </c>
      <c r="G145" s="3">
        <f>'[01_Entry.xlsx]Book'!L145</f>
        <v/>
      </c>
      <c r="H145" s="3">
        <f>'[01_Entry.xlsx]Book'!M145</f>
        <v/>
      </c>
      <c r="I145" s="3">
        <f>'[01_Entry.xlsx]Book'!K145</f>
        <v/>
      </c>
      <c r="J145" s="3">
        <f>'[01_Entry.xlsx]Book'!P145</f>
        <v/>
      </c>
      <c r="K145" s="3">
        <f>'[01_Entry.xlsx]Book'!F145</f>
        <v/>
      </c>
      <c r="L145" s="3">
        <f>'[01_Entry.xlsx]Book'!G145</f>
        <v/>
      </c>
      <c r="M145" s="3">
        <f>'[01_Entry.xlsx]Book'!I145</f>
        <v/>
      </c>
      <c r="N145" s="2">
        <f>IF($A145="","",MID($A145,6,2))</f>
        <v>0</v>
      </c>
      <c r="O145" s="2">
        <f>IF(OR($C145="",$C145&lt;&gt;'Inv'!$D$12),"",N(O$144)+1)</f>
        <v>0</v>
      </c>
    </row>
    <row r="146" spans="1:15">
      <c r="A146" s="2">
        <f>'[01_Entry.xlsx]Book'!A146</f>
        <v/>
      </c>
      <c r="B146" s="2">
        <f>'[01_Entry.xlsx]Book'!B146</f>
        <v/>
      </c>
      <c r="C146" s="2">
        <f>'[01_Entry.xlsx]Book'!D146</f>
        <v/>
      </c>
      <c r="D146" s="2">
        <f>'[01_Entry.xlsx]Book'!E146</f>
        <v/>
      </c>
      <c r="E146" s="2">
        <f>'[01_Entry.xlsx]Book'!O146</f>
        <v/>
      </c>
      <c r="F146" s="2">
        <f>'[01_Entry.xlsx]Book'!N146</f>
        <v/>
      </c>
      <c r="G146" s="3">
        <f>'[01_Entry.xlsx]Book'!L146</f>
        <v/>
      </c>
      <c r="H146" s="3">
        <f>'[01_Entry.xlsx]Book'!M146</f>
        <v/>
      </c>
      <c r="I146" s="3">
        <f>'[01_Entry.xlsx]Book'!K146</f>
        <v/>
      </c>
      <c r="J146" s="3">
        <f>'[01_Entry.xlsx]Book'!P146</f>
        <v/>
      </c>
      <c r="K146" s="3">
        <f>'[01_Entry.xlsx]Book'!F146</f>
        <v/>
      </c>
      <c r="L146" s="3">
        <f>'[01_Entry.xlsx]Book'!G146</f>
        <v/>
      </c>
      <c r="M146" s="3">
        <f>'[01_Entry.xlsx]Book'!I146</f>
        <v/>
      </c>
      <c r="N146" s="2">
        <f>IF($A146="","",MID($A146,6,2))</f>
        <v>0</v>
      </c>
      <c r="O146" s="2">
        <f>IF(OR($C146="",$C146&lt;&gt;'Inv'!$D$12),"",N(O$145)+1)</f>
        <v>0</v>
      </c>
    </row>
    <row r="147" spans="1:15">
      <c r="A147" s="2">
        <f>'[01_Entry.xlsx]Book'!A147</f>
        <v/>
      </c>
      <c r="B147" s="2">
        <f>'[01_Entry.xlsx]Book'!B147</f>
        <v/>
      </c>
      <c r="C147" s="2">
        <f>'[01_Entry.xlsx]Book'!D147</f>
        <v/>
      </c>
      <c r="D147" s="2">
        <f>'[01_Entry.xlsx]Book'!E147</f>
        <v/>
      </c>
      <c r="E147" s="2">
        <f>'[01_Entry.xlsx]Book'!O147</f>
        <v/>
      </c>
      <c r="F147" s="2">
        <f>'[01_Entry.xlsx]Book'!N147</f>
        <v/>
      </c>
      <c r="G147" s="3">
        <f>'[01_Entry.xlsx]Book'!L147</f>
        <v/>
      </c>
      <c r="H147" s="3">
        <f>'[01_Entry.xlsx]Book'!M147</f>
        <v/>
      </c>
      <c r="I147" s="3">
        <f>'[01_Entry.xlsx]Book'!K147</f>
        <v/>
      </c>
      <c r="J147" s="3">
        <f>'[01_Entry.xlsx]Book'!P147</f>
        <v/>
      </c>
      <c r="K147" s="3">
        <f>'[01_Entry.xlsx]Book'!F147</f>
        <v/>
      </c>
      <c r="L147" s="3">
        <f>'[01_Entry.xlsx]Book'!G147</f>
        <v/>
      </c>
      <c r="M147" s="3">
        <f>'[01_Entry.xlsx]Book'!I147</f>
        <v/>
      </c>
      <c r="N147" s="2">
        <f>IF($A147="","",MID($A147,6,2))</f>
        <v>0</v>
      </c>
      <c r="O147" s="2">
        <f>IF(OR($C147="",$C147&lt;&gt;'Inv'!$D$12),"",N(O$146)+1)</f>
        <v>0</v>
      </c>
    </row>
    <row r="148" spans="1:15">
      <c r="A148" s="2">
        <f>'[01_Entry.xlsx]Book'!A148</f>
        <v/>
      </c>
      <c r="B148" s="2">
        <f>'[01_Entry.xlsx]Book'!B148</f>
        <v/>
      </c>
      <c r="C148" s="2">
        <f>'[01_Entry.xlsx]Book'!D148</f>
        <v/>
      </c>
      <c r="D148" s="2">
        <f>'[01_Entry.xlsx]Book'!E148</f>
        <v/>
      </c>
      <c r="E148" s="2">
        <f>'[01_Entry.xlsx]Book'!O148</f>
        <v/>
      </c>
      <c r="F148" s="2">
        <f>'[01_Entry.xlsx]Book'!N148</f>
        <v/>
      </c>
      <c r="G148" s="3">
        <f>'[01_Entry.xlsx]Book'!L148</f>
        <v/>
      </c>
      <c r="H148" s="3">
        <f>'[01_Entry.xlsx]Book'!M148</f>
        <v/>
      </c>
      <c r="I148" s="3">
        <f>'[01_Entry.xlsx]Book'!K148</f>
        <v/>
      </c>
      <c r="J148" s="3">
        <f>'[01_Entry.xlsx]Book'!P148</f>
        <v/>
      </c>
      <c r="K148" s="3">
        <f>'[01_Entry.xlsx]Book'!F148</f>
        <v/>
      </c>
      <c r="L148" s="3">
        <f>'[01_Entry.xlsx]Book'!G148</f>
        <v/>
      </c>
      <c r="M148" s="3">
        <f>'[01_Entry.xlsx]Book'!I148</f>
        <v/>
      </c>
      <c r="N148" s="2">
        <f>IF($A148="","",MID($A148,6,2))</f>
        <v>0</v>
      </c>
      <c r="O148" s="2">
        <f>IF(OR($C148="",$C148&lt;&gt;'Inv'!$D$12),"",N(O$147)+1)</f>
        <v>0</v>
      </c>
    </row>
    <row r="149" spans="1:15">
      <c r="A149" s="2">
        <f>'[01_Entry.xlsx]Book'!A149</f>
        <v/>
      </c>
      <c r="B149" s="2">
        <f>'[01_Entry.xlsx]Book'!B149</f>
        <v/>
      </c>
      <c r="C149" s="2">
        <f>'[01_Entry.xlsx]Book'!D149</f>
        <v/>
      </c>
      <c r="D149" s="2">
        <f>'[01_Entry.xlsx]Book'!E149</f>
        <v/>
      </c>
      <c r="E149" s="2">
        <f>'[01_Entry.xlsx]Book'!O149</f>
        <v/>
      </c>
      <c r="F149" s="2">
        <f>'[01_Entry.xlsx]Book'!N149</f>
        <v/>
      </c>
      <c r="G149" s="3">
        <f>'[01_Entry.xlsx]Book'!L149</f>
        <v/>
      </c>
      <c r="H149" s="3">
        <f>'[01_Entry.xlsx]Book'!M149</f>
        <v/>
      </c>
      <c r="I149" s="3">
        <f>'[01_Entry.xlsx]Book'!K149</f>
        <v/>
      </c>
      <c r="J149" s="3">
        <f>'[01_Entry.xlsx]Book'!P149</f>
        <v/>
      </c>
      <c r="K149" s="3">
        <f>'[01_Entry.xlsx]Book'!F149</f>
        <v/>
      </c>
      <c r="L149" s="3">
        <f>'[01_Entry.xlsx]Book'!G149</f>
        <v/>
      </c>
      <c r="M149" s="3">
        <f>'[01_Entry.xlsx]Book'!I149</f>
        <v/>
      </c>
      <c r="N149" s="2">
        <f>IF($A149="","",MID($A149,6,2))</f>
        <v>0</v>
      </c>
      <c r="O149" s="2">
        <f>IF(OR($C149="",$C149&lt;&gt;'Inv'!$D$12),"",N(O$148)+1)</f>
        <v>0</v>
      </c>
    </row>
    <row r="150" spans="1:15">
      <c r="A150" s="2">
        <f>'[01_Entry.xlsx]Book'!A150</f>
        <v/>
      </c>
      <c r="B150" s="2">
        <f>'[01_Entry.xlsx]Book'!B150</f>
        <v/>
      </c>
      <c r="C150" s="2">
        <f>'[01_Entry.xlsx]Book'!D150</f>
        <v/>
      </c>
      <c r="D150" s="2">
        <f>'[01_Entry.xlsx]Book'!E150</f>
        <v/>
      </c>
      <c r="E150" s="2">
        <f>'[01_Entry.xlsx]Book'!O150</f>
        <v/>
      </c>
      <c r="F150" s="2">
        <f>'[01_Entry.xlsx]Book'!N150</f>
        <v/>
      </c>
      <c r="G150" s="3">
        <f>'[01_Entry.xlsx]Book'!L150</f>
        <v/>
      </c>
      <c r="H150" s="3">
        <f>'[01_Entry.xlsx]Book'!M150</f>
        <v/>
      </c>
      <c r="I150" s="3">
        <f>'[01_Entry.xlsx]Book'!K150</f>
        <v/>
      </c>
      <c r="J150" s="3">
        <f>'[01_Entry.xlsx]Book'!P150</f>
        <v/>
      </c>
      <c r="K150" s="3">
        <f>'[01_Entry.xlsx]Book'!F150</f>
        <v/>
      </c>
      <c r="L150" s="3">
        <f>'[01_Entry.xlsx]Book'!G150</f>
        <v/>
      </c>
      <c r="M150" s="3">
        <f>'[01_Entry.xlsx]Book'!I150</f>
        <v/>
      </c>
      <c r="N150" s="2">
        <f>IF($A150="","",MID($A150,6,2))</f>
        <v>0</v>
      </c>
      <c r="O150" s="2">
        <f>IF(OR($C150="",$C150&lt;&gt;'Inv'!$D$12),"",N(O$149)+1)</f>
        <v>0</v>
      </c>
    </row>
    <row r="151" spans="1:15">
      <c r="A151" s="2">
        <f>'[01_Entry.xlsx]Book'!A151</f>
        <v/>
      </c>
      <c r="B151" s="2">
        <f>'[01_Entry.xlsx]Book'!B151</f>
        <v/>
      </c>
      <c r="C151" s="2">
        <f>'[01_Entry.xlsx]Book'!D151</f>
        <v/>
      </c>
      <c r="D151" s="2">
        <f>'[01_Entry.xlsx]Book'!E151</f>
        <v/>
      </c>
      <c r="E151" s="2">
        <f>'[01_Entry.xlsx]Book'!O151</f>
        <v/>
      </c>
      <c r="F151" s="2">
        <f>'[01_Entry.xlsx]Book'!N151</f>
        <v/>
      </c>
      <c r="G151" s="3">
        <f>'[01_Entry.xlsx]Book'!L151</f>
        <v/>
      </c>
      <c r="H151" s="3">
        <f>'[01_Entry.xlsx]Book'!M151</f>
        <v/>
      </c>
      <c r="I151" s="3">
        <f>'[01_Entry.xlsx]Book'!K151</f>
        <v/>
      </c>
      <c r="J151" s="3">
        <f>'[01_Entry.xlsx]Book'!P151</f>
        <v/>
      </c>
      <c r="K151" s="3">
        <f>'[01_Entry.xlsx]Book'!F151</f>
        <v/>
      </c>
      <c r="L151" s="3">
        <f>'[01_Entry.xlsx]Book'!G151</f>
        <v/>
      </c>
      <c r="M151" s="3">
        <f>'[01_Entry.xlsx]Book'!I151</f>
        <v/>
      </c>
      <c r="N151" s="2">
        <f>IF($A151="","",MID($A151,6,2))</f>
        <v>0</v>
      </c>
      <c r="O151" s="2">
        <f>IF(OR($C151="",$C151&lt;&gt;'Inv'!$D$12),"",N(O$150)+1)</f>
        <v>0</v>
      </c>
    </row>
    <row r="152" spans="1:15">
      <c r="A152" s="2">
        <f>'[01_Entry.xlsx]Book'!A152</f>
        <v/>
      </c>
      <c r="B152" s="2">
        <f>'[01_Entry.xlsx]Book'!B152</f>
        <v/>
      </c>
      <c r="C152" s="2">
        <f>'[01_Entry.xlsx]Book'!D152</f>
        <v/>
      </c>
      <c r="D152" s="2">
        <f>'[01_Entry.xlsx]Book'!E152</f>
        <v/>
      </c>
      <c r="E152" s="2">
        <f>'[01_Entry.xlsx]Book'!O152</f>
        <v/>
      </c>
      <c r="F152" s="2">
        <f>'[01_Entry.xlsx]Book'!N152</f>
        <v/>
      </c>
      <c r="G152" s="3">
        <f>'[01_Entry.xlsx]Book'!L152</f>
        <v/>
      </c>
      <c r="H152" s="3">
        <f>'[01_Entry.xlsx]Book'!M152</f>
        <v/>
      </c>
      <c r="I152" s="3">
        <f>'[01_Entry.xlsx]Book'!K152</f>
        <v/>
      </c>
      <c r="J152" s="3">
        <f>'[01_Entry.xlsx]Book'!P152</f>
        <v/>
      </c>
      <c r="K152" s="3">
        <f>'[01_Entry.xlsx]Book'!F152</f>
        <v/>
      </c>
      <c r="L152" s="3">
        <f>'[01_Entry.xlsx]Book'!G152</f>
        <v/>
      </c>
      <c r="M152" s="3">
        <f>'[01_Entry.xlsx]Book'!I152</f>
        <v/>
      </c>
      <c r="N152" s="2">
        <f>IF($A152="","",MID($A152,6,2))</f>
        <v>0</v>
      </c>
      <c r="O152" s="2">
        <f>IF(OR($C152="",$C152&lt;&gt;'Inv'!$D$12),"",N(O$151)+1)</f>
        <v>0</v>
      </c>
    </row>
    <row r="153" spans="1:15">
      <c r="A153" s="2">
        <f>'[01_Entry.xlsx]Book'!A153</f>
        <v/>
      </c>
      <c r="B153" s="2">
        <f>'[01_Entry.xlsx]Book'!B153</f>
        <v/>
      </c>
      <c r="C153" s="2">
        <f>'[01_Entry.xlsx]Book'!D153</f>
        <v/>
      </c>
      <c r="D153" s="2">
        <f>'[01_Entry.xlsx]Book'!E153</f>
        <v/>
      </c>
      <c r="E153" s="2">
        <f>'[01_Entry.xlsx]Book'!O153</f>
        <v/>
      </c>
      <c r="F153" s="2">
        <f>'[01_Entry.xlsx]Book'!N153</f>
        <v/>
      </c>
      <c r="G153" s="3">
        <f>'[01_Entry.xlsx]Book'!L153</f>
        <v/>
      </c>
      <c r="H153" s="3">
        <f>'[01_Entry.xlsx]Book'!M153</f>
        <v/>
      </c>
      <c r="I153" s="3">
        <f>'[01_Entry.xlsx]Book'!K153</f>
        <v/>
      </c>
      <c r="J153" s="3">
        <f>'[01_Entry.xlsx]Book'!P153</f>
        <v/>
      </c>
      <c r="K153" s="3">
        <f>'[01_Entry.xlsx]Book'!F153</f>
        <v/>
      </c>
      <c r="L153" s="3">
        <f>'[01_Entry.xlsx]Book'!G153</f>
        <v/>
      </c>
      <c r="M153" s="3">
        <f>'[01_Entry.xlsx]Book'!I153</f>
        <v/>
      </c>
      <c r="N153" s="2">
        <f>IF($A153="","",MID($A153,6,2))</f>
        <v>0</v>
      </c>
      <c r="O153" s="2">
        <f>IF(OR($C153="",$C153&lt;&gt;'Inv'!$D$12),"",N(O$152)+1)</f>
        <v>0</v>
      </c>
    </row>
    <row r="154" spans="1:15">
      <c r="A154" s="2">
        <f>'[01_Entry.xlsx]Book'!A154</f>
        <v/>
      </c>
      <c r="B154" s="2">
        <f>'[01_Entry.xlsx]Book'!B154</f>
        <v/>
      </c>
      <c r="C154" s="2">
        <f>'[01_Entry.xlsx]Book'!D154</f>
        <v/>
      </c>
      <c r="D154" s="2">
        <f>'[01_Entry.xlsx]Book'!E154</f>
        <v/>
      </c>
      <c r="E154" s="2">
        <f>'[01_Entry.xlsx]Book'!O154</f>
        <v/>
      </c>
      <c r="F154" s="2">
        <f>'[01_Entry.xlsx]Book'!N154</f>
        <v/>
      </c>
      <c r="G154" s="3">
        <f>'[01_Entry.xlsx]Book'!L154</f>
        <v/>
      </c>
      <c r="H154" s="3">
        <f>'[01_Entry.xlsx]Book'!M154</f>
        <v/>
      </c>
      <c r="I154" s="3">
        <f>'[01_Entry.xlsx]Book'!K154</f>
        <v/>
      </c>
      <c r="J154" s="3">
        <f>'[01_Entry.xlsx]Book'!P154</f>
        <v/>
      </c>
      <c r="K154" s="3">
        <f>'[01_Entry.xlsx]Book'!F154</f>
        <v/>
      </c>
      <c r="L154" s="3">
        <f>'[01_Entry.xlsx]Book'!G154</f>
        <v/>
      </c>
      <c r="M154" s="3">
        <f>'[01_Entry.xlsx]Book'!I154</f>
        <v/>
      </c>
      <c r="N154" s="2">
        <f>IF($A154="","",MID($A154,6,2))</f>
        <v>0</v>
      </c>
      <c r="O154" s="2">
        <f>IF(OR($C154="",$C154&lt;&gt;'Inv'!$D$12),"",N(O$153)+1)</f>
        <v>0</v>
      </c>
    </row>
    <row r="155" spans="1:15">
      <c r="A155" s="2">
        <f>'[01_Entry.xlsx]Book'!A155</f>
        <v/>
      </c>
      <c r="B155" s="2">
        <f>'[01_Entry.xlsx]Book'!B155</f>
        <v/>
      </c>
      <c r="C155" s="2">
        <f>'[01_Entry.xlsx]Book'!D155</f>
        <v/>
      </c>
      <c r="D155" s="2">
        <f>'[01_Entry.xlsx]Book'!E155</f>
        <v/>
      </c>
      <c r="E155" s="2">
        <f>'[01_Entry.xlsx]Book'!O155</f>
        <v/>
      </c>
      <c r="F155" s="2">
        <f>'[01_Entry.xlsx]Book'!N155</f>
        <v/>
      </c>
      <c r="G155" s="3">
        <f>'[01_Entry.xlsx]Book'!L155</f>
        <v/>
      </c>
      <c r="H155" s="3">
        <f>'[01_Entry.xlsx]Book'!M155</f>
        <v/>
      </c>
      <c r="I155" s="3">
        <f>'[01_Entry.xlsx]Book'!K155</f>
        <v/>
      </c>
      <c r="J155" s="3">
        <f>'[01_Entry.xlsx]Book'!P155</f>
        <v/>
      </c>
      <c r="K155" s="3">
        <f>'[01_Entry.xlsx]Book'!F155</f>
        <v/>
      </c>
      <c r="L155" s="3">
        <f>'[01_Entry.xlsx]Book'!G155</f>
        <v/>
      </c>
      <c r="M155" s="3">
        <f>'[01_Entry.xlsx]Book'!I155</f>
        <v/>
      </c>
      <c r="N155" s="2">
        <f>IF($A155="","",MID($A155,6,2))</f>
        <v>0</v>
      </c>
      <c r="O155" s="2">
        <f>IF(OR($C155="",$C155&lt;&gt;'Inv'!$D$12),"",N(O$154)+1)</f>
        <v>0</v>
      </c>
    </row>
    <row r="156" spans="1:15">
      <c r="A156" s="2">
        <f>'[01_Entry.xlsx]Book'!A156</f>
        <v/>
      </c>
      <c r="B156" s="2">
        <f>'[01_Entry.xlsx]Book'!B156</f>
        <v/>
      </c>
      <c r="C156" s="2">
        <f>'[01_Entry.xlsx]Book'!D156</f>
        <v/>
      </c>
      <c r="D156" s="2">
        <f>'[01_Entry.xlsx]Book'!E156</f>
        <v/>
      </c>
      <c r="E156" s="2">
        <f>'[01_Entry.xlsx]Book'!O156</f>
        <v/>
      </c>
      <c r="F156" s="2">
        <f>'[01_Entry.xlsx]Book'!N156</f>
        <v/>
      </c>
      <c r="G156" s="3">
        <f>'[01_Entry.xlsx]Book'!L156</f>
        <v/>
      </c>
      <c r="H156" s="3">
        <f>'[01_Entry.xlsx]Book'!M156</f>
        <v/>
      </c>
      <c r="I156" s="3">
        <f>'[01_Entry.xlsx]Book'!K156</f>
        <v/>
      </c>
      <c r="J156" s="3">
        <f>'[01_Entry.xlsx]Book'!P156</f>
        <v/>
      </c>
      <c r="K156" s="3">
        <f>'[01_Entry.xlsx]Book'!F156</f>
        <v/>
      </c>
      <c r="L156" s="3">
        <f>'[01_Entry.xlsx]Book'!G156</f>
        <v/>
      </c>
      <c r="M156" s="3">
        <f>'[01_Entry.xlsx]Book'!I156</f>
        <v/>
      </c>
      <c r="N156" s="2">
        <f>IF($A156="","",MID($A156,6,2))</f>
        <v>0</v>
      </c>
      <c r="O156" s="2">
        <f>IF(OR($C156="",$C156&lt;&gt;'Inv'!$D$12),"",N(O$155)+1)</f>
        <v>0</v>
      </c>
    </row>
    <row r="157" spans="1:15">
      <c r="A157" s="2">
        <f>'[01_Entry.xlsx]Book'!A157</f>
        <v/>
      </c>
      <c r="B157" s="2">
        <f>'[01_Entry.xlsx]Book'!B157</f>
        <v/>
      </c>
      <c r="C157" s="2">
        <f>'[01_Entry.xlsx]Book'!D157</f>
        <v/>
      </c>
      <c r="D157" s="2">
        <f>'[01_Entry.xlsx]Book'!E157</f>
        <v/>
      </c>
      <c r="E157" s="2">
        <f>'[01_Entry.xlsx]Book'!O157</f>
        <v/>
      </c>
      <c r="F157" s="2">
        <f>'[01_Entry.xlsx]Book'!N157</f>
        <v/>
      </c>
      <c r="G157" s="3">
        <f>'[01_Entry.xlsx]Book'!L157</f>
        <v/>
      </c>
      <c r="H157" s="3">
        <f>'[01_Entry.xlsx]Book'!M157</f>
        <v/>
      </c>
      <c r="I157" s="3">
        <f>'[01_Entry.xlsx]Book'!K157</f>
        <v/>
      </c>
      <c r="J157" s="3">
        <f>'[01_Entry.xlsx]Book'!P157</f>
        <v/>
      </c>
      <c r="K157" s="3">
        <f>'[01_Entry.xlsx]Book'!F157</f>
        <v/>
      </c>
      <c r="L157" s="3">
        <f>'[01_Entry.xlsx]Book'!G157</f>
        <v/>
      </c>
      <c r="M157" s="3">
        <f>'[01_Entry.xlsx]Book'!I157</f>
        <v/>
      </c>
      <c r="N157" s="2">
        <f>IF($A157="","",MID($A157,6,2))</f>
        <v>0</v>
      </c>
      <c r="O157" s="2">
        <f>IF(OR($C157="",$C157&lt;&gt;'Inv'!$D$12),"",N(O$156)+1)</f>
        <v>0</v>
      </c>
    </row>
    <row r="158" spans="1:15">
      <c r="A158" s="2">
        <f>'[01_Entry.xlsx]Book'!A158</f>
        <v/>
      </c>
      <c r="B158" s="2">
        <f>'[01_Entry.xlsx]Book'!B158</f>
        <v/>
      </c>
      <c r="C158" s="2">
        <f>'[01_Entry.xlsx]Book'!D158</f>
        <v/>
      </c>
      <c r="D158" s="2">
        <f>'[01_Entry.xlsx]Book'!E158</f>
        <v/>
      </c>
      <c r="E158" s="2">
        <f>'[01_Entry.xlsx]Book'!O158</f>
        <v/>
      </c>
      <c r="F158" s="2">
        <f>'[01_Entry.xlsx]Book'!N158</f>
        <v/>
      </c>
      <c r="G158" s="3">
        <f>'[01_Entry.xlsx]Book'!L158</f>
        <v/>
      </c>
      <c r="H158" s="3">
        <f>'[01_Entry.xlsx]Book'!M158</f>
        <v/>
      </c>
      <c r="I158" s="3">
        <f>'[01_Entry.xlsx]Book'!K158</f>
        <v/>
      </c>
      <c r="J158" s="3">
        <f>'[01_Entry.xlsx]Book'!P158</f>
        <v/>
      </c>
      <c r="K158" s="3">
        <f>'[01_Entry.xlsx]Book'!F158</f>
        <v/>
      </c>
      <c r="L158" s="3">
        <f>'[01_Entry.xlsx]Book'!G158</f>
        <v/>
      </c>
      <c r="M158" s="3">
        <f>'[01_Entry.xlsx]Book'!I158</f>
        <v/>
      </c>
      <c r="N158" s="2">
        <f>IF($A158="","",MID($A158,6,2))</f>
        <v>0</v>
      </c>
      <c r="O158" s="2">
        <f>IF(OR($C158="",$C158&lt;&gt;'Inv'!$D$12),"",N(O$157)+1)</f>
        <v>0</v>
      </c>
    </row>
    <row r="159" spans="1:15">
      <c r="A159" s="2">
        <f>'[01_Entry.xlsx]Book'!A159</f>
        <v/>
      </c>
      <c r="B159" s="2">
        <f>'[01_Entry.xlsx]Book'!B159</f>
        <v/>
      </c>
      <c r="C159" s="2">
        <f>'[01_Entry.xlsx]Book'!D159</f>
        <v/>
      </c>
      <c r="D159" s="2">
        <f>'[01_Entry.xlsx]Book'!E159</f>
        <v/>
      </c>
      <c r="E159" s="2">
        <f>'[01_Entry.xlsx]Book'!O159</f>
        <v/>
      </c>
      <c r="F159" s="2">
        <f>'[01_Entry.xlsx]Book'!N159</f>
        <v/>
      </c>
      <c r="G159" s="3">
        <f>'[01_Entry.xlsx]Book'!L159</f>
        <v/>
      </c>
      <c r="H159" s="3">
        <f>'[01_Entry.xlsx]Book'!M159</f>
        <v/>
      </c>
      <c r="I159" s="3">
        <f>'[01_Entry.xlsx]Book'!K159</f>
        <v/>
      </c>
      <c r="J159" s="3">
        <f>'[01_Entry.xlsx]Book'!P159</f>
        <v/>
      </c>
      <c r="K159" s="3">
        <f>'[01_Entry.xlsx]Book'!F159</f>
        <v/>
      </c>
      <c r="L159" s="3">
        <f>'[01_Entry.xlsx]Book'!G159</f>
        <v/>
      </c>
      <c r="M159" s="3">
        <f>'[01_Entry.xlsx]Book'!I159</f>
        <v/>
      </c>
      <c r="N159" s="2">
        <f>IF($A159="","",MID($A159,6,2))</f>
        <v>0</v>
      </c>
      <c r="O159" s="2">
        <f>IF(OR($C159="",$C159&lt;&gt;'Inv'!$D$12),"",N(O$158)+1)</f>
        <v>0</v>
      </c>
    </row>
    <row r="160" spans="1:15">
      <c r="A160" s="2">
        <f>'[01_Entry.xlsx]Book'!A160</f>
        <v/>
      </c>
      <c r="B160" s="2">
        <f>'[01_Entry.xlsx]Book'!B160</f>
        <v/>
      </c>
      <c r="C160" s="2">
        <f>'[01_Entry.xlsx]Book'!D160</f>
        <v/>
      </c>
      <c r="D160" s="2">
        <f>'[01_Entry.xlsx]Book'!E160</f>
        <v/>
      </c>
      <c r="E160" s="2">
        <f>'[01_Entry.xlsx]Book'!O160</f>
        <v/>
      </c>
      <c r="F160" s="2">
        <f>'[01_Entry.xlsx]Book'!N160</f>
        <v/>
      </c>
      <c r="G160" s="3">
        <f>'[01_Entry.xlsx]Book'!L160</f>
        <v/>
      </c>
      <c r="H160" s="3">
        <f>'[01_Entry.xlsx]Book'!M160</f>
        <v/>
      </c>
      <c r="I160" s="3">
        <f>'[01_Entry.xlsx]Book'!K160</f>
        <v/>
      </c>
      <c r="J160" s="3">
        <f>'[01_Entry.xlsx]Book'!P160</f>
        <v/>
      </c>
      <c r="K160" s="3">
        <f>'[01_Entry.xlsx]Book'!F160</f>
        <v/>
      </c>
      <c r="L160" s="3">
        <f>'[01_Entry.xlsx]Book'!G160</f>
        <v/>
      </c>
      <c r="M160" s="3">
        <f>'[01_Entry.xlsx]Book'!I160</f>
        <v/>
      </c>
      <c r="N160" s="2">
        <f>IF($A160="","",MID($A160,6,2))</f>
        <v>0</v>
      </c>
      <c r="O160" s="2">
        <f>IF(OR($C160="",$C160&lt;&gt;'Inv'!$D$12),"",N(O$159)+1)</f>
        <v>0</v>
      </c>
    </row>
    <row r="161" spans="1:15">
      <c r="A161" s="2">
        <f>'[01_Entry.xlsx]Book'!A161</f>
        <v/>
      </c>
      <c r="B161" s="2">
        <f>'[01_Entry.xlsx]Book'!B161</f>
        <v/>
      </c>
      <c r="C161" s="2">
        <f>'[01_Entry.xlsx]Book'!D161</f>
        <v/>
      </c>
      <c r="D161" s="2">
        <f>'[01_Entry.xlsx]Book'!E161</f>
        <v/>
      </c>
      <c r="E161" s="2">
        <f>'[01_Entry.xlsx]Book'!O161</f>
        <v/>
      </c>
      <c r="F161" s="2">
        <f>'[01_Entry.xlsx]Book'!N161</f>
        <v/>
      </c>
      <c r="G161" s="3">
        <f>'[01_Entry.xlsx]Book'!L161</f>
        <v/>
      </c>
      <c r="H161" s="3">
        <f>'[01_Entry.xlsx]Book'!M161</f>
        <v/>
      </c>
      <c r="I161" s="3">
        <f>'[01_Entry.xlsx]Book'!K161</f>
        <v/>
      </c>
      <c r="J161" s="3">
        <f>'[01_Entry.xlsx]Book'!P161</f>
        <v/>
      </c>
      <c r="K161" s="3">
        <f>'[01_Entry.xlsx]Book'!F161</f>
        <v/>
      </c>
      <c r="L161" s="3">
        <f>'[01_Entry.xlsx]Book'!G161</f>
        <v/>
      </c>
      <c r="M161" s="3">
        <f>'[01_Entry.xlsx]Book'!I161</f>
        <v/>
      </c>
      <c r="N161" s="2">
        <f>IF($A161="","",MID($A161,6,2))</f>
        <v>0</v>
      </c>
      <c r="O161" s="2">
        <f>IF(OR($C161="",$C161&lt;&gt;'Inv'!$D$12),"",N(O$160)+1)</f>
        <v>0</v>
      </c>
    </row>
    <row r="162" spans="1:15">
      <c r="A162" s="2">
        <f>'[01_Entry.xlsx]Book'!A162</f>
        <v/>
      </c>
      <c r="B162" s="2">
        <f>'[01_Entry.xlsx]Book'!B162</f>
        <v/>
      </c>
      <c r="C162" s="2">
        <f>'[01_Entry.xlsx]Book'!D162</f>
        <v/>
      </c>
      <c r="D162" s="2">
        <f>'[01_Entry.xlsx]Book'!E162</f>
        <v/>
      </c>
      <c r="E162" s="2">
        <f>'[01_Entry.xlsx]Book'!O162</f>
        <v/>
      </c>
      <c r="F162" s="2">
        <f>'[01_Entry.xlsx]Book'!N162</f>
        <v/>
      </c>
      <c r="G162" s="3">
        <f>'[01_Entry.xlsx]Book'!L162</f>
        <v/>
      </c>
      <c r="H162" s="3">
        <f>'[01_Entry.xlsx]Book'!M162</f>
        <v/>
      </c>
      <c r="I162" s="3">
        <f>'[01_Entry.xlsx]Book'!K162</f>
        <v/>
      </c>
      <c r="J162" s="3">
        <f>'[01_Entry.xlsx]Book'!P162</f>
        <v/>
      </c>
      <c r="K162" s="3">
        <f>'[01_Entry.xlsx]Book'!F162</f>
        <v/>
      </c>
      <c r="L162" s="3">
        <f>'[01_Entry.xlsx]Book'!G162</f>
        <v/>
      </c>
      <c r="M162" s="3">
        <f>'[01_Entry.xlsx]Book'!I162</f>
        <v/>
      </c>
      <c r="N162" s="2">
        <f>IF($A162="","",MID($A162,6,2))</f>
        <v>0</v>
      </c>
      <c r="O162" s="2">
        <f>IF(OR($C162="",$C162&lt;&gt;'Inv'!$D$12),"",N(O$161)+1)</f>
        <v>0</v>
      </c>
    </row>
    <row r="163" spans="1:15">
      <c r="A163" s="2">
        <f>'[01_Entry.xlsx]Book'!A163</f>
        <v/>
      </c>
      <c r="B163" s="2">
        <f>'[01_Entry.xlsx]Book'!B163</f>
        <v/>
      </c>
      <c r="C163" s="2">
        <f>'[01_Entry.xlsx]Book'!D163</f>
        <v/>
      </c>
      <c r="D163" s="2">
        <f>'[01_Entry.xlsx]Book'!E163</f>
        <v/>
      </c>
      <c r="E163" s="2">
        <f>'[01_Entry.xlsx]Book'!O163</f>
        <v/>
      </c>
      <c r="F163" s="2">
        <f>'[01_Entry.xlsx]Book'!N163</f>
        <v/>
      </c>
      <c r="G163" s="3">
        <f>'[01_Entry.xlsx]Book'!L163</f>
        <v/>
      </c>
      <c r="H163" s="3">
        <f>'[01_Entry.xlsx]Book'!M163</f>
        <v/>
      </c>
      <c r="I163" s="3">
        <f>'[01_Entry.xlsx]Book'!K163</f>
        <v/>
      </c>
      <c r="J163" s="3">
        <f>'[01_Entry.xlsx]Book'!P163</f>
        <v/>
      </c>
      <c r="K163" s="3">
        <f>'[01_Entry.xlsx]Book'!F163</f>
        <v/>
      </c>
      <c r="L163" s="3">
        <f>'[01_Entry.xlsx]Book'!G163</f>
        <v/>
      </c>
      <c r="M163" s="3">
        <f>'[01_Entry.xlsx]Book'!I163</f>
        <v/>
      </c>
      <c r="N163" s="2">
        <f>IF($A163="","",MID($A163,6,2))</f>
        <v>0</v>
      </c>
      <c r="O163" s="2">
        <f>IF(OR($C163="",$C163&lt;&gt;'Inv'!$D$12),"",N(O$162)+1)</f>
        <v>0</v>
      </c>
    </row>
    <row r="164" spans="1:15">
      <c r="A164" s="2">
        <f>'[01_Entry.xlsx]Book'!A164</f>
        <v/>
      </c>
      <c r="B164" s="2">
        <f>'[01_Entry.xlsx]Book'!B164</f>
        <v/>
      </c>
      <c r="C164" s="2">
        <f>'[01_Entry.xlsx]Book'!D164</f>
        <v/>
      </c>
      <c r="D164" s="2">
        <f>'[01_Entry.xlsx]Book'!E164</f>
        <v/>
      </c>
      <c r="E164" s="2">
        <f>'[01_Entry.xlsx]Book'!O164</f>
        <v/>
      </c>
      <c r="F164" s="2">
        <f>'[01_Entry.xlsx]Book'!N164</f>
        <v/>
      </c>
      <c r="G164" s="3">
        <f>'[01_Entry.xlsx]Book'!L164</f>
        <v/>
      </c>
      <c r="H164" s="3">
        <f>'[01_Entry.xlsx]Book'!M164</f>
        <v/>
      </c>
      <c r="I164" s="3">
        <f>'[01_Entry.xlsx]Book'!K164</f>
        <v/>
      </c>
      <c r="J164" s="3">
        <f>'[01_Entry.xlsx]Book'!P164</f>
        <v/>
      </c>
      <c r="K164" s="3">
        <f>'[01_Entry.xlsx]Book'!F164</f>
        <v/>
      </c>
      <c r="L164" s="3">
        <f>'[01_Entry.xlsx]Book'!G164</f>
        <v/>
      </c>
      <c r="M164" s="3">
        <f>'[01_Entry.xlsx]Book'!I164</f>
        <v/>
      </c>
      <c r="N164" s="2">
        <f>IF($A164="","",MID($A164,6,2))</f>
        <v>0</v>
      </c>
      <c r="O164" s="2">
        <f>IF(OR($C164="",$C164&lt;&gt;'Inv'!$D$12),"",N(O$163)+1)</f>
        <v>0</v>
      </c>
    </row>
    <row r="165" spans="1:15">
      <c r="A165" s="2">
        <f>'[01_Entry.xlsx]Book'!A165</f>
        <v/>
      </c>
      <c r="B165" s="2">
        <f>'[01_Entry.xlsx]Book'!B165</f>
        <v/>
      </c>
      <c r="C165" s="2">
        <f>'[01_Entry.xlsx]Book'!D165</f>
        <v/>
      </c>
      <c r="D165" s="2">
        <f>'[01_Entry.xlsx]Book'!E165</f>
        <v/>
      </c>
      <c r="E165" s="2">
        <f>'[01_Entry.xlsx]Book'!O165</f>
        <v/>
      </c>
      <c r="F165" s="2">
        <f>'[01_Entry.xlsx]Book'!N165</f>
        <v/>
      </c>
      <c r="G165" s="3">
        <f>'[01_Entry.xlsx]Book'!L165</f>
        <v/>
      </c>
      <c r="H165" s="3">
        <f>'[01_Entry.xlsx]Book'!M165</f>
        <v/>
      </c>
      <c r="I165" s="3">
        <f>'[01_Entry.xlsx]Book'!K165</f>
        <v/>
      </c>
      <c r="J165" s="3">
        <f>'[01_Entry.xlsx]Book'!P165</f>
        <v/>
      </c>
      <c r="K165" s="3">
        <f>'[01_Entry.xlsx]Book'!F165</f>
        <v/>
      </c>
      <c r="L165" s="3">
        <f>'[01_Entry.xlsx]Book'!G165</f>
        <v/>
      </c>
      <c r="M165" s="3">
        <f>'[01_Entry.xlsx]Book'!I165</f>
        <v/>
      </c>
      <c r="N165" s="2">
        <f>IF($A165="","",MID($A165,6,2))</f>
        <v>0</v>
      </c>
      <c r="O165" s="2">
        <f>IF(OR($C165="",$C165&lt;&gt;'Inv'!$D$12),"",N(O$164)+1)</f>
        <v>0</v>
      </c>
    </row>
    <row r="166" spans="1:15">
      <c r="A166" s="2">
        <f>'[01_Entry.xlsx]Book'!A166</f>
        <v/>
      </c>
      <c r="B166" s="2">
        <f>'[01_Entry.xlsx]Book'!B166</f>
        <v/>
      </c>
      <c r="C166" s="2">
        <f>'[01_Entry.xlsx]Book'!D166</f>
        <v/>
      </c>
      <c r="D166" s="2">
        <f>'[01_Entry.xlsx]Book'!E166</f>
        <v/>
      </c>
      <c r="E166" s="2">
        <f>'[01_Entry.xlsx]Book'!O166</f>
        <v/>
      </c>
      <c r="F166" s="2">
        <f>'[01_Entry.xlsx]Book'!N166</f>
        <v/>
      </c>
      <c r="G166" s="3">
        <f>'[01_Entry.xlsx]Book'!L166</f>
        <v/>
      </c>
      <c r="H166" s="3">
        <f>'[01_Entry.xlsx]Book'!M166</f>
        <v/>
      </c>
      <c r="I166" s="3">
        <f>'[01_Entry.xlsx]Book'!K166</f>
        <v/>
      </c>
      <c r="J166" s="3">
        <f>'[01_Entry.xlsx]Book'!P166</f>
        <v/>
      </c>
      <c r="K166" s="3">
        <f>'[01_Entry.xlsx]Book'!F166</f>
        <v/>
      </c>
      <c r="L166" s="3">
        <f>'[01_Entry.xlsx]Book'!G166</f>
        <v/>
      </c>
      <c r="M166" s="3">
        <f>'[01_Entry.xlsx]Book'!I166</f>
        <v/>
      </c>
      <c r="N166" s="2">
        <f>IF($A166="","",MID($A166,6,2))</f>
        <v>0</v>
      </c>
      <c r="O166" s="2">
        <f>IF(OR($C166="",$C166&lt;&gt;'Inv'!$D$12),"",N(O$165)+1)</f>
        <v>0</v>
      </c>
    </row>
    <row r="167" spans="1:15">
      <c r="A167" s="2">
        <f>'[01_Entry.xlsx]Book'!A167</f>
        <v/>
      </c>
      <c r="B167" s="2">
        <f>'[01_Entry.xlsx]Book'!B167</f>
        <v/>
      </c>
      <c r="C167" s="2">
        <f>'[01_Entry.xlsx]Book'!D167</f>
        <v/>
      </c>
      <c r="D167" s="2">
        <f>'[01_Entry.xlsx]Book'!E167</f>
        <v/>
      </c>
      <c r="E167" s="2">
        <f>'[01_Entry.xlsx]Book'!O167</f>
        <v/>
      </c>
      <c r="F167" s="2">
        <f>'[01_Entry.xlsx]Book'!N167</f>
        <v/>
      </c>
      <c r="G167" s="3">
        <f>'[01_Entry.xlsx]Book'!L167</f>
        <v/>
      </c>
      <c r="H167" s="3">
        <f>'[01_Entry.xlsx]Book'!M167</f>
        <v/>
      </c>
      <c r="I167" s="3">
        <f>'[01_Entry.xlsx]Book'!K167</f>
        <v/>
      </c>
      <c r="J167" s="3">
        <f>'[01_Entry.xlsx]Book'!P167</f>
        <v/>
      </c>
      <c r="K167" s="3">
        <f>'[01_Entry.xlsx]Book'!F167</f>
        <v/>
      </c>
      <c r="L167" s="3">
        <f>'[01_Entry.xlsx]Book'!G167</f>
        <v/>
      </c>
      <c r="M167" s="3">
        <f>'[01_Entry.xlsx]Book'!I167</f>
        <v/>
      </c>
      <c r="N167" s="2">
        <f>IF($A167="","",MID($A167,6,2))</f>
        <v>0</v>
      </c>
      <c r="O167" s="2">
        <f>IF(OR($C167="",$C167&lt;&gt;'Inv'!$D$12),"",N(O$166)+1)</f>
        <v>0</v>
      </c>
    </row>
    <row r="168" spans="1:15">
      <c r="A168" s="2">
        <f>'[01_Entry.xlsx]Book'!A168</f>
        <v/>
      </c>
      <c r="B168" s="2">
        <f>'[01_Entry.xlsx]Book'!B168</f>
        <v/>
      </c>
      <c r="C168" s="2">
        <f>'[01_Entry.xlsx]Book'!D168</f>
        <v/>
      </c>
      <c r="D168" s="2">
        <f>'[01_Entry.xlsx]Book'!E168</f>
        <v/>
      </c>
      <c r="E168" s="2">
        <f>'[01_Entry.xlsx]Book'!O168</f>
        <v/>
      </c>
      <c r="F168" s="2">
        <f>'[01_Entry.xlsx]Book'!N168</f>
        <v/>
      </c>
      <c r="G168" s="3">
        <f>'[01_Entry.xlsx]Book'!L168</f>
        <v/>
      </c>
      <c r="H168" s="3">
        <f>'[01_Entry.xlsx]Book'!M168</f>
        <v/>
      </c>
      <c r="I168" s="3">
        <f>'[01_Entry.xlsx]Book'!K168</f>
        <v/>
      </c>
      <c r="J168" s="3">
        <f>'[01_Entry.xlsx]Book'!P168</f>
        <v/>
      </c>
      <c r="K168" s="3">
        <f>'[01_Entry.xlsx]Book'!F168</f>
        <v/>
      </c>
      <c r="L168" s="3">
        <f>'[01_Entry.xlsx]Book'!G168</f>
        <v/>
      </c>
      <c r="M168" s="3">
        <f>'[01_Entry.xlsx]Book'!I168</f>
        <v/>
      </c>
      <c r="N168" s="2">
        <f>IF($A168="","",MID($A168,6,2))</f>
        <v>0</v>
      </c>
      <c r="O168" s="2">
        <f>IF(OR($C168="",$C168&lt;&gt;'Inv'!$D$12),"",N(O$167)+1)</f>
        <v>0</v>
      </c>
    </row>
    <row r="169" spans="1:15">
      <c r="A169" s="2">
        <f>'[01_Entry.xlsx]Book'!A169</f>
        <v/>
      </c>
      <c r="B169" s="2">
        <f>'[01_Entry.xlsx]Book'!B169</f>
        <v/>
      </c>
      <c r="C169" s="2">
        <f>'[01_Entry.xlsx]Book'!D169</f>
        <v/>
      </c>
      <c r="D169" s="2">
        <f>'[01_Entry.xlsx]Book'!E169</f>
        <v/>
      </c>
      <c r="E169" s="2">
        <f>'[01_Entry.xlsx]Book'!O169</f>
        <v/>
      </c>
      <c r="F169" s="2">
        <f>'[01_Entry.xlsx]Book'!N169</f>
        <v/>
      </c>
      <c r="G169" s="3">
        <f>'[01_Entry.xlsx]Book'!L169</f>
        <v/>
      </c>
      <c r="H169" s="3">
        <f>'[01_Entry.xlsx]Book'!M169</f>
        <v/>
      </c>
      <c r="I169" s="3">
        <f>'[01_Entry.xlsx]Book'!K169</f>
        <v/>
      </c>
      <c r="J169" s="3">
        <f>'[01_Entry.xlsx]Book'!P169</f>
        <v/>
      </c>
      <c r="K169" s="3">
        <f>'[01_Entry.xlsx]Book'!F169</f>
        <v/>
      </c>
      <c r="L169" s="3">
        <f>'[01_Entry.xlsx]Book'!G169</f>
        <v/>
      </c>
      <c r="M169" s="3">
        <f>'[01_Entry.xlsx]Book'!I169</f>
        <v/>
      </c>
      <c r="N169" s="2">
        <f>IF($A169="","",MID($A169,6,2))</f>
        <v>0</v>
      </c>
      <c r="O169" s="2">
        <f>IF(OR($C169="",$C169&lt;&gt;'Inv'!$D$12),"",N(O$168)+1)</f>
        <v>0</v>
      </c>
    </row>
    <row r="170" spans="1:15">
      <c r="A170" s="2">
        <f>'[01_Entry.xlsx]Book'!A170</f>
        <v/>
      </c>
      <c r="B170" s="2">
        <f>'[01_Entry.xlsx]Book'!B170</f>
        <v/>
      </c>
      <c r="C170" s="2">
        <f>'[01_Entry.xlsx]Book'!D170</f>
        <v/>
      </c>
      <c r="D170" s="2">
        <f>'[01_Entry.xlsx]Book'!E170</f>
        <v/>
      </c>
      <c r="E170" s="2">
        <f>'[01_Entry.xlsx]Book'!O170</f>
        <v/>
      </c>
      <c r="F170" s="2">
        <f>'[01_Entry.xlsx]Book'!N170</f>
        <v/>
      </c>
      <c r="G170" s="3">
        <f>'[01_Entry.xlsx]Book'!L170</f>
        <v/>
      </c>
      <c r="H170" s="3">
        <f>'[01_Entry.xlsx]Book'!M170</f>
        <v/>
      </c>
      <c r="I170" s="3">
        <f>'[01_Entry.xlsx]Book'!K170</f>
        <v/>
      </c>
      <c r="J170" s="3">
        <f>'[01_Entry.xlsx]Book'!P170</f>
        <v/>
      </c>
      <c r="K170" s="3">
        <f>'[01_Entry.xlsx]Book'!F170</f>
        <v/>
      </c>
      <c r="L170" s="3">
        <f>'[01_Entry.xlsx]Book'!G170</f>
        <v/>
      </c>
      <c r="M170" s="3">
        <f>'[01_Entry.xlsx]Book'!I170</f>
        <v/>
      </c>
      <c r="N170" s="2">
        <f>IF($A170="","",MID($A170,6,2))</f>
        <v>0</v>
      </c>
      <c r="O170" s="2">
        <f>IF(OR($C170="",$C170&lt;&gt;'Inv'!$D$12),"",N(O$169)+1)</f>
        <v>0</v>
      </c>
    </row>
    <row r="171" spans="1:15">
      <c r="A171" s="2">
        <f>'[01_Entry.xlsx]Book'!A171</f>
        <v/>
      </c>
      <c r="B171" s="2">
        <f>'[01_Entry.xlsx]Book'!B171</f>
        <v/>
      </c>
      <c r="C171" s="2">
        <f>'[01_Entry.xlsx]Book'!D171</f>
        <v/>
      </c>
      <c r="D171" s="2">
        <f>'[01_Entry.xlsx]Book'!E171</f>
        <v/>
      </c>
      <c r="E171" s="2">
        <f>'[01_Entry.xlsx]Book'!O171</f>
        <v/>
      </c>
      <c r="F171" s="2">
        <f>'[01_Entry.xlsx]Book'!N171</f>
        <v/>
      </c>
      <c r="G171" s="3">
        <f>'[01_Entry.xlsx]Book'!L171</f>
        <v/>
      </c>
      <c r="H171" s="3">
        <f>'[01_Entry.xlsx]Book'!M171</f>
        <v/>
      </c>
      <c r="I171" s="3">
        <f>'[01_Entry.xlsx]Book'!K171</f>
        <v/>
      </c>
      <c r="J171" s="3">
        <f>'[01_Entry.xlsx]Book'!P171</f>
        <v/>
      </c>
      <c r="K171" s="3">
        <f>'[01_Entry.xlsx]Book'!F171</f>
        <v/>
      </c>
      <c r="L171" s="3">
        <f>'[01_Entry.xlsx]Book'!G171</f>
        <v/>
      </c>
      <c r="M171" s="3">
        <f>'[01_Entry.xlsx]Book'!I171</f>
        <v/>
      </c>
      <c r="N171" s="2">
        <f>IF($A171="","",MID($A171,6,2))</f>
        <v>0</v>
      </c>
      <c r="O171" s="2">
        <f>IF(OR($C171="",$C171&lt;&gt;'Inv'!$D$12),"",N(O$170)+1)</f>
        <v>0</v>
      </c>
    </row>
    <row r="172" spans="1:15">
      <c r="A172" s="2">
        <f>'[01_Entry.xlsx]Book'!A172</f>
        <v/>
      </c>
      <c r="B172" s="2">
        <f>'[01_Entry.xlsx]Book'!B172</f>
        <v/>
      </c>
      <c r="C172" s="2">
        <f>'[01_Entry.xlsx]Book'!D172</f>
        <v/>
      </c>
      <c r="D172" s="2">
        <f>'[01_Entry.xlsx]Book'!E172</f>
        <v/>
      </c>
      <c r="E172" s="2">
        <f>'[01_Entry.xlsx]Book'!O172</f>
        <v/>
      </c>
      <c r="F172" s="2">
        <f>'[01_Entry.xlsx]Book'!N172</f>
        <v/>
      </c>
      <c r="G172" s="3">
        <f>'[01_Entry.xlsx]Book'!L172</f>
        <v/>
      </c>
      <c r="H172" s="3">
        <f>'[01_Entry.xlsx]Book'!M172</f>
        <v/>
      </c>
      <c r="I172" s="3">
        <f>'[01_Entry.xlsx]Book'!K172</f>
        <v/>
      </c>
      <c r="J172" s="3">
        <f>'[01_Entry.xlsx]Book'!P172</f>
        <v/>
      </c>
      <c r="K172" s="3">
        <f>'[01_Entry.xlsx]Book'!F172</f>
        <v/>
      </c>
      <c r="L172" s="3">
        <f>'[01_Entry.xlsx]Book'!G172</f>
        <v/>
      </c>
      <c r="M172" s="3">
        <f>'[01_Entry.xlsx]Book'!I172</f>
        <v/>
      </c>
      <c r="N172" s="2">
        <f>IF($A172="","",MID($A172,6,2))</f>
        <v>0</v>
      </c>
      <c r="O172" s="2">
        <f>IF(OR($C172="",$C172&lt;&gt;'Inv'!$D$12),"",N(O$171)+1)</f>
        <v>0</v>
      </c>
    </row>
    <row r="173" spans="1:15">
      <c r="A173" s="2">
        <f>'[01_Entry.xlsx]Book'!A173</f>
        <v/>
      </c>
      <c r="B173" s="2">
        <f>'[01_Entry.xlsx]Book'!B173</f>
        <v/>
      </c>
      <c r="C173" s="2">
        <f>'[01_Entry.xlsx]Book'!D173</f>
        <v/>
      </c>
      <c r="D173" s="2">
        <f>'[01_Entry.xlsx]Book'!E173</f>
        <v/>
      </c>
      <c r="E173" s="2">
        <f>'[01_Entry.xlsx]Book'!O173</f>
        <v/>
      </c>
      <c r="F173" s="2">
        <f>'[01_Entry.xlsx]Book'!N173</f>
        <v/>
      </c>
      <c r="G173" s="3">
        <f>'[01_Entry.xlsx]Book'!L173</f>
        <v/>
      </c>
      <c r="H173" s="3">
        <f>'[01_Entry.xlsx]Book'!M173</f>
        <v/>
      </c>
      <c r="I173" s="3">
        <f>'[01_Entry.xlsx]Book'!K173</f>
        <v/>
      </c>
      <c r="J173" s="3">
        <f>'[01_Entry.xlsx]Book'!P173</f>
        <v/>
      </c>
      <c r="K173" s="3">
        <f>'[01_Entry.xlsx]Book'!F173</f>
        <v/>
      </c>
      <c r="L173" s="3">
        <f>'[01_Entry.xlsx]Book'!G173</f>
        <v/>
      </c>
      <c r="M173" s="3">
        <f>'[01_Entry.xlsx]Book'!I173</f>
        <v/>
      </c>
      <c r="N173" s="2">
        <f>IF($A173="","",MID($A173,6,2))</f>
        <v>0</v>
      </c>
      <c r="O173" s="2">
        <f>IF(OR($C173="",$C173&lt;&gt;'Inv'!$D$12),"",N(O$172)+1)</f>
        <v>0</v>
      </c>
    </row>
    <row r="174" spans="1:15">
      <c r="A174" s="2">
        <f>'[01_Entry.xlsx]Book'!A174</f>
        <v/>
      </c>
      <c r="B174" s="2">
        <f>'[01_Entry.xlsx]Book'!B174</f>
        <v/>
      </c>
      <c r="C174" s="2">
        <f>'[01_Entry.xlsx]Book'!D174</f>
        <v/>
      </c>
      <c r="D174" s="2">
        <f>'[01_Entry.xlsx]Book'!E174</f>
        <v/>
      </c>
      <c r="E174" s="2">
        <f>'[01_Entry.xlsx]Book'!O174</f>
        <v/>
      </c>
      <c r="F174" s="2">
        <f>'[01_Entry.xlsx]Book'!N174</f>
        <v/>
      </c>
      <c r="G174" s="3">
        <f>'[01_Entry.xlsx]Book'!L174</f>
        <v/>
      </c>
      <c r="H174" s="3">
        <f>'[01_Entry.xlsx]Book'!M174</f>
        <v/>
      </c>
      <c r="I174" s="3">
        <f>'[01_Entry.xlsx]Book'!K174</f>
        <v/>
      </c>
      <c r="J174" s="3">
        <f>'[01_Entry.xlsx]Book'!P174</f>
        <v/>
      </c>
      <c r="K174" s="3">
        <f>'[01_Entry.xlsx]Book'!F174</f>
        <v/>
      </c>
      <c r="L174" s="3">
        <f>'[01_Entry.xlsx]Book'!G174</f>
        <v/>
      </c>
      <c r="M174" s="3">
        <f>'[01_Entry.xlsx]Book'!I174</f>
        <v/>
      </c>
      <c r="N174" s="2">
        <f>IF($A174="","",MID($A174,6,2))</f>
        <v>0</v>
      </c>
      <c r="O174" s="2">
        <f>IF(OR($C174="",$C174&lt;&gt;'Inv'!$D$12),"",N(O$173)+1)</f>
        <v>0</v>
      </c>
    </row>
    <row r="175" spans="1:15">
      <c r="A175" s="2">
        <f>'[01_Entry.xlsx]Book'!A175</f>
        <v/>
      </c>
      <c r="B175" s="2">
        <f>'[01_Entry.xlsx]Book'!B175</f>
        <v/>
      </c>
      <c r="C175" s="2">
        <f>'[01_Entry.xlsx]Book'!D175</f>
        <v/>
      </c>
      <c r="D175" s="2">
        <f>'[01_Entry.xlsx]Book'!E175</f>
        <v/>
      </c>
      <c r="E175" s="2">
        <f>'[01_Entry.xlsx]Book'!O175</f>
        <v/>
      </c>
      <c r="F175" s="2">
        <f>'[01_Entry.xlsx]Book'!N175</f>
        <v/>
      </c>
      <c r="G175" s="3">
        <f>'[01_Entry.xlsx]Book'!L175</f>
        <v/>
      </c>
      <c r="H175" s="3">
        <f>'[01_Entry.xlsx]Book'!M175</f>
        <v/>
      </c>
      <c r="I175" s="3">
        <f>'[01_Entry.xlsx]Book'!K175</f>
        <v/>
      </c>
      <c r="J175" s="3">
        <f>'[01_Entry.xlsx]Book'!P175</f>
        <v/>
      </c>
      <c r="K175" s="3">
        <f>'[01_Entry.xlsx]Book'!F175</f>
        <v/>
      </c>
      <c r="L175" s="3">
        <f>'[01_Entry.xlsx]Book'!G175</f>
        <v/>
      </c>
      <c r="M175" s="3">
        <f>'[01_Entry.xlsx]Book'!I175</f>
        <v/>
      </c>
      <c r="N175" s="2">
        <f>IF($A175="","",MID($A175,6,2))</f>
        <v>0</v>
      </c>
      <c r="O175" s="2">
        <f>IF(OR($C175="",$C175&lt;&gt;'Inv'!$D$12),"",N(O$174)+1)</f>
        <v>0</v>
      </c>
    </row>
    <row r="176" spans="1:15">
      <c r="A176" s="2">
        <f>'[01_Entry.xlsx]Book'!A176</f>
        <v/>
      </c>
      <c r="B176" s="2">
        <f>'[01_Entry.xlsx]Book'!B176</f>
        <v/>
      </c>
      <c r="C176" s="2">
        <f>'[01_Entry.xlsx]Book'!D176</f>
        <v/>
      </c>
      <c r="D176" s="2">
        <f>'[01_Entry.xlsx]Book'!E176</f>
        <v/>
      </c>
      <c r="E176" s="2">
        <f>'[01_Entry.xlsx]Book'!O176</f>
        <v/>
      </c>
      <c r="F176" s="2">
        <f>'[01_Entry.xlsx]Book'!N176</f>
        <v/>
      </c>
      <c r="G176" s="3">
        <f>'[01_Entry.xlsx]Book'!L176</f>
        <v/>
      </c>
      <c r="H176" s="3">
        <f>'[01_Entry.xlsx]Book'!M176</f>
        <v/>
      </c>
      <c r="I176" s="3">
        <f>'[01_Entry.xlsx]Book'!K176</f>
        <v/>
      </c>
      <c r="J176" s="3">
        <f>'[01_Entry.xlsx]Book'!P176</f>
        <v/>
      </c>
      <c r="K176" s="3">
        <f>'[01_Entry.xlsx]Book'!F176</f>
        <v/>
      </c>
      <c r="L176" s="3">
        <f>'[01_Entry.xlsx]Book'!G176</f>
        <v/>
      </c>
      <c r="M176" s="3">
        <f>'[01_Entry.xlsx]Book'!I176</f>
        <v/>
      </c>
      <c r="N176" s="2">
        <f>IF($A176="","",MID($A176,6,2))</f>
        <v>0</v>
      </c>
      <c r="O176" s="2">
        <f>IF(OR($C176="",$C176&lt;&gt;'Inv'!$D$12),"",N(O$175)+1)</f>
        <v>0</v>
      </c>
    </row>
    <row r="177" spans="1:15">
      <c r="A177" s="2">
        <f>'[01_Entry.xlsx]Book'!A177</f>
        <v/>
      </c>
      <c r="B177" s="2">
        <f>'[01_Entry.xlsx]Book'!B177</f>
        <v/>
      </c>
      <c r="C177" s="2">
        <f>'[01_Entry.xlsx]Book'!D177</f>
        <v/>
      </c>
      <c r="D177" s="2">
        <f>'[01_Entry.xlsx]Book'!E177</f>
        <v/>
      </c>
      <c r="E177" s="2">
        <f>'[01_Entry.xlsx]Book'!O177</f>
        <v/>
      </c>
      <c r="F177" s="2">
        <f>'[01_Entry.xlsx]Book'!N177</f>
        <v/>
      </c>
      <c r="G177" s="3">
        <f>'[01_Entry.xlsx]Book'!L177</f>
        <v/>
      </c>
      <c r="H177" s="3">
        <f>'[01_Entry.xlsx]Book'!M177</f>
        <v/>
      </c>
      <c r="I177" s="3">
        <f>'[01_Entry.xlsx]Book'!K177</f>
        <v/>
      </c>
      <c r="J177" s="3">
        <f>'[01_Entry.xlsx]Book'!P177</f>
        <v/>
      </c>
      <c r="K177" s="3">
        <f>'[01_Entry.xlsx]Book'!F177</f>
        <v/>
      </c>
      <c r="L177" s="3">
        <f>'[01_Entry.xlsx]Book'!G177</f>
        <v/>
      </c>
      <c r="M177" s="3">
        <f>'[01_Entry.xlsx]Book'!I177</f>
        <v/>
      </c>
      <c r="N177" s="2">
        <f>IF($A177="","",MID($A177,6,2))</f>
        <v>0</v>
      </c>
      <c r="O177" s="2">
        <f>IF(OR($C177="",$C177&lt;&gt;'Inv'!$D$12),"",N(O$176)+1)</f>
        <v>0</v>
      </c>
    </row>
    <row r="178" spans="1:15">
      <c r="A178" s="2">
        <f>'[01_Entry.xlsx]Book'!A178</f>
        <v/>
      </c>
      <c r="B178" s="2">
        <f>'[01_Entry.xlsx]Book'!B178</f>
        <v/>
      </c>
      <c r="C178" s="2">
        <f>'[01_Entry.xlsx]Book'!D178</f>
        <v/>
      </c>
      <c r="D178" s="2">
        <f>'[01_Entry.xlsx]Book'!E178</f>
        <v/>
      </c>
      <c r="E178" s="2">
        <f>'[01_Entry.xlsx]Book'!O178</f>
        <v/>
      </c>
      <c r="F178" s="2">
        <f>'[01_Entry.xlsx]Book'!N178</f>
        <v/>
      </c>
      <c r="G178" s="3">
        <f>'[01_Entry.xlsx]Book'!L178</f>
        <v/>
      </c>
      <c r="H178" s="3">
        <f>'[01_Entry.xlsx]Book'!M178</f>
        <v/>
      </c>
      <c r="I178" s="3">
        <f>'[01_Entry.xlsx]Book'!K178</f>
        <v/>
      </c>
      <c r="J178" s="3">
        <f>'[01_Entry.xlsx]Book'!P178</f>
        <v/>
      </c>
      <c r="K178" s="3">
        <f>'[01_Entry.xlsx]Book'!F178</f>
        <v/>
      </c>
      <c r="L178" s="3">
        <f>'[01_Entry.xlsx]Book'!G178</f>
        <v/>
      </c>
      <c r="M178" s="3">
        <f>'[01_Entry.xlsx]Book'!I178</f>
        <v/>
      </c>
      <c r="N178" s="2">
        <f>IF($A178="","",MID($A178,6,2))</f>
        <v>0</v>
      </c>
      <c r="O178" s="2">
        <f>IF(OR($C178="",$C178&lt;&gt;'Inv'!$D$12),"",N(O$177)+1)</f>
        <v>0</v>
      </c>
    </row>
    <row r="179" spans="1:15">
      <c r="A179" s="2">
        <f>'[01_Entry.xlsx]Book'!A179</f>
        <v/>
      </c>
      <c r="B179" s="2">
        <f>'[01_Entry.xlsx]Book'!B179</f>
        <v/>
      </c>
      <c r="C179" s="2">
        <f>'[01_Entry.xlsx]Book'!D179</f>
        <v/>
      </c>
      <c r="D179" s="2">
        <f>'[01_Entry.xlsx]Book'!E179</f>
        <v/>
      </c>
      <c r="E179" s="2">
        <f>'[01_Entry.xlsx]Book'!O179</f>
        <v/>
      </c>
      <c r="F179" s="2">
        <f>'[01_Entry.xlsx]Book'!N179</f>
        <v/>
      </c>
      <c r="G179" s="3">
        <f>'[01_Entry.xlsx]Book'!L179</f>
        <v/>
      </c>
      <c r="H179" s="3">
        <f>'[01_Entry.xlsx]Book'!M179</f>
        <v/>
      </c>
      <c r="I179" s="3">
        <f>'[01_Entry.xlsx]Book'!K179</f>
        <v/>
      </c>
      <c r="J179" s="3">
        <f>'[01_Entry.xlsx]Book'!P179</f>
        <v/>
      </c>
      <c r="K179" s="3">
        <f>'[01_Entry.xlsx]Book'!F179</f>
        <v/>
      </c>
      <c r="L179" s="3">
        <f>'[01_Entry.xlsx]Book'!G179</f>
        <v/>
      </c>
      <c r="M179" s="3">
        <f>'[01_Entry.xlsx]Book'!I179</f>
        <v/>
      </c>
      <c r="N179" s="2">
        <f>IF($A179="","",MID($A179,6,2))</f>
        <v>0</v>
      </c>
      <c r="O179" s="2">
        <f>IF(OR($C179="",$C179&lt;&gt;'Inv'!$D$12),"",N(O$178)+1)</f>
        <v>0</v>
      </c>
    </row>
    <row r="180" spans="1:15">
      <c r="A180" s="2">
        <f>'[01_Entry.xlsx]Book'!A180</f>
        <v/>
      </c>
      <c r="B180" s="2">
        <f>'[01_Entry.xlsx]Book'!B180</f>
        <v/>
      </c>
      <c r="C180" s="2">
        <f>'[01_Entry.xlsx]Book'!D180</f>
        <v/>
      </c>
      <c r="D180" s="2">
        <f>'[01_Entry.xlsx]Book'!E180</f>
        <v/>
      </c>
      <c r="E180" s="2">
        <f>'[01_Entry.xlsx]Book'!O180</f>
        <v/>
      </c>
      <c r="F180" s="2">
        <f>'[01_Entry.xlsx]Book'!N180</f>
        <v/>
      </c>
      <c r="G180" s="3">
        <f>'[01_Entry.xlsx]Book'!L180</f>
        <v/>
      </c>
      <c r="H180" s="3">
        <f>'[01_Entry.xlsx]Book'!M180</f>
        <v/>
      </c>
      <c r="I180" s="3">
        <f>'[01_Entry.xlsx]Book'!K180</f>
        <v/>
      </c>
      <c r="J180" s="3">
        <f>'[01_Entry.xlsx]Book'!P180</f>
        <v/>
      </c>
      <c r="K180" s="3">
        <f>'[01_Entry.xlsx]Book'!F180</f>
        <v/>
      </c>
      <c r="L180" s="3">
        <f>'[01_Entry.xlsx]Book'!G180</f>
        <v/>
      </c>
      <c r="M180" s="3">
        <f>'[01_Entry.xlsx]Book'!I180</f>
        <v/>
      </c>
      <c r="N180" s="2">
        <f>IF($A180="","",MID($A180,6,2))</f>
        <v>0</v>
      </c>
      <c r="O180" s="2">
        <f>IF(OR($C180="",$C180&lt;&gt;'Inv'!$D$12),"",N(O$179)+1)</f>
        <v>0</v>
      </c>
    </row>
    <row r="181" spans="1:15">
      <c r="A181" s="2">
        <f>'[01_Entry.xlsx]Book'!A181</f>
        <v/>
      </c>
      <c r="B181" s="2">
        <f>'[01_Entry.xlsx]Book'!B181</f>
        <v/>
      </c>
      <c r="C181" s="2">
        <f>'[01_Entry.xlsx]Book'!D181</f>
        <v/>
      </c>
      <c r="D181" s="2">
        <f>'[01_Entry.xlsx]Book'!E181</f>
        <v/>
      </c>
      <c r="E181" s="2">
        <f>'[01_Entry.xlsx]Book'!O181</f>
        <v/>
      </c>
      <c r="F181" s="2">
        <f>'[01_Entry.xlsx]Book'!N181</f>
        <v/>
      </c>
      <c r="G181" s="3">
        <f>'[01_Entry.xlsx]Book'!L181</f>
        <v/>
      </c>
      <c r="H181" s="3">
        <f>'[01_Entry.xlsx]Book'!M181</f>
        <v/>
      </c>
      <c r="I181" s="3">
        <f>'[01_Entry.xlsx]Book'!K181</f>
        <v/>
      </c>
      <c r="J181" s="3">
        <f>'[01_Entry.xlsx]Book'!P181</f>
        <v/>
      </c>
      <c r="K181" s="3">
        <f>'[01_Entry.xlsx]Book'!F181</f>
        <v/>
      </c>
      <c r="L181" s="3">
        <f>'[01_Entry.xlsx]Book'!G181</f>
        <v/>
      </c>
      <c r="M181" s="3">
        <f>'[01_Entry.xlsx]Book'!I181</f>
        <v/>
      </c>
      <c r="N181" s="2">
        <f>IF($A181="","",MID($A181,6,2))</f>
        <v>0</v>
      </c>
      <c r="O181" s="2">
        <f>IF(OR($C181="",$C181&lt;&gt;'Inv'!$D$12),"",N(O$180)+1)</f>
        <v>0</v>
      </c>
    </row>
    <row r="182" spans="1:15">
      <c r="A182" s="2">
        <f>'[01_Entry.xlsx]Book'!A182</f>
        <v/>
      </c>
      <c r="B182" s="2">
        <f>'[01_Entry.xlsx]Book'!B182</f>
        <v/>
      </c>
      <c r="C182" s="2">
        <f>'[01_Entry.xlsx]Book'!D182</f>
        <v/>
      </c>
      <c r="D182" s="2">
        <f>'[01_Entry.xlsx]Book'!E182</f>
        <v/>
      </c>
      <c r="E182" s="2">
        <f>'[01_Entry.xlsx]Book'!O182</f>
        <v/>
      </c>
      <c r="F182" s="2">
        <f>'[01_Entry.xlsx]Book'!N182</f>
        <v/>
      </c>
      <c r="G182" s="3">
        <f>'[01_Entry.xlsx]Book'!L182</f>
        <v/>
      </c>
      <c r="H182" s="3">
        <f>'[01_Entry.xlsx]Book'!M182</f>
        <v/>
      </c>
      <c r="I182" s="3">
        <f>'[01_Entry.xlsx]Book'!K182</f>
        <v/>
      </c>
      <c r="J182" s="3">
        <f>'[01_Entry.xlsx]Book'!P182</f>
        <v/>
      </c>
      <c r="K182" s="3">
        <f>'[01_Entry.xlsx]Book'!F182</f>
        <v/>
      </c>
      <c r="L182" s="3">
        <f>'[01_Entry.xlsx]Book'!G182</f>
        <v/>
      </c>
      <c r="M182" s="3">
        <f>'[01_Entry.xlsx]Book'!I182</f>
        <v/>
      </c>
      <c r="N182" s="2">
        <f>IF($A182="","",MID($A182,6,2))</f>
        <v>0</v>
      </c>
      <c r="O182" s="2">
        <f>IF(OR($C182="",$C182&lt;&gt;'Inv'!$D$12),"",N(O$181)+1)</f>
        <v>0</v>
      </c>
    </row>
    <row r="183" spans="1:15">
      <c r="A183" s="2">
        <f>'[01_Entry.xlsx]Book'!A183</f>
        <v/>
      </c>
      <c r="B183" s="2">
        <f>'[01_Entry.xlsx]Book'!B183</f>
        <v/>
      </c>
      <c r="C183" s="2">
        <f>'[01_Entry.xlsx]Book'!D183</f>
        <v/>
      </c>
      <c r="D183" s="2">
        <f>'[01_Entry.xlsx]Book'!E183</f>
        <v/>
      </c>
      <c r="E183" s="2">
        <f>'[01_Entry.xlsx]Book'!O183</f>
        <v/>
      </c>
      <c r="F183" s="2">
        <f>'[01_Entry.xlsx]Book'!N183</f>
        <v/>
      </c>
      <c r="G183" s="3">
        <f>'[01_Entry.xlsx]Book'!L183</f>
        <v/>
      </c>
      <c r="H183" s="3">
        <f>'[01_Entry.xlsx]Book'!M183</f>
        <v/>
      </c>
      <c r="I183" s="3">
        <f>'[01_Entry.xlsx]Book'!K183</f>
        <v/>
      </c>
      <c r="J183" s="3">
        <f>'[01_Entry.xlsx]Book'!P183</f>
        <v/>
      </c>
      <c r="K183" s="3">
        <f>'[01_Entry.xlsx]Book'!F183</f>
        <v/>
      </c>
      <c r="L183" s="3">
        <f>'[01_Entry.xlsx]Book'!G183</f>
        <v/>
      </c>
      <c r="M183" s="3">
        <f>'[01_Entry.xlsx]Book'!I183</f>
        <v/>
      </c>
      <c r="N183" s="2">
        <f>IF($A183="","",MID($A183,6,2))</f>
        <v>0</v>
      </c>
      <c r="O183" s="2">
        <f>IF(OR($C183="",$C183&lt;&gt;'Inv'!$D$12),"",N(O$182)+1)</f>
        <v>0</v>
      </c>
    </row>
    <row r="184" spans="1:15">
      <c r="A184" s="2">
        <f>'[01_Entry.xlsx]Book'!A184</f>
        <v/>
      </c>
      <c r="B184" s="2">
        <f>'[01_Entry.xlsx]Book'!B184</f>
        <v/>
      </c>
      <c r="C184" s="2">
        <f>'[01_Entry.xlsx]Book'!D184</f>
        <v/>
      </c>
      <c r="D184" s="2">
        <f>'[01_Entry.xlsx]Book'!E184</f>
        <v/>
      </c>
      <c r="E184" s="2">
        <f>'[01_Entry.xlsx]Book'!O184</f>
        <v/>
      </c>
      <c r="F184" s="2">
        <f>'[01_Entry.xlsx]Book'!N184</f>
        <v/>
      </c>
      <c r="G184" s="3">
        <f>'[01_Entry.xlsx]Book'!L184</f>
        <v/>
      </c>
      <c r="H184" s="3">
        <f>'[01_Entry.xlsx]Book'!M184</f>
        <v/>
      </c>
      <c r="I184" s="3">
        <f>'[01_Entry.xlsx]Book'!K184</f>
        <v/>
      </c>
      <c r="J184" s="3">
        <f>'[01_Entry.xlsx]Book'!P184</f>
        <v/>
      </c>
      <c r="K184" s="3">
        <f>'[01_Entry.xlsx]Book'!F184</f>
        <v/>
      </c>
      <c r="L184" s="3">
        <f>'[01_Entry.xlsx]Book'!G184</f>
        <v/>
      </c>
      <c r="M184" s="3">
        <f>'[01_Entry.xlsx]Book'!I184</f>
        <v/>
      </c>
      <c r="N184" s="2">
        <f>IF($A184="","",MID($A184,6,2))</f>
        <v>0</v>
      </c>
      <c r="O184" s="2">
        <f>IF(OR($C184="",$C184&lt;&gt;'Inv'!$D$12),"",N(O$183)+1)</f>
        <v>0</v>
      </c>
    </row>
    <row r="185" spans="1:15">
      <c r="A185" s="2">
        <f>'[01_Entry.xlsx]Book'!A185</f>
        <v/>
      </c>
      <c r="B185" s="2">
        <f>'[01_Entry.xlsx]Book'!B185</f>
        <v/>
      </c>
      <c r="C185" s="2">
        <f>'[01_Entry.xlsx]Book'!D185</f>
        <v/>
      </c>
      <c r="D185" s="2">
        <f>'[01_Entry.xlsx]Book'!E185</f>
        <v/>
      </c>
      <c r="E185" s="2">
        <f>'[01_Entry.xlsx]Book'!O185</f>
        <v/>
      </c>
      <c r="F185" s="2">
        <f>'[01_Entry.xlsx]Book'!N185</f>
        <v/>
      </c>
      <c r="G185" s="3">
        <f>'[01_Entry.xlsx]Book'!L185</f>
        <v/>
      </c>
      <c r="H185" s="3">
        <f>'[01_Entry.xlsx]Book'!M185</f>
        <v/>
      </c>
      <c r="I185" s="3">
        <f>'[01_Entry.xlsx]Book'!K185</f>
        <v/>
      </c>
      <c r="J185" s="3">
        <f>'[01_Entry.xlsx]Book'!P185</f>
        <v/>
      </c>
      <c r="K185" s="3">
        <f>'[01_Entry.xlsx]Book'!F185</f>
        <v/>
      </c>
      <c r="L185" s="3">
        <f>'[01_Entry.xlsx]Book'!G185</f>
        <v/>
      </c>
      <c r="M185" s="3">
        <f>'[01_Entry.xlsx]Book'!I185</f>
        <v/>
      </c>
      <c r="N185" s="2">
        <f>IF($A185="","",MID($A185,6,2))</f>
        <v>0</v>
      </c>
      <c r="O185" s="2">
        <f>IF(OR($C185="",$C185&lt;&gt;'Inv'!$D$12),"",N(O$184)+1)</f>
        <v>0</v>
      </c>
    </row>
    <row r="186" spans="1:15">
      <c r="A186" s="2">
        <f>'[01_Entry.xlsx]Book'!A186</f>
        <v/>
      </c>
      <c r="B186" s="2">
        <f>'[01_Entry.xlsx]Book'!B186</f>
        <v/>
      </c>
      <c r="C186" s="2">
        <f>'[01_Entry.xlsx]Book'!D186</f>
        <v/>
      </c>
      <c r="D186" s="2">
        <f>'[01_Entry.xlsx]Book'!E186</f>
        <v/>
      </c>
      <c r="E186" s="2">
        <f>'[01_Entry.xlsx]Book'!O186</f>
        <v/>
      </c>
      <c r="F186" s="2">
        <f>'[01_Entry.xlsx]Book'!N186</f>
        <v/>
      </c>
      <c r="G186" s="3">
        <f>'[01_Entry.xlsx]Book'!L186</f>
        <v/>
      </c>
      <c r="H186" s="3">
        <f>'[01_Entry.xlsx]Book'!M186</f>
        <v/>
      </c>
      <c r="I186" s="3">
        <f>'[01_Entry.xlsx]Book'!K186</f>
        <v/>
      </c>
      <c r="J186" s="3">
        <f>'[01_Entry.xlsx]Book'!P186</f>
        <v/>
      </c>
      <c r="K186" s="3">
        <f>'[01_Entry.xlsx]Book'!F186</f>
        <v/>
      </c>
      <c r="L186" s="3">
        <f>'[01_Entry.xlsx]Book'!G186</f>
        <v/>
      </c>
      <c r="M186" s="3">
        <f>'[01_Entry.xlsx]Book'!I186</f>
        <v/>
      </c>
      <c r="N186" s="2">
        <f>IF($A186="","",MID($A186,6,2))</f>
        <v>0</v>
      </c>
      <c r="O186" s="2">
        <f>IF(OR($C186="",$C186&lt;&gt;'Inv'!$D$12),"",N(O$185)+1)</f>
        <v>0</v>
      </c>
    </row>
    <row r="187" spans="1:15">
      <c r="A187" s="2">
        <f>'[01_Entry.xlsx]Book'!A187</f>
        <v/>
      </c>
      <c r="B187" s="2">
        <f>'[01_Entry.xlsx]Book'!B187</f>
        <v/>
      </c>
      <c r="C187" s="2">
        <f>'[01_Entry.xlsx]Book'!D187</f>
        <v/>
      </c>
      <c r="D187" s="2">
        <f>'[01_Entry.xlsx]Book'!E187</f>
        <v/>
      </c>
      <c r="E187" s="2">
        <f>'[01_Entry.xlsx]Book'!O187</f>
        <v/>
      </c>
      <c r="F187" s="2">
        <f>'[01_Entry.xlsx]Book'!N187</f>
        <v/>
      </c>
      <c r="G187" s="3">
        <f>'[01_Entry.xlsx]Book'!L187</f>
        <v/>
      </c>
      <c r="H187" s="3">
        <f>'[01_Entry.xlsx]Book'!M187</f>
        <v/>
      </c>
      <c r="I187" s="3">
        <f>'[01_Entry.xlsx]Book'!K187</f>
        <v/>
      </c>
      <c r="J187" s="3">
        <f>'[01_Entry.xlsx]Book'!P187</f>
        <v/>
      </c>
      <c r="K187" s="3">
        <f>'[01_Entry.xlsx]Book'!F187</f>
        <v/>
      </c>
      <c r="L187" s="3">
        <f>'[01_Entry.xlsx]Book'!G187</f>
        <v/>
      </c>
      <c r="M187" s="3">
        <f>'[01_Entry.xlsx]Book'!I187</f>
        <v/>
      </c>
      <c r="N187" s="2">
        <f>IF($A187="","",MID($A187,6,2))</f>
        <v>0</v>
      </c>
      <c r="O187" s="2">
        <f>IF(OR($C187="",$C187&lt;&gt;'Inv'!$D$12),"",N(O$186)+1)</f>
        <v>0</v>
      </c>
    </row>
    <row r="188" spans="1:15">
      <c r="A188" s="2">
        <f>'[01_Entry.xlsx]Book'!A188</f>
        <v/>
      </c>
      <c r="B188" s="2">
        <f>'[01_Entry.xlsx]Book'!B188</f>
        <v/>
      </c>
      <c r="C188" s="2">
        <f>'[01_Entry.xlsx]Book'!D188</f>
        <v/>
      </c>
      <c r="D188" s="2">
        <f>'[01_Entry.xlsx]Book'!E188</f>
        <v/>
      </c>
      <c r="E188" s="2">
        <f>'[01_Entry.xlsx]Book'!O188</f>
        <v/>
      </c>
      <c r="F188" s="2">
        <f>'[01_Entry.xlsx]Book'!N188</f>
        <v/>
      </c>
      <c r="G188" s="3">
        <f>'[01_Entry.xlsx]Book'!L188</f>
        <v/>
      </c>
      <c r="H188" s="3">
        <f>'[01_Entry.xlsx]Book'!M188</f>
        <v/>
      </c>
      <c r="I188" s="3">
        <f>'[01_Entry.xlsx]Book'!K188</f>
        <v/>
      </c>
      <c r="J188" s="3">
        <f>'[01_Entry.xlsx]Book'!P188</f>
        <v/>
      </c>
      <c r="K188" s="3">
        <f>'[01_Entry.xlsx]Book'!F188</f>
        <v/>
      </c>
      <c r="L188" s="3">
        <f>'[01_Entry.xlsx]Book'!G188</f>
        <v/>
      </c>
      <c r="M188" s="3">
        <f>'[01_Entry.xlsx]Book'!I188</f>
        <v/>
      </c>
      <c r="N188" s="2">
        <f>IF($A188="","",MID($A188,6,2))</f>
        <v>0</v>
      </c>
      <c r="O188" s="2">
        <f>IF(OR($C188="",$C188&lt;&gt;'Inv'!$D$12),"",N(O$187)+1)</f>
        <v>0</v>
      </c>
    </row>
    <row r="189" spans="1:15">
      <c r="A189" s="2">
        <f>'[01_Entry.xlsx]Book'!A189</f>
        <v/>
      </c>
      <c r="B189" s="2">
        <f>'[01_Entry.xlsx]Book'!B189</f>
        <v/>
      </c>
      <c r="C189" s="2">
        <f>'[01_Entry.xlsx]Book'!D189</f>
        <v/>
      </c>
      <c r="D189" s="2">
        <f>'[01_Entry.xlsx]Book'!E189</f>
        <v/>
      </c>
      <c r="E189" s="2">
        <f>'[01_Entry.xlsx]Book'!O189</f>
        <v/>
      </c>
      <c r="F189" s="2">
        <f>'[01_Entry.xlsx]Book'!N189</f>
        <v/>
      </c>
      <c r="G189" s="3">
        <f>'[01_Entry.xlsx]Book'!L189</f>
        <v/>
      </c>
      <c r="H189" s="3">
        <f>'[01_Entry.xlsx]Book'!M189</f>
        <v/>
      </c>
      <c r="I189" s="3">
        <f>'[01_Entry.xlsx]Book'!K189</f>
        <v/>
      </c>
      <c r="J189" s="3">
        <f>'[01_Entry.xlsx]Book'!P189</f>
        <v/>
      </c>
      <c r="K189" s="3">
        <f>'[01_Entry.xlsx]Book'!F189</f>
        <v/>
      </c>
      <c r="L189" s="3">
        <f>'[01_Entry.xlsx]Book'!G189</f>
        <v/>
      </c>
      <c r="M189" s="3">
        <f>'[01_Entry.xlsx]Book'!I189</f>
        <v/>
      </c>
      <c r="N189" s="2">
        <f>IF($A189="","",MID($A189,6,2))</f>
        <v>0</v>
      </c>
      <c r="O189" s="2">
        <f>IF(OR($C189="",$C189&lt;&gt;'Inv'!$D$12),"",N(O$188)+1)</f>
        <v>0</v>
      </c>
    </row>
    <row r="190" spans="1:15">
      <c r="A190" s="2">
        <f>'[01_Entry.xlsx]Book'!A190</f>
        <v/>
      </c>
      <c r="B190" s="2">
        <f>'[01_Entry.xlsx]Book'!B190</f>
        <v/>
      </c>
      <c r="C190" s="2">
        <f>'[01_Entry.xlsx]Book'!D190</f>
        <v/>
      </c>
      <c r="D190" s="2">
        <f>'[01_Entry.xlsx]Book'!E190</f>
        <v/>
      </c>
      <c r="E190" s="2">
        <f>'[01_Entry.xlsx]Book'!O190</f>
        <v/>
      </c>
      <c r="F190" s="2">
        <f>'[01_Entry.xlsx]Book'!N190</f>
        <v/>
      </c>
      <c r="G190" s="3">
        <f>'[01_Entry.xlsx]Book'!L190</f>
        <v/>
      </c>
      <c r="H190" s="3">
        <f>'[01_Entry.xlsx]Book'!M190</f>
        <v/>
      </c>
      <c r="I190" s="3">
        <f>'[01_Entry.xlsx]Book'!K190</f>
        <v/>
      </c>
      <c r="J190" s="3">
        <f>'[01_Entry.xlsx]Book'!P190</f>
        <v/>
      </c>
      <c r="K190" s="3">
        <f>'[01_Entry.xlsx]Book'!F190</f>
        <v/>
      </c>
      <c r="L190" s="3">
        <f>'[01_Entry.xlsx]Book'!G190</f>
        <v/>
      </c>
      <c r="M190" s="3">
        <f>'[01_Entry.xlsx]Book'!I190</f>
        <v/>
      </c>
      <c r="N190" s="2">
        <f>IF($A190="","",MID($A190,6,2))</f>
        <v>0</v>
      </c>
      <c r="O190" s="2">
        <f>IF(OR($C190="",$C190&lt;&gt;'Inv'!$D$12),"",N(O$189)+1)</f>
        <v>0</v>
      </c>
    </row>
    <row r="191" spans="1:15">
      <c r="A191" s="2">
        <f>'[01_Entry.xlsx]Book'!A191</f>
        <v/>
      </c>
      <c r="B191" s="2">
        <f>'[01_Entry.xlsx]Book'!B191</f>
        <v/>
      </c>
      <c r="C191" s="2">
        <f>'[01_Entry.xlsx]Book'!D191</f>
        <v/>
      </c>
      <c r="D191" s="2">
        <f>'[01_Entry.xlsx]Book'!E191</f>
        <v/>
      </c>
      <c r="E191" s="2">
        <f>'[01_Entry.xlsx]Book'!O191</f>
        <v/>
      </c>
      <c r="F191" s="2">
        <f>'[01_Entry.xlsx]Book'!N191</f>
        <v/>
      </c>
      <c r="G191" s="3">
        <f>'[01_Entry.xlsx]Book'!L191</f>
        <v/>
      </c>
      <c r="H191" s="3">
        <f>'[01_Entry.xlsx]Book'!M191</f>
        <v/>
      </c>
      <c r="I191" s="3">
        <f>'[01_Entry.xlsx]Book'!K191</f>
        <v/>
      </c>
      <c r="J191" s="3">
        <f>'[01_Entry.xlsx]Book'!P191</f>
        <v/>
      </c>
      <c r="K191" s="3">
        <f>'[01_Entry.xlsx]Book'!F191</f>
        <v/>
      </c>
      <c r="L191" s="3">
        <f>'[01_Entry.xlsx]Book'!G191</f>
        <v/>
      </c>
      <c r="M191" s="3">
        <f>'[01_Entry.xlsx]Book'!I191</f>
        <v/>
      </c>
      <c r="N191" s="2">
        <f>IF($A191="","",MID($A191,6,2))</f>
        <v>0</v>
      </c>
      <c r="O191" s="2">
        <f>IF(OR($C191="",$C191&lt;&gt;'Inv'!$D$12),"",N(O$190)+1)</f>
        <v>0</v>
      </c>
    </row>
    <row r="192" spans="1:15">
      <c r="A192" s="2">
        <f>'[01_Entry.xlsx]Book'!A192</f>
        <v/>
      </c>
      <c r="B192" s="2">
        <f>'[01_Entry.xlsx]Book'!B192</f>
        <v/>
      </c>
      <c r="C192" s="2">
        <f>'[01_Entry.xlsx]Book'!D192</f>
        <v/>
      </c>
      <c r="D192" s="2">
        <f>'[01_Entry.xlsx]Book'!E192</f>
        <v/>
      </c>
      <c r="E192" s="2">
        <f>'[01_Entry.xlsx]Book'!O192</f>
        <v/>
      </c>
      <c r="F192" s="2">
        <f>'[01_Entry.xlsx]Book'!N192</f>
        <v/>
      </c>
      <c r="G192" s="3">
        <f>'[01_Entry.xlsx]Book'!L192</f>
        <v/>
      </c>
      <c r="H192" s="3">
        <f>'[01_Entry.xlsx]Book'!M192</f>
        <v/>
      </c>
      <c r="I192" s="3">
        <f>'[01_Entry.xlsx]Book'!K192</f>
        <v/>
      </c>
      <c r="J192" s="3">
        <f>'[01_Entry.xlsx]Book'!P192</f>
        <v/>
      </c>
      <c r="K192" s="3">
        <f>'[01_Entry.xlsx]Book'!F192</f>
        <v/>
      </c>
      <c r="L192" s="3">
        <f>'[01_Entry.xlsx]Book'!G192</f>
        <v/>
      </c>
      <c r="M192" s="3">
        <f>'[01_Entry.xlsx]Book'!I192</f>
        <v/>
      </c>
      <c r="N192" s="2">
        <f>IF($A192="","",MID($A192,6,2))</f>
        <v>0</v>
      </c>
      <c r="O192" s="2">
        <f>IF(OR($C192="",$C192&lt;&gt;'Inv'!$D$12),"",N(O$191)+1)</f>
        <v>0</v>
      </c>
    </row>
    <row r="193" spans="1:15">
      <c r="A193" s="2">
        <f>'[01_Entry.xlsx]Book'!A193</f>
        <v/>
      </c>
      <c r="B193" s="2">
        <f>'[01_Entry.xlsx]Book'!B193</f>
        <v/>
      </c>
      <c r="C193" s="2">
        <f>'[01_Entry.xlsx]Book'!D193</f>
        <v/>
      </c>
      <c r="D193" s="2">
        <f>'[01_Entry.xlsx]Book'!E193</f>
        <v/>
      </c>
      <c r="E193" s="2">
        <f>'[01_Entry.xlsx]Book'!O193</f>
        <v/>
      </c>
      <c r="F193" s="2">
        <f>'[01_Entry.xlsx]Book'!N193</f>
        <v/>
      </c>
      <c r="G193" s="3">
        <f>'[01_Entry.xlsx]Book'!L193</f>
        <v/>
      </c>
      <c r="H193" s="3">
        <f>'[01_Entry.xlsx]Book'!M193</f>
        <v/>
      </c>
      <c r="I193" s="3">
        <f>'[01_Entry.xlsx]Book'!K193</f>
        <v/>
      </c>
      <c r="J193" s="3">
        <f>'[01_Entry.xlsx]Book'!P193</f>
        <v/>
      </c>
      <c r="K193" s="3">
        <f>'[01_Entry.xlsx]Book'!F193</f>
        <v/>
      </c>
      <c r="L193" s="3">
        <f>'[01_Entry.xlsx]Book'!G193</f>
        <v/>
      </c>
      <c r="M193" s="3">
        <f>'[01_Entry.xlsx]Book'!I193</f>
        <v/>
      </c>
      <c r="N193" s="2">
        <f>IF($A193="","",MID($A193,6,2))</f>
        <v>0</v>
      </c>
      <c r="O193" s="2">
        <f>IF(OR($C193="",$C193&lt;&gt;'Inv'!$D$12),"",N(O$192)+1)</f>
        <v>0</v>
      </c>
    </row>
    <row r="194" spans="1:15">
      <c r="A194" s="2">
        <f>'[01_Entry.xlsx]Book'!A194</f>
        <v/>
      </c>
      <c r="B194" s="2">
        <f>'[01_Entry.xlsx]Book'!B194</f>
        <v/>
      </c>
      <c r="C194" s="2">
        <f>'[01_Entry.xlsx]Book'!D194</f>
        <v/>
      </c>
      <c r="D194" s="2">
        <f>'[01_Entry.xlsx]Book'!E194</f>
        <v/>
      </c>
      <c r="E194" s="2">
        <f>'[01_Entry.xlsx]Book'!O194</f>
        <v/>
      </c>
      <c r="F194" s="2">
        <f>'[01_Entry.xlsx]Book'!N194</f>
        <v/>
      </c>
      <c r="G194" s="3">
        <f>'[01_Entry.xlsx]Book'!L194</f>
        <v/>
      </c>
      <c r="H194" s="3">
        <f>'[01_Entry.xlsx]Book'!M194</f>
        <v/>
      </c>
      <c r="I194" s="3">
        <f>'[01_Entry.xlsx]Book'!K194</f>
        <v/>
      </c>
      <c r="J194" s="3">
        <f>'[01_Entry.xlsx]Book'!P194</f>
        <v/>
      </c>
      <c r="K194" s="3">
        <f>'[01_Entry.xlsx]Book'!F194</f>
        <v/>
      </c>
      <c r="L194" s="3">
        <f>'[01_Entry.xlsx]Book'!G194</f>
        <v/>
      </c>
      <c r="M194" s="3">
        <f>'[01_Entry.xlsx]Book'!I194</f>
        <v/>
      </c>
      <c r="N194" s="2">
        <f>IF($A194="","",MID($A194,6,2))</f>
        <v>0</v>
      </c>
      <c r="O194" s="2">
        <f>IF(OR($C194="",$C194&lt;&gt;'Inv'!$D$12),"",N(O$193)+1)</f>
        <v>0</v>
      </c>
    </row>
    <row r="195" spans="1:15">
      <c r="A195" s="2">
        <f>'[01_Entry.xlsx]Book'!A195</f>
        <v/>
      </c>
      <c r="B195" s="2">
        <f>'[01_Entry.xlsx]Book'!B195</f>
        <v/>
      </c>
      <c r="C195" s="2">
        <f>'[01_Entry.xlsx]Book'!D195</f>
        <v/>
      </c>
      <c r="D195" s="2">
        <f>'[01_Entry.xlsx]Book'!E195</f>
        <v/>
      </c>
      <c r="E195" s="2">
        <f>'[01_Entry.xlsx]Book'!O195</f>
        <v/>
      </c>
      <c r="F195" s="2">
        <f>'[01_Entry.xlsx]Book'!N195</f>
        <v/>
      </c>
      <c r="G195" s="3">
        <f>'[01_Entry.xlsx]Book'!L195</f>
        <v/>
      </c>
      <c r="H195" s="3">
        <f>'[01_Entry.xlsx]Book'!M195</f>
        <v/>
      </c>
      <c r="I195" s="3">
        <f>'[01_Entry.xlsx]Book'!K195</f>
        <v/>
      </c>
      <c r="J195" s="3">
        <f>'[01_Entry.xlsx]Book'!P195</f>
        <v/>
      </c>
      <c r="K195" s="3">
        <f>'[01_Entry.xlsx]Book'!F195</f>
        <v/>
      </c>
      <c r="L195" s="3">
        <f>'[01_Entry.xlsx]Book'!G195</f>
        <v/>
      </c>
      <c r="M195" s="3">
        <f>'[01_Entry.xlsx]Book'!I195</f>
        <v/>
      </c>
      <c r="N195" s="2">
        <f>IF($A195="","",MID($A195,6,2))</f>
        <v>0</v>
      </c>
      <c r="O195" s="2">
        <f>IF(OR($C195="",$C195&lt;&gt;'Inv'!$D$12),"",N(O$194)+1)</f>
        <v>0</v>
      </c>
    </row>
    <row r="196" spans="1:15">
      <c r="A196" s="2">
        <f>'[01_Entry.xlsx]Book'!A196</f>
        <v/>
      </c>
      <c r="B196" s="2">
        <f>'[01_Entry.xlsx]Book'!B196</f>
        <v/>
      </c>
      <c r="C196" s="2">
        <f>'[01_Entry.xlsx]Book'!D196</f>
        <v/>
      </c>
      <c r="D196" s="2">
        <f>'[01_Entry.xlsx]Book'!E196</f>
        <v/>
      </c>
      <c r="E196" s="2">
        <f>'[01_Entry.xlsx]Book'!O196</f>
        <v/>
      </c>
      <c r="F196" s="2">
        <f>'[01_Entry.xlsx]Book'!N196</f>
        <v/>
      </c>
      <c r="G196" s="3">
        <f>'[01_Entry.xlsx]Book'!L196</f>
        <v/>
      </c>
      <c r="H196" s="3">
        <f>'[01_Entry.xlsx]Book'!M196</f>
        <v/>
      </c>
      <c r="I196" s="3">
        <f>'[01_Entry.xlsx]Book'!K196</f>
        <v/>
      </c>
      <c r="J196" s="3">
        <f>'[01_Entry.xlsx]Book'!P196</f>
        <v/>
      </c>
      <c r="K196" s="3">
        <f>'[01_Entry.xlsx]Book'!F196</f>
        <v/>
      </c>
      <c r="L196" s="3">
        <f>'[01_Entry.xlsx]Book'!G196</f>
        <v/>
      </c>
      <c r="M196" s="3">
        <f>'[01_Entry.xlsx]Book'!I196</f>
        <v/>
      </c>
      <c r="N196" s="2">
        <f>IF($A196="","",MID($A196,6,2))</f>
        <v>0</v>
      </c>
      <c r="O196" s="2">
        <f>IF(OR($C196="",$C196&lt;&gt;'Inv'!$D$12),"",N(O$195)+1)</f>
        <v>0</v>
      </c>
    </row>
    <row r="197" spans="1:15">
      <c r="A197" s="2">
        <f>'[01_Entry.xlsx]Book'!A197</f>
        <v/>
      </c>
      <c r="B197" s="2">
        <f>'[01_Entry.xlsx]Book'!B197</f>
        <v/>
      </c>
      <c r="C197" s="2">
        <f>'[01_Entry.xlsx]Book'!D197</f>
        <v/>
      </c>
      <c r="D197" s="2">
        <f>'[01_Entry.xlsx]Book'!E197</f>
        <v/>
      </c>
      <c r="E197" s="2">
        <f>'[01_Entry.xlsx]Book'!O197</f>
        <v/>
      </c>
      <c r="F197" s="2">
        <f>'[01_Entry.xlsx]Book'!N197</f>
        <v/>
      </c>
      <c r="G197" s="3">
        <f>'[01_Entry.xlsx]Book'!L197</f>
        <v/>
      </c>
      <c r="H197" s="3">
        <f>'[01_Entry.xlsx]Book'!M197</f>
        <v/>
      </c>
      <c r="I197" s="3">
        <f>'[01_Entry.xlsx]Book'!K197</f>
        <v/>
      </c>
      <c r="J197" s="3">
        <f>'[01_Entry.xlsx]Book'!P197</f>
        <v/>
      </c>
      <c r="K197" s="3">
        <f>'[01_Entry.xlsx]Book'!F197</f>
        <v/>
      </c>
      <c r="L197" s="3">
        <f>'[01_Entry.xlsx]Book'!G197</f>
        <v/>
      </c>
      <c r="M197" s="3">
        <f>'[01_Entry.xlsx]Book'!I197</f>
        <v/>
      </c>
      <c r="N197" s="2">
        <f>IF($A197="","",MID($A197,6,2))</f>
        <v>0</v>
      </c>
      <c r="O197" s="2">
        <f>IF(OR($C197="",$C197&lt;&gt;'Inv'!$D$12),"",N(O$196)+1)</f>
        <v>0</v>
      </c>
    </row>
    <row r="198" spans="1:15">
      <c r="A198" s="2">
        <f>'[01_Entry.xlsx]Book'!A198</f>
        <v/>
      </c>
      <c r="B198" s="2">
        <f>'[01_Entry.xlsx]Book'!B198</f>
        <v/>
      </c>
      <c r="C198" s="2">
        <f>'[01_Entry.xlsx]Book'!D198</f>
        <v/>
      </c>
      <c r="D198" s="2">
        <f>'[01_Entry.xlsx]Book'!E198</f>
        <v/>
      </c>
      <c r="E198" s="2">
        <f>'[01_Entry.xlsx]Book'!O198</f>
        <v/>
      </c>
      <c r="F198" s="2">
        <f>'[01_Entry.xlsx]Book'!N198</f>
        <v/>
      </c>
      <c r="G198" s="3">
        <f>'[01_Entry.xlsx]Book'!L198</f>
        <v/>
      </c>
      <c r="H198" s="3">
        <f>'[01_Entry.xlsx]Book'!M198</f>
        <v/>
      </c>
      <c r="I198" s="3">
        <f>'[01_Entry.xlsx]Book'!K198</f>
        <v/>
      </c>
      <c r="J198" s="3">
        <f>'[01_Entry.xlsx]Book'!P198</f>
        <v/>
      </c>
      <c r="K198" s="3">
        <f>'[01_Entry.xlsx]Book'!F198</f>
        <v/>
      </c>
      <c r="L198" s="3">
        <f>'[01_Entry.xlsx]Book'!G198</f>
        <v/>
      </c>
      <c r="M198" s="3">
        <f>'[01_Entry.xlsx]Book'!I198</f>
        <v/>
      </c>
      <c r="N198" s="2">
        <f>IF($A198="","",MID($A198,6,2))</f>
        <v>0</v>
      </c>
      <c r="O198" s="2">
        <f>IF(OR($C198="",$C198&lt;&gt;'Inv'!$D$12),"",N(O$197)+1)</f>
        <v>0</v>
      </c>
    </row>
    <row r="199" spans="1:15">
      <c r="A199" s="2">
        <f>'[01_Entry.xlsx]Book'!A199</f>
        <v/>
      </c>
      <c r="B199" s="2">
        <f>'[01_Entry.xlsx]Book'!B199</f>
        <v/>
      </c>
      <c r="C199" s="2">
        <f>'[01_Entry.xlsx]Book'!D199</f>
        <v/>
      </c>
      <c r="D199" s="2">
        <f>'[01_Entry.xlsx]Book'!E199</f>
        <v/>
      </c>
      <c r="E199" s="2">
        <f>'[01_Entry.xlsx]Book'!O199</f>
        <v/>
      </c>
      <c r="F199" s="2">
        <f>'[01_Entry.xlsx]Book'!N199</f>
        <v/>
      </c>
      <c r="G199" s="3">
        <f>'[01_Entry.xlsx]Book'!L199</f>
        <v/>
      </c>
      <c r="H199" s="3">
        <f>'[01_Entry.xlsx]Book'!M199</f>
        <v/>
      </c>
      <c r="I199" s="3">
        <f>'[01_Entry.xlsx]Book'!K199</f>
        <v/>
      </c>
      <c r="J199" s="3">
        <f>'[01_Entry.xlsx]Book'!P199</f>
        <v/>
      </c>
      <c r="K199" s="3">
        <f>'[01_Entry.xlsx]Book'!F199</f>
        <v/>
      </c>
      <c r="L199" s="3">
        <f>'[01_Entry.xlsx]Book'!G199</f>
        <v/>
      </c>
      <c r="M199" s="3">
        <f>'[01_Entry.xlsx]Book'!I199</f>
        <v/>
      </c>
      <c r="N199" s="2">
        <f>IF($A199="","",MID($A199,6,2))</f>
        <v>0</v>
      </c>
      <c r="O199" s="2">
        <f>IF(OR($C199="",$C199&lt;&gt;'Inv'!$D$12),"",N(O$198)+1)</f>
        <v>0</v>
      </c>
    </row>
    <row r="200" spans="1:15">
      <c r="A200" s="2">
        <f>'[01_Entry.xlsx]Book'!A200</f>
        <v/>
      </c>
      <c r="B200" s="2">
        <f>'[01_Entry.xlsx]Book'!B200</f>
        <v/>
      </c>
      <c r="C200" s="2">
        <f>'[01_Entry.xlsx]Book'!D200</f>
        <v/>
      </c>
      <c r="D200" s="2">
        <f>'[01_Entry.xlsx]Book'!E200</f>
        <v/>
      </c>
      <c r="E200" s="2">
        <f>'[01_Entry.xlsx]Book'!O200</f>
        <v/>
      </c>
      <c r="F200" s="2">
        <f>'[01_Entry.xlsx]Book'!N200</f>
        <v/>
      </c>
      <c r="G200" s="3">
        <f>'[01_Entry.xlsx]Book'!L200</f>
        <v/>
      </c>
      <c r="H200" s="3">
        <f>'[01_Entry.xlsx]Book'!M200</f>
        <v/>
      </c>
      <c r="I200" s="3">
        <f>'[01_Entry.xlsx]Book'!K200</f>
        <v/>
      </c>
      <c r="J200" s="3">
        <f>'[01_Entry.xlsx]Book'!P200</f>
        <v/>
      </c>
      <c r="K200" s="3">
        <f>'[01_Entry.xlsx]Book'!F200</f>
        <v/>
      </c>
      <c r="L200" s="3">
        <f>'[01_Entry.xlsx]Book'!G200</f>
        <v/>
      </c>
      <c r="M200" s="3">
        <f>'[01_Entry.xlsx]Book'!I200</f>
        <v/>
      </c>
      <c r="N200" s="2">
        <f>IF($A200="","",MID($A200,6,2))</f>
        <v>0</v>
      </c>
      <c r="O200" s="2">
        <f>IF(OR($C200="",$C200&lt;&gt;'Inv'!$D$12),"",N(O$199)+1)</f>
        <v>0</v>
      </c>
    </row>
    <row r="201" spans="1:15">
      <c r="A201" s="2">
        <f>'[01_Entry.xlsx]Book'!A201</f>
        <v/>
      </c>
      <c r="B201" s="2">
        <f>'[01_Entry.xlsx]Book'!B201</f>
        <v/>
      </c>
      <c r="C201" s="2">
        <f>'[01_Entry.xlsx]Book'!D201</f>
        <v/>
      </c>
      <c r="D201" s="2">
        <f>'[01_Entry.xlsx]Book'!E201</f>
        <v/>
      </c>
      <c r="E201" s="2">
        <f>'[01_Entry.xlsx]Book'!O201</f>
        <v/>
      </c>
      <c r="F201" s="2">
        <f>'[01_Entry.xlsx]Book'!N201</f>
        <v/>
      </c>
      <c r="G201" s="3">
        <f>'[01_Entry.xlsx]Book'!L201</f>
        <v/>
      </c>
      <c r="H201" s="3">
        <f>'[01_Entry.xlsx]Book'!M201</f>
        <v/>
      </c>
      <c r="I201" s="3">
        <f>'[01_Entry.xlsx]Book'!K201</f>
        <v/>
      </c>
      <c r="J201" s="3">
        <f>'[01_Entry.xlsx]Book'!P201</f>
        <v/>
      </c>
      <c r="K201" s="3">
        <f>'[01_Entry.xlsx]Book'!F201</f>
        <v/>
      </c>
      <c r="L201" s="3">
        <f>'[01_Entry.xlsx]Book'!G201</f>
        <v/>
      </c>
      <c r="M201" s="3">
        <f>'[01_Entry.xlsx]Book'!I201</f>
        <v/>
      </c>
      <c r="N201" s="2">
        <f>IF($A201="","",MID($A201,6,2))</f>
        <v>0</v>
      </c>
      <c r="O201" s="2">
        <f>IF(OR($C201="",$C201&lt;&gt;'Inv'!$D$12),"",N(O$200)+1)</f>
        <v>0</v>
      </c>
    </row>
    <row r="202" spans="1:15">
      <c r="A202" s="2">
        <f>'[01_Entry.xlsx]Book'!A202</f>
        <v/>
      </c>
      <c r="B202" s="2">
        <f>'[01_Entry.xlsx]Book'!B202</f>
        <v/>
      </c>
      <c r="C202" s="2">
        <f>'[01_Entry.xlsx]Book'!D202</f>
        <v/>
      </c>
      <c r="D202" s="2">
        <f>'[01_Entry.xlsx]Book'!E202</f>
        <v/>
      </c>
      <c r="E202" s="2">
        <f>'[01_Entry.xlsx]Book'!O202</f>
        <v/>
      </c>
      <c r="F202" s="2">
        <f>'[01_Entry.xlsx]Book'!N202</f>
        <v/>
      </c>
      <c r="G202" s="3">
        <f>'[01_Entry.xlsx]Book'!L202</f>
        <v/>
      </c>
      <c r="H202" s="3">
        <f>'[01_Entry.xlsx]Book'!M202</f>
        <v/>
      </c>
      <c r="I202" s="3">
        <f>'[01_Entry.xlsx]Book'!K202</f>
        <v/>
      </c>
      <c r="J202" s="3">
        <f>'[01_Entry.xlsx]Book'!P202</f>
        <v/>
      </c>
      <c r="K202" s="3">
        <f>'[01_Entry.xlsx]Book'!F202</f>
        <v/>
      </c>
      <c r="L202" s="3">
        <f>'[01_Entry.xlsx]Book'!G202</f>
        <v/>
      </c>
      <c r="M202" s="3">
        <f>'[01_Entry.xlsx]Book'!I202</f>
        <v/>
      </c>
      <c r="N202" s="2">
        <f>IF($A202="","",MID($A202,6,2))</f>
        <v>0</v>
      </c>
      <c r="O202" s="2">
        <f>IF(OR($C202="",$C202&lt;&gt;'Inv'!$D$12),"",N(O$201)+1)</f>
        <v>0</v>
      </c>
    </row>
    <row r="203" spans="1:15">
      <c r="A203" s="2">
        <f>'[01_Entry.xlsx]Book'!A203</f>
        <v/>
      </c>
      <c r="B203" s="2">
        <f>'[01_Entry.xlsx]Book'!B203</f>
        <v/>
      </c>
      <c r="C203" s="2">
        <f>'[01_Entry.xlsx]Book'!D203</f>
        <v/>
      </c>
      <c r="D203" s="2">
        <f>'[01_Entry.xlsx]Book'!E203</f>
        <v/>
      </c>
      <c r="E203" s="2">
        <f>'[01_Entry.xlsx]Book'!O203</f>
        <v/>
      </c>
      <c r="F203" s="2">
        <f>'[01_Entry.xlsx]Book'!N203</f>
        <v/>
      </c>
      <c r="G203" s="3">
        <f>'[01_Entry.xlsx]Book'!L203</f>
        <v/>
      </c>
      <c r="H203" s="3">
        <f>'[01_Entry.xlsx]Book'!M203</f>
        <v/>
      </c>
      <c r="I203" s="3">
        <f>'[01_Entry.xlsx]Book'!K203</f>
        <v/>
      </c>
      <c r="J203" s="3">
        <f>'[01_Entry.xlsx]Book'!P203</f>
        <v/>
      </c>
      <c r="K203" s="3">
        <f>'[01_Entry.xlsx]Book'!F203</f>
        <v/>
      </c>
      <c r="L203" s="3">
        <f>'[01_Entry.xlsx]Book'!G203</f>
        <v/>
      </c>
      <c r="M203" s="3">
        <f>'[01_Entry.xlsx]Book'!I203</f>
        <v/>
      </c>
      <c r="N203" s="2">
        <f>IF($A203="","",MID($A203,6,2))</f>
        <v>0</v>
      </c>
      <c r="O203" s="2">
        <f>IF(OR($C203="",$C203&lt;&gt;'Inv'!$D$12),"",N(O$202)+1)</f>
        <v>0</v>
      </c>
    </row>
    <row r="204" spans="1:15">
      <c r="A204" s="2">
        <f>'[01_Entry.xlsx]Book'!A204</f>
        <v/>
      </c>
      <c r="B204" s="2">
        <f>'[01_Entry.xlsx]Book'!B204</f>
        <v/>
      </c>
      <c r="C204" s="2">
        <f>'[01_Entry.xlsx]Book'!D204</f>
        <v/>
      </c>
      <c r="D204" s="2">
        <f>'[01_Entry.xlsx]Book'!E204</f>
        <v/>
      </c>
      <c r="E204" s="2">
        <f>'[01_Entry.xlsx]Book'!O204</f>
        <v/>
      </c>
      <c r="F204" s="2">
        <f>'[01_Entry.xlsx]Book'!N204</f>
        <v/>
      </c>
      <c r="G204" s="3">
        <f>'[01_Entry.xlsx]Book'!L204</f>
        <v/>
      </c>
      <c r="H204" s="3">
        <f>'[01_Entry.xlsx]Book'!M204</f>
        <v/>
      </c>
      <c r="I204" s="3">
        <f>'[01_Entry.xlsx]Book'!K204</f>
        <v/>
      </c>
      <c r="J204" s="3">
        <f>'[01_Entry.xlsx]Book'!P204</f>
        <v/>
      </c>
      <c r="K204" s="3">
        <f>'[01_Entry.xlsx]Book'!F204</f>
        <v/>
      </c>
      <c r="L204" s="3">
        <f>'[01_Entry.xlsx]Book'!G204</f>
        <v/>
      </c>
      <c r="M204" s="3">
        <f>'[01_Entry.xlsx]Book'!I204</f>
        <v/>
      </c>
      <c r="N204" s="2">
        <f>IF($A204="","",MID($A204,6,2))</f>
        <v>0</v>
      </c>
      <c r="O204" s="2">
        <f>IF(OR($C204="",$C204&lt;&gt;'Inv'!$D$12),"",N(O$203)+1)</f>
        <v>0</v>
      </c>
    </row>
    <row r="205" spans="1:15">
      <c r="A205" s="2">
        <f>'[01_Entry.xlsx]Book'!A205</f>
        <v/>
      </c>
      <c r="B205" s="2">
        <f>'[01_Entry.xlsx]Book'!B205</f>
        <v/>
      </c>
      <c r="C205" s="2">
        <f>'[01_Entry.xlsx]Book'!D205</f>
        <v/>
      </c>
      <c r="D205" s="2">
        <f>'[01_Entry.xlsx]Book'!E205</f>
        <v/>
      </c>
      <c r="E205" s="2">
        <f>'[01_Entry.xlsx]Book'!O205</f>
        <v/>
      </c>
      <c r="F205" s="2">
        <f>'[01_Entry.xlsx]Book'!N205</f>
        <v/>
      </c>
      <c r="G205" s="3">
        <f>'[01_Entry.xlsx]Book'!L205</f>
        <v/>
      </c>
      <c r="H205" s="3">
        <f>'[01_Entry.xlsx]Book'!M205</f>
        <v/>
      </c>
      <c r="I205" s="3">
        <f>'[01_Entry.xlsx]Book'!K205</f>
        <v/>
      </c>
      <c r="J205" s="3">
        <f>'[01_Entry.xlsx]Book'!P205</f>
        <v/>
      </c>
      <c r="K205" s="3">
        <f>'[01_Entry.xlsx]Book'!F205</f>
        <v/>
      </c>
      <c r="L205" s="3">
        <f>'[01_Entry.xlsx]Book'!G205</f>
        <v/>
      </c>
      <c r="M205" s="3">
        <f>'[01_Entry.xlsx]Book'!I205</f>
        <v/>
      </c>
      <c r="N205" s="2">
        <f>IF($A205="","",MID($A205,6,2))</f>
        <v>0</v>
      </c>
      <c r="O205" s="2">
        <f>IF(OR($C205="",$C205&lt;&gt;'Inv'!$D$12),"",N(O$204)+1)</f>
        <v>0</v>
      </c>
    </row>
    <row r="206" spans="1:15">
      <c r="A206" s="2">
        <f>'[01_Entry.xlsx]Book'!A206</f>
        <v/>
      </c>
      <c r="B206" s="2">
        <f>'[01_Entry.xlsx]Book'!B206</f>
        <v/>
      </c>
      <c r="C206" s="2">
        <f>'[01_Entry.xlsx]Book'!D206</f>
        <v/>
      </c>
      <c r="D206" s="2">
        <f>'[01_Entry.xlsx]Book'!E206</f>
        <v/>
      </c>
      <c r="E206" s="2">
        <f>'[01_Entry.xlsx]Book'!O206</f>
        <v/>
      </c>
      <c r="F206" s="2">
        <f>'[01_Entry.xlsx]Book'!N206</f>
        <v/>
      </c>
      <c r="G206" s="3">
        <f>'[01_Entry.xlsx]Book'!L206</f>
        <v/>
      </c>
      <c r="H206" s="3">
        <f>'[01_Entry.xlsx]Book'!M206</f>
        <v/>
      </c>
      <c r="I206" s="3">
        <f>'[01_Entry.xlsx]Book'!K206</f>
        <v/>
      </c>
      <c r="J206" s="3">
        <f>'[01_Entry.xlsx]Book'!P206</f>
        <v/>
      </c>
      <c r="K206" s="3">
        <f>'[01_Entry.xlsx]Book'!F206</f>
        <v/>
      </c>
      <c r="L206" s="3">
        <f>'[01_Entry.xlsx]Book'!G206</f>
        <v/>
      </c>
      <c r="M206" s="3">
        <f>'[01_Entry.xlsx]Book'!I206</f>
        <v/>
      </c>
      <c r="N206" s="2">
        <f>IF($A206="","",MID($A206,6,2))</f>
        <v>0</v>
      </c>
      <c r="O206" s="2">
        <f>IF(OR($C206="",$C206&lt;&gt;'Inv'!$D$12),"",N(O$205)+1)</f>
        <v>0</v>
      </c>
    </row>
    <row r="207" spans="1:15">
      <c r="A207" s="2">
        <f>'[01_Entry.xlsx]Book'!A207</f>
        <v/>
      </c>
      <c r="B207" s="2">
        <f>'[01_Entry.xlsx]Book'!B207</f>
        <v/>
      </c>
      <c r="C207" s="2">
        <f>'[01_Entry.xlsx]Book'!D207</f>
        <v/>
      </c>
      <c r="D207" s="2">
        <f>'[01_Entry.xlsx]Book'!E207</f>
        <v/>
      </c>
      <c r="E207" s="2">
        <f>'[01_Entry.xlsx]Book'!O207</f>
        <v/>
      </c>
      <c r="F207" s="2">
        <f>'[01_Entry.xlsx]Book'!N207</f>
        <v/>
      </c>
      <c r="G207" s="3">
        <f>'[01_Entry.xlsx]Book'!L207</f>
        <v/>
      </c>
      <c r="H207" s="3">
        <f>'[01_Entry.xlsx]Book'!M207</f>
        <v/>
      </c>
      <c r="I207" s="3">
        <f>'[01_Entry.xlsx]Book'!K207</f>
        <v/>
      </c>
      <c r="J207" s="3">
        <f>'[01_Entry.xlsx]Book'!P207</f>
        <v/>
      </c>
      <c r="K207" s="3">
        <f>'[01_Entry.xlsx]Book'!F207</f>
        <v/>
      </c>
      <c r="L207" s="3">
        <f>'[01_Entry.xlsx]Book'!G207</f>
        <v/>
      </c>
      <c r="M207" s="3">
        <f>'[01_Entry.xlsx]Book'!I207</f>
        <v/>
      </c>
      <c r="N207" s="2">
        <f>IF($A207="","",MID($A207,6,2))</f>
        <v>0</v>
      </c>
      <c r="O207" s="2">
        <f>IF(OR($C207="",$C207&lt;&gt;'Inv'!$D$12),"",N(O$206)+1)</f>
        <v>0</v>
      </c>
    </row>
    <row r="208" spans="1:15">
      <c r="A208" s="2">
        <f>'[01_Entry.xlsx]Book'!A208</f>
        <v/>
      </c>
      <c r="B208" s="2">
        <f>'[01_Entry.xlsx]Book'!B208</f>
        <v/>
      </c>
      <c r="C208" s="2">
        <f>'[01_Entry.xlsx]Book'!D208</f>
        <v/>
      </c>
      <c r="D208" s="2">
        <f>'[01_Entry.xlsx]Book'!E208</f>
        <v/>
      </c>
      <c r="E208" s="2">
        <f>'[01_Entry.xlsx]Book'!O208</f>
        <v/>
      </c>
      <c r="F208" s="2">
        <f>'[01_Entry.xlsx]Book'!N208</f>
        <v/>
      </c>
      <c r="G208" s="3">
        <f>'[01_Entry.xlsx]Book'!L208</f>
        <v/>
      </c>
      <c r="H208" s="3">
        <f>'[01_Entry.xlsx]Book'!M208</f>
        <v/>
      </c>
      <c r="I208" s="3">
        <f>'[01_Entry.xlsx]Book'!K208</f>
        <v/>
      </c>
      <c r="J208" s="3">
        <f>'[01_Entry.xlsx]Book'!P208</f>
        <v/>
      </c>
      <c r="K208" s="3">
        <f>'[01_Entry.xlsx]Book'!F208</f>
        <v/>
      </c>
      <c r="L208" s="3">
        <f>'[01_Entry.xlsx]Book'!G208</f>
        <v/>
      </c>
      <c r="M208" s="3">
        <f>'[01_Entry.xlsx]Book'!I208</f>
        <v/>
      </c>
      <c r="N208" s="2">
        <f>IF($A208="","",MID($A208,6,2))</f>
        <v>0</v>
      </c>
      <c r="O208" s="2">
        <f>IF(OR($C208="",$C208&lt;&gt;'Inv'!$D$12),"",N(O$207)+1)</f>
        <v>0</v>
      </c>
    </row>
    <row r="209" spans="1:15">
      <c r="A209" s="2">
        <f>'[01_Entry.xlsx]Book'!A209</f>
        <v/>
      </c>
      <c r="B209" s="2">
        <f>'[01_Entry.xlsx]Book'!B209</f>
        <v/>
      </c>
      <c r="C209" s="2">
        <f>'[01_Entry.xlsx]Book'!D209</f>
        <v/>
      </c>
      <c r="D209" s="2">
        <f>'[01_Entry.xlsx]Book'!E209</f>
        <v/>
      </c>
      <c r="E209" s="2">
        <f>'[01_Entry.xlsx]Book'!O209</f>
        <v/>
      </c>
      <c r="F209" s="2">
        <f>'[01_Entry.xlsx]Book'!N209</f>
        <v/>
      </c>
      <c r="G209" s="3">
        <f>'[01_Entry.xlsx]Book'!L209</f>
        <v/>
      </c>
      <c r="H209" s="3">
        <f>'[01_Entry.xlsx]Book'!M209</f>
        <v/>
      </c>
      <c r="I209" s="3">
        <f>'[01_Entry.xlsx]Book'!K209</f>
        <v/>
      </c>
      <c r="J209" s="3">
        <f>'[01_Entry.xlsx]Book'!P209</f>
        <v/>
      </c>
      <c r="K209" s="3">
        <f>'[01_Entry.xlsx]Book'!F209</f>
        <v/>
      </c>
      <c r="L209" s="3">
        <f>'[01_Entry.xlsx]Book'!G209</f>
        <v/>
      </c>
      <c r="M209" s="3">
        <f>'[01_Entry.xlsx]Book'!I209</f>
        <v/>
      </c>
      <c r="N209" s="2">
        <f>IF($A209="","",MID($A209,6,2))</f>
        <v>0</v>
      </c>
      <c r="O209" s="2">
        <f>IF(OR($C209="",$C209&lt;&gt;'Inv'!$D$12),"",N(O$208)+1)</f>
        <v>0</v>
      </c>
    </row>
    <row r="210" spans="1:15">
      <c r="A210" s="2">
        <f>'[01_Entry.xlsx]Book'!A210</f>
        <v/>
      </c>
      <c r="B210" s="2">
        <f>'[01_Entry.xlsx]Book'!B210</f>
        <v/>
      </c>
      <c r="C210" s="2">
        <f>'[01_Entry.xlsx]Book'!D210</f>
        <v/>
      </c>
      <c r="D210" s="2">
        <f>'[01_Entry.xlsx]Book'!E210</f>
        <v/>
      </c>
      <c r="E210" s="2">
        <f>'[01_Entry.xlsx]Book'!O210</f>
        <v/>
      </c>
      <c r="F210" s="2">
        <f>'[01_Entry.xlsx]Book'!N210</f>
        <v/>
      </c>
      <c r="G210" s="3">
        <f>'[01_Entry.xlsx]Book'!L210</f>
        <v/>
      </c>
      <c r="H210" s="3">
        <f>'[01_Entry.xlsx]Book'!M210</f>
        <v/>
      </c>
      <c r="I210" s="3">
        <f>'[01_Entry.xlsx]Book'!K210</f>
        <v/>
      </c>
      <c r="J210" s="3">
        <f>'[01_Entry.xlsx]Book'!P210</f>
        <v/>
      </c>
      <c r="K210" s="3">
        <f>'[01_Entry.xlsx]Book'!F210</f>
        <v/>
      </c>
      <c r="L210" s="3">
        <f>'[01_Entry.xlsx]Book'!G210</f>
        <v/>
      </c>
      <c r="M210" s="3">
        <f>'[01_Entry.xlsx]Book'!I210</f>
        <v/>
      </c>
      <c r="N210" s="2">
        <f>IF($A210="","",MID($A210,6,2))</f>
        <v>0</v>
      </c>
      <c r="O210" s="2">
        <f>IF(OR($C210="",$C210&lt;&gt;'Inv'!$D$12),"",N(O$209)+1)</f>
        <v>0</v>
      </c>
    </row>
    <row r="211" spans="1:15">
      <c r="A211" s="2">
        <f>'[01_Entry.xlsx]Book'!A211</f>
        <v/>
      </c>
      <c r="B211" s="2">
        <f>'[01_Entry.xlsx]Book'!B211</f>
        <v/>
      </c>
      <c r="C211" s="2">
        <f>'[01_Entry.xlsx]Book'!D211</f>
        <v/>
      </c>
      <c r="D211" s="2">
        <f>'[01_Entry.xlsx]Book'!E211</f>
        <v/>
      </c>
      <c r="E211" s="2">
        <f>'[01_Entry.xlsx]Book'!O211</f>
        <v/>
      </c>
      <c r="F211" s="2">
        <f>'[01_Entry.xlsx]Book'!N211</f>
        <v/>
      </c>
      <c r="G211" s="3">
        <f>'[01_Entry.xlsx]Book'!L211</f>
        <v/>
      </c>
      <c r="H211" s="3">
        <f>'[01_Entry.xlsx]Book'!M211</f>
        <v/>
      </c>
      <c r="I211" s="3">
        <f>'[01_Entry.xlsx]Book'!K211</f>
        <v/>
      </c>
      <c r="J211" s="3">
        <f>'[01_Entry.xlsx]Book'!P211</f>
        <v/>
      </c>
      <c r="K211" s="3">
        <f>'[01_Entry.xlsx]Book'!F211</f>
        <v/>
      </c>
      <c r="L211" s="3">
        <f>'[01_Entry.xlsx]Book'!G211</f>
        <v/>
      </c>
      <c r="M211" s="3">
        <f>'[01_Entry.xlsx]Book'!I211</f>
        <v/>
      </c>
      <c r="N211" s="2">
        <f>IF($A211="","",MID($A211,6,2))</f>
        <v>0</v>
      </c>
      <c r="O211" s="2">
        <f>IF(OR($C211="",$C211&lt;&gt;'Inv'!$D$12),"",N(O$210)+1)</f>
        <v>0</v>
      </c>
    </row>
    <row r="212" spans="1:15">
      <c r="A212" s="2">
        <f>'[01_Entry.xlsx]Book'!A212</f>
        <v/>
      </c>
      <c r="B212" s="2">
        <f>'[01_Entry.xlsx]Book'!B212</f>
        <v/>
      </c>
      <c r="C212" s="2">
        <f>'[01_Entry.xlsx]Book'!D212</f>
        <v/>
      </c>
      <c r="D212" s="2">
        <f>'[01_Entry.xlsx]Book'!E212</f>
        <v/>
      </c>
      <c r="E212" s="2">
        <f>'[01_Entry.xlsx]Book'!O212</f>
        <v/>
      </c>
      <c r="F212" s="2">
        <f>'[01_Entry.xlsx]Book'!N212</f>
        <v/>
      </c>
      <c r="G212" s="3">
        <f>'[01_Entry.xlsx]Book'!L212</f>
        <v/>
      </c>
      <c r="H212" s="3">
        <f>'[01_Entry.xlsx]Book'!M212</f>
        <v/>
      </c>
      <c r="I212" s="3">
        <f>'[01_Entry.xlsx]Book'!K212</f>
        <v/>
      </c>
      <c r="J212" s="3">
        <f>'[01_Entry.xlsx]Book'!P212</f>
        <v/>
      </c>
      <c r="K212" s="3">
        <f>'[01_Entry.xlsx]Book'!F212</f>
        <v/>
      </c>
      <c r="L212" s="3">
        <f>'[01_Entry.xlsx]Book'!G212</f>
        <v/>
      </c>
      <c r="M212" s="3">
        <f>'[01_Entry.xlsx]Book'!I212</f>
        <v/>
      </c>
      <c r="N212" s="2">
        <f>IF($A212="","",MID($A212,6,2))</f>
        <v>0</v>
      </c>
      <c r="O212" s="2">
        <f>IF(OR($C212="",$C212&lt;&gt;'Inv'!$D$12),"",N(O$211)+1)</f>
        <v>0</v>
      </c>
    </row>
    <row r="213" spans="1:15">
      <c r="A213" s="2">
        <f>'[01_Entry.xlsx]Book'!A213</f>
        <v/>
      </c>
      <c r="B213" s="2">
        <f>'[01_Entry.xlsx]Book'!B213</f>
        <v/>
      </c>
      <c r="C213" s="2">
        <f>'[01_Entry.xlsx]Book'!D213</f>
        <v/>
      </c>
      <c r="D213" s="2">
        <f>'[01_Entry.xlsx]Book'!E213</f>
        <v/>
      </c>
      <c r="E213" s="2">
        <f>'[01_Entry.xlsx]Book'!O213</f>
        <v/>
      </c>
      <c r="F213" s="2">
        <f>'[01_Entry.xlsx]Book'!N213</f>
        <v/>
      </c>
      <c r="G213" s="3">
        <f>'[01_Entry.xlsx]Book'!L213</f>
        <v/>
      </c>
      <c r="H213" s="3">
        <f>'[01_Entry.xlsx]Book'!M213</f>
        <v/>
      </c>
      <c r="I213" s="3">
        <f>'[01_Entry.xlsx]Book'!K213</f>
        <v/>
      </c>
      <c r="J213" s="3">
        <f>'[01_Entry.xlsx]Book'!P213</f>
        <v/>
      </c>
      <c r="K213" s="3">
        <f>'[01_Entry.xlsx]Book'!F213</f>
        <v/>
      </c>
      <c r="L213" s="3">
        <f>'[01_Entry.xlsx]Book'!G213</f>
        <v/>
      </c>
      <c r="M213" s="3">
        <f>'[01_Entry.xlsx]Book'!I213</f>
        <v/>
      </c>
      <c r="N213" s="2">
        <f>IF($A213="","",MID($A213,6,2))</f>
        <v>0</v>
      </c>
      <c r="O213" s="2">
        <f>IF(OR($C213="",$C213&lt;&gt;'Inv'!$D$12),"",N(O$212)+1)</f>
        <v>0</v>
      </c>
    </row>
    <row r="214" spans="1:15">
      <c r="A214" s="2">
        <f>'[01_Entry.xlsx]Book'!A214</f>
        <v/>
      </c>
      <c r="B214" s="2">
        <f>'[01_Entry.xlsx]Book'!B214</f>
        <v/>
      </c>
      <c r="C214" s="2">
        <f>'[01_Entry.xlsx]Book'!D214</f>
        <v/>
      </c>
      <c r="D214" s="2">
        <f>'[01_Entry.xlsx]Book'!E214</f>
        <v/>
      </c>
      <c r="E214" s="2">
        <f>'[01_Entry.xlsx]Book'!O214</f>
        <v/>
      </c>
      <c r="F214" s="2">
        <f>'[01_Entry.xlsx]Book'!N214</f>
        <v/>
      </c>
      <c r="G214" s="3">
        <f>'[01_Entry.xlsx]Book'!L214</f>
        <v/>
      </c>
      <c r="H214" s="3">
        <f>'[01_Entry.xlsx]Book'!M214</f>
        <v/>
      </c>
      <c r="I214" s="3">
        <f>'[01_Entry.xlsx]Book'!K214</f>
        <v/>
      </c>
      <c r="J214" s="3">
        <f>'[01_Entry.xlsx]Book'!P214</f>
        <v/>
      </c>
      <c r="K214" s="3">
        <f>'[01_Entry.xlsx]Book'!F214</f>
        <v/>
      </c>
      <c r="L214" s="3">
        <f>'[01_Entry.xlsx]Book'!G214</f>
        <v/>
      </c>
      <c r="M214" s="3">
        <f>'[01_Entry.xlsx]Book'!I214</f>
        <v/>
      </c>
      <c r="N214" s="2">
        <f>IF($A214="","",MID($A214,6,2))</f>
        <v>0</v>
      </c>
      <c r="O214" s="2">
        <f>IF(OR($C214="",$C214&lt;&gt;'Inv'!$D$12),"",N(O$213)+1)</f>
        <v>0</v>
      </c>
    </row>
    <row r="215" spans="1:15">
      <c r="A215" s="2">
        <f>'[01_Entry.xlsx]Book'!A215</f>
        <v/>
      </c>
      <c r="B215" s="2">
        <f>'[01_Entry.xlsx]Book'!B215</f>
        <v/>
      </c>
      <c r="C215" s="2">
        <f>'[01_Entry.xlsx]Book'!D215</f>
        <v/>
      </c>
      <c r="D215" s="2">
        <f>'[01_Entry.xlsx]Book'!E215</f>
        <v/>
      </c>
      <c r="E215" s="2">
        <f>'[01_Entry.xlsx]Book'!O215</f>
        <v/>
      </c>
      <c r="F215" s="2">
        <f>'[01_Entry.xlsx]Book'!N215</f>
        <v/>
      </c>
      <c r="G215" s="3">
        <f>'[01_Entry.xlsx]Book'!L215</f>
        <v/>
      </c>
      <c r="H215" s="3">
        <f>'[01_Entry.xlsx]Book'!M215</f>
        <v/>
      </c>
      <c r="I215" s="3">
        <f>'[01_Entry.xlsx]Book'!K215</f>
        <v/>
      </c>
      <c r="J215" s="3">
        <f>'[01_Entry.xlsx]Book'!P215</f>
        <v/>
      </c>
      <c r="K215" s="3">
        <f>'[01_Entry.xlsx]Book'!F215</f>
        <v/>
      </c>
      <c r="L215" s="3">
        <f>'[01_Entry.xlsx]Book'!G215</f>
        <v/>
      </c>
      <c r="M215" s="3">
        <f>'[01_Entry.xlsx]Book'!I215</f>
        <v/>
      </c>
      <c r="N215" s="2">
        <f>IF($A215="","",MID($A215,6,2))</f>
        <v>0</v>
      </c>
      <c r="O215" s="2">
        <f>IF(OR($C215="",$C215&lt;&gt;'Inv'!$D$12),"",N(O$214)+1)</f>
        <v>0</v>
      </c>
    </row>
    <row r="216" spans="1:15">
      <c r="A216" s="2">
        <f>'[01_Entry.xlsx]Book'!A216</f>
        <v/>
      </c>
      <c r="B216" s="2">
        <f>'[01_Entry.xlsx]Book'!B216</f>
        <v/>
      </c>
      <c r="C216" s="2">
        <f>'[01_Entry.xlsx]Book'!D216</f>
        <v/>
      </c>
      <c r="D216" s="2">
        <f>'[01_Entry.xlsx]Book'!E216</f>
        <v/>
      </c>
      <c r="E216" s="2">
        <f>'[01_Entry.xlsx]Book'!O216</f>
        <v/>
      </c>
      <c r="F216" s="2">
        <f>'[01_Entry.xlsx]Book'!N216</f>
        <v/>
      </c>
      <c r="G216" s="3">
        <f>'[01_Entry.xlsx]Book'!L216</f>
        <v/>
      </c>
      <c r="H216" s="3">
        <f>'[01_Entry.xlsx]Book'!M216</f>
        <v/>
      </c>
      <c r="I216" s="3">
        <f>'[01_Entry.xlsx]Book'!K216</f>
        <v/>
      </c>
      <c r="J216" s="3">
        <f>'[01_Entry.xlsx]Book'!P216</f>
        <v/>
      </c>
      <c r="K216" s="3">
        <f>'[01_Entry.xlsx]Book'!F216</f>
        <v/>
      </c>
      <c r="L216" s="3">
        <f>'[01_Entry.xlsx]Book'!G216</f>
        <v/>
      </c>
      <c r="M216" s="3">
        <f>'[01_Entry.xlsx]Book'!I216</f>
        <v/>
      </c>
      <c r="N216" s="2">
        <f>IF($A216="","",MID($A216,6,2))</f>
        <v>0</v>
      </c>
      <c r="O216" s="2">
        <f>IF(OR($C216="",$C216&lt;&gt;'Inv'!$D$12),"",N(O$215)+1)</f>
        <v>0</v>
      </c>
    </row>
    <row r="217" spans="1:15">
      <c r="A217" s="2">
        <f>'[01_Entry.xlsx]Book'!A217</f>
        <v/>
      </c>
      <c r="B217" s="2">
        <f>'[01_Entry.xlsx]Book'!B217</f>
        <v/>
      </c>
      <c r="C217" s="2">
        <f>'[01_Entry.xlsx]Book'!D217</f>
        <v/>
      </c>
      <c r="D217" s="2">
        <f>'[01_Entry.xlsx]Book'!E217</f>
        <v/>
      </c>
      <c r="E217" s="2">
        <f>'[01_Entry.xlsx]Book'!O217</f>
        <v/>
      </c>
      <c r="F217" s="2">
        <f>'[01_Entry.xlsx]Book'!N217</f>
        <v/>
      </c>
      <c r="G217" s="3">
        <f>'[01_Entry.xlsx]Book'!L217</f>
        <v/>
      </c>
      <c r="H217" s="3">
        <f>'[01_Entry.xlsx]Book'!M217</f>
        <v/>
      </c>
      <c r="I217" s="3">
        <f>'[01_Entry.xlsx]Book'!K217</f>
        <v/>
      </c>
      <c r="J217" s="3">
        <f>'[01_Entry.xlsx]Book'!P217</f>
        <v/>
      </c>
      <c r="K217" s="3">
        <f>'[01_Entry.xlsx]Book'!F217</f>
        <v/>
      </c>
      <c r="L217" s="3">
        <f>'[01_Entry.xlsx]Book'!G217</f>
        <v/>
      </c>
      <c r="M217" s="3">
        <f>'[01_Entry.xlsx]Book'!I217</f>
        <v/>
      </c>
      <c r="N217" s="2">
        <f>IF($A217="","",MID($A217,6,2))</f>
        <v>0</v>
      </c>
      <c r="O217" s="2">
        <f>IF(OR($C217="",$C217&lt;&gt;'Inv'!$D$12),"",N(O$216)+1)</f>
        <v>0</v>
      </c>
    </row>
    <row r="218" spans="1:15">
      <c r="A218" s="2">
        <f>'[01_Entry.xlsx]Book'!A218</f>
        <v/>
      </c>
      <c r="B218" s="2">
        <f>'[01_Entry.xlsx]Book'!B218</f>
        <v/>
      </c>
      <c r="C218" s="2">
        <f>'[01_Entry.xlsx]Book'!D218</f>
        <v/>
      </c>
      <c r="D218" s="2">
        <f>'[01_Entry.xlsx]Book'!E218</f>
        <v/>
      </c>
      <c r="E218" s="2">
        <f>'[01_Entry.xlsx]Book'!O218</f>
        <v/>
      </c>
      <c r="F218" s="2">
        <f>'[01_Entry.xlsx]Book'!N218</f>
        <v/>
      </c>
      <c r="G218" s="3">
        <f>'[01_Entry.xlsx]Book'!L218</f>
        <v/>
      </c>
      <c r="H218" s="3">
        <f>'[01_Entry.xlsx]Book'!M218</f>
        <v/>
      </c>
      <c r="I218" s="3">
        <f>'[01_Entry.xlsx]Book'!K218</f>
        <v/>
      </c>
      <c r="J218" s="3">
        <f>'[01_Entry.xlsx]Book'!P218</f>
        <v/>
      </c>
      <c r="K218" s="3">
        <f>'[01_Entry.xlsx]Book'!F218</f>
        <v/>
      </c>
      <c r="L218" s="3">
        <f>'[01_Entry.xlsx]Book'!G218</f>
        <v/>
      </c>
      <c r="M218" s="3">
        <f>'[01_Entry.xlsx]Book'!I218</f>
        <v/>
      </c>
      <c r="N218" s="2">
        <f>IF($A218="","",MID($A218,6,2))</f>
        <v>0</v>
      </c>
      <c r="O218" s="2">
        <f>IF(OR($C218="",$C218&lt;&gt;'Inv'!$D$12),"",N(O$217)+1)</f>
        <v>0</v>
      </c>
    </row>
    <row r="219" spans="1:15">
      <c r="A219" s="2">
        <f>'[01_Entry.xlsx]Book'!A219</f>
        <v/>
      </c>
      <c r="B219" s="2">
        <f>'[01_Entry.xlsx]Book'!B219</f>
        <v/>
      </c>
      <c r="C219" s="2">
        <f>'[01_Entry.xlsx]Book'!D219</f>
        <v/>
      </c>
      <c r="D219" s="2">
        <f>'[01_Entry.xlsx]Book'!E219</f>
        <v/>
      </c>
      <c r="E219" s="2">
        <f>'[01_Entry.xlsx]Book'!O219</f>
        <v/>
      </c>
      <c r="F219" s="2">
        <f>'[01_Entry.xlsx]Book'!N219</f>
        <v/>
      </c>
      <c r="G219" s="3">
        <f>'[01_Entry.xlsx]Book'!L219</f>
        <v/>
      </c>
      <c r="H219" s="3">
        <f>'[01_Entry.xlsx]Book'!M219</f>
        <v/>
      </c>
      <c r="I219" s="3">
        <f>'[01_Entry.xlsx]Book'!K219</f>
        <v/>
      </c>
      <c r="J219" s="3">
        <f>'[01_Entry.xlsx]Book'!P219</f>
        <v/>
      </c>
      <c r="K219" s="3">
        <f>'[01_Entry.xlsx]Book'!F219</f>
        <v/>
      </c>
      <c r="L219" s="3">
        <f>'[01_Entry.xlsx]Book'!G219</f>
        <v/>
      </c>
      <c r="M219" s="3">
        <f>'[01_Entry.xlsx]Book'!I219</f>
        <v/>
      </c>
      <c r="N219" s="2">
        <f>IF($A219="","",MID($A219,6,2))</f>
        <v>0</v>
      </c>
      <c r="O219" s="2">
        <f>IF(OR($C219="",$C219&lt;&gt;'Inv'!$D$12),"",N(O$218)+1)</f>
        <v>0</v>
      </c>
    </row>
    <row r="220" spans="1:15">
      <c r="A220" s="2">
        <f>'[01_Entry.xlsx]Book'!A220</f>
        <v/>
      </c>
      <c r="B220" s="2">
        <f>'[01_Entry.xlsx]Book'!B220</f>
        <v/>
      </c>
      <c r="C220" s="2">
        <f>'[01_Entry.xlsx]Book'!D220</f>
        <v/>
      </c>
      <c r="D220" s="2">
        <f>'[01_Entry.xlsx]Book'!E220</f>
        <v/>
      </c>
      <c r="E220" s="2">
        <f>'[01_Entry.xlsx]Book'!O220</f>
        <v/>
      </c>
      <c r="F220" s="2">
        <f>'[01_Entry.xlsx]Book'!N220</f>
        <v/>
      </c>
      <c r="G220" s="3">
        <f>'[01_Entry.xlsx]Book'!L220</f>
        <v/>
      </c>
      <c r="H220" s="3">
        <f>'[01_Entry.xlsx]Book'!M220</f>
        <v/>
      </c>
      <c r="I220" s="3">
        <f>'[01_Entry.xlsx]Book'!K220</f>
        <v/>
      </c>
      <c r="J220" s="3">
        <f>'[01_Entry.xlsx]Book'!P220</f>
        <v/>
      </c>
      <c r="K220" s="3">
        <f>'[01_Entry.xlsx]Book'!F220</f>
        <v/>
      </c>
      <c r="L220" s="3">
        <f>'[01_Entry.xlsx]Book'!G220</f>
        <v/>
      </c>
      <c r="M220" s="3">
        <f>'[01_Entry.xlsx]Book'!I220</f>
        <v/>
      </c>
      <c r="N220" s="2">
        <f>IF($A220="","",MID($A220,6,2))</f>
        <v>0</v>
      </c>
      <c r="O220" s="2">
        <f>IF(OR($C220="",$C220&lt;&gt;'Inv'!$D$12),"",N(O$219)+1)</f>
        <v>0</v>
      </c>
    </row>
    <row r="221" spans="1:15">
      <c r="A221" s="2">
        <f>'[01_Entry.xlsx]Book'!A221</f>
        <v/>
      </c>
      <c r="B221" s="2">
        <f>'[01_Entry.xlsx]Book'!B221</f>
        <v/>
      </c>
      <c r="C221" s="2">
        <f>'[01_Entry.xlsx]Book'!D221</f>
        <v/>
      </c>
      <c r="D221" s="2">
        <f>'[01_Entry.xlsx]Book'!E221</f>
        <v/>
      </c>
      <c r="E221" s="2">
        <f>'[01_Entry.xlsx]Book'!O221</f>
        <v/>
      </c>
      <c r="F221" s="2">
        <f>'[01_Entry.xlsx]Book'!N221</f>
        <v/>
      </c>
      <c r="G221" s="3">
        <f>'[01_Entry.xlsx]Book'!L221</f>
        <v/>
      </c>
      <c r="H221" s="3">
        <f>'[01_Entry.xlsx]Book'!M221</f>
        <v/>
      </c>
      <c r="I221" s="3">
        <f>'[01_Entry.xlsx]Book'!K221</f>
        <v/>
      </c>
      <c r="J221" s="3">
        <f>'[01_Entry.xlsx]Book'!P221</f>
        <v/>
      </c>
      <c r="K221" s="3">
        <f>'[01_Entry.xlsx]Book'!F221</f>
        <v/>
      </c>
      <c r="L221" s="3">
        <f>'[01_Entry.xlsx]Book'!G221</f>
        <v/>
      </c>
      <c r="M221" s="3">
        <f>'[01_Entry.xlsx]Book'!I221</f>
        <v/>
      </c>
      <c r="N221" s="2">
        <f>IF($A221="","",MID($A221,6,2))</f>
        <v>0</v>
      </c>
      <c r="O221" s="2">
        <f>IF(OR($C221="",$C221&lt;&gt;'Inv'!$D$12),"",N(O$220)+1)</f>
        <v>0</v>
      </c>
    </row>
    <row r="222" spans="1:15">
      <c r="A222" s="2">
        <f>'[01_Entry.xlsx]Book'!A222</f>
        <v/>
      </c>
      <c r="B222" s="2">
        <f>'[01_Entry.xlsx]Book'!B222</f>
        <v/>
      </c>
      <c r="C222" s="2">
        <f>'[01_Entry.xlsx]Book'!D222</f>
        <v/>
      </c>
      <c r="D222" s="2">
        <f>'[01_Entry.xlsx]Book'!E222</f>
        <v/>
      </c>
      <c r="E222" s="2">
        <f>'[01_Entry.xlsx]Book'!O222</f>
        <v/>
      </c>
      <c r="F222" s="2">
        <f>'[01_Entry.xlsx]Book'!N222</f>
        <v/>
      </c>
      <c r="G222" s="3">
        <f>'[01_Entry.xlsx]Book'!L222</f>
        <v/>
      </c>
      <c r="H222" s="3">
        <f>'[01_Entry.xlsx]Book'!M222</f>
        <v/>
      </c>
      <c r="I222" s="3">
        <f>'[01_Entry.xlsx]Book'!K222</f>
        <v/>
      </c>
      <c r="J222" s="3">
        <f>'[01_Entry.xlsx]Book'!P222</f>
        <v/>
      </c>
      <c r="K222" s="3">
        <f>'[01_Entry.xlsx]Book'!F222</f>
        <v/>
      </c>
      <c r="L222" s="3">
        <f>'[01_Entry.xlsx]Book'!G222</f>
        <v/>
      </c>
      <c r="M222" s="3">
        <f>'[01_Entry.xlsx]Book'!I222</f>
        <v/>
      </c>
      <c r="N222" s="2">
        <f>IF($A222="","",MID($A222,6,2))</f>
        <v>0</v>
      </c>
      <c r="O222" s="2">
        <f>IF(OR($C222="",$C222&lt;&gt;'Inv'!$D$12),"",N(O$221)+1)</f>
        <v>0</v>
      </c>
    </row>
    <row r="223" spans="1:15">
      <c r="A223" s="2">
        <f>'[01_Entry.xlsx]Book'!A223</f>
        <v/>
      </c>
      <c r="B223" s="2">
        <f>'[01_Entry.xlsx]Book'!B223</f>
        <v/>
      </c>
      <c r="C223" s="2">
        <f>'[01_Entry.xlsx]Book'!D223</f>
        <v/>
      </c>
      <c r="D223" s="2">
        <f>'[01_Entry.xlsx]Book'!E223</f>
        <v/>
      </c>
      <c r="E223" s="2">
        <f>'[01_Entry.xlsx]Book'!O223</f>
        <v/>
      </c>
      <c r="F223" s="2">
        <f>'[01_Entry.xlsx]Book'!N223</f>
        <v/>
      </c>
      <c r="G223" s="3">
        <f>'[01_Entry.xlsx]Book'!L223</f>
        <v/>
      </c>
      <c r="H223" s="3">
        <f>'[01_Entry.xlsx]Book'!M223</f>
        <v/>
      </c>
      <c r="I223" s="3">
        <f>'[01_Entry.xlsx]Book'!K223</f>
        <v/>
      </c>
      <c r="J223" s="3">
        <f>'[01_Entry.xlsx]Book'!P223</f>
        <v/>
      </c>
      <c r="K223" s="3">
        <f>'[01_Entry.xlsx]Book'!F223</f>
        <v/>
      </c>
      <c r="L223" s="3">
        <f>'[01_Entry.xlsx]Book'!G223</f>
        <v/>
      </c>
      <c r="M223" s="3">
        <f>'[01_Entry.xlsx]Book'!I223</f>
        <v/>
      </c>
      <c r="N223" s="2">
        <f>IF($A223="","",MID($A223,6,2))</f>
        <v>0</v>
      </c>
      <c r="O223" s="2">
        <f>IF(OR($C223="",$C223&lt;&gt;'Inv'!$D$12),"",N(O$222)+1)</f>
        <v>0</v>
      </c>
    </row>
    <row r="224" spans="1:15">
      <c r="A224" s="2">
        <f>'[01_Entry.xlsx]Book'!A224</f>
        <v/>
      </c>
      <c r="B224" s="2">
        <f>'[01_Entry.xlsx]Book'!B224</f>
        <v/>
      </c>
      <c r="C224" s="2">
        <f>'[01_Entry.xlsx]Book'!D224</f>
        <v/>
      </c>
      <c r="D224" s="2">
        <f>'[01_Entry.xlsx]Book'!E224</f>
        <v/>
      </c>
      <c r="E224" s="2">
        <f>'[01_Entry.xlsx]Book'!O224</f>
        <v/>
      </c>
      <c r="F224" s="2">
        <f>'[01_Entry.xlsx]Book'!N224</f>
        <v/>
      </c>
      <c r="G224" s="3">
        <f>'[01_Entry.xlsx]Book'!L224</f>
        <v/>
      </c>
      <c r="H224" s="3">
        <f>'[01_Entry.xlsx]Book'!M224</f>
        <v/>
      </c>
      <c r="I224" s="3">
        <f>'[01_Entry.xlsx]Book'!K224</f>
        <v/>
      </c>
      <c r="J224" s="3">
        <f>'[01_Entry.xlsx]Book'!P224</f>
        <v/>
      </c>
      <c r="K224" s="3">
        <f>'[01_Entry.xlsx]Book'!F224</f>
        <v/>
      </c>
      <c r="L224" s="3">
        <f>'[01_Entry.xlsx]Book'!G224</f>
        <v/>
      </c>
      <c r="M224" s="3">
        <f>'[01_Entry.xlsx]Book'!I224</f>
        <v/>
      </c>
      <c r="N224" s="2">
        <f>IF($A224="","",MID($A224,6,2))</f>
        <v>0</v>
      </c>
      <c r="O224" s="2">
        <f>IF(OR($C224="",$C224&lt;&gt;'Inv'!$D$12),"",N(O$223)+1)</f>
        <v>0</v>
      </c>
    </row>
    <row r="225" spans="1:15">
      <c r="A225" s="2">
        <f>'[01_Entry.xlsx]Book'!A225</f>
        <v/>
      </c>
      <c r="B225" s="2">
        <f>'[01_Entry.xlsx]Book'!B225</f>
        <v/>
      </c>
      <c r="C225" s="2">
        <f>'[01_Entry.xlsx]Book'!D225</f>
        <v/>
      </c>
      <c r="D225" s="2">
        <f>'[01_Entry.xlsx]Book'!E225</f>
        <v/>
      </c>
      <c r="E225" s="2">
        <f>'[01_Entry.xlsx]Book'!O225</f>
        <v/>
      </c>
      <c r="F225" s="2">
        <f>'[01_Entry.xlsx]Book'!N225</f>
        <v/>
      </c>
      <c r="G225" s="3">
        <f>'[01_Entry.xlsx]Book'!L225</f>
        <v/>
      </c>
      <c r="H225" s="3">
        <f>'[01_Entry.xlsx]Book'!M225</f>
        <v/>
      </c>
      <c r="I225" s="3">
        <f>'[01_Entry.xlsx]Book'!K225</f>
        <v/>
      </c>
      <c r="J225" s="3">
        <f>'[01_Entry.xlsx]Book'!P225</f>
        <v/>
      </c>
      <c r="K225" s="3">
        <f>'[01_Entry.xlsx]Book'!F225</f>
        <v/>
      </c>
      <c r="L225" s="3">
        <f>'[01_Entry.xlsx]Book'!G225</f>
        <v/>
      </c>
      <c r="M225" s="3">
        <f>'[01_Entry.xlsx]Book'!I225</f>
        <v/>
      </c>
      <c r="N225" s="2">
        <f>IF($A225="","",MID($A225,6,2))</f>
        <v>0</v>
      </c>
      <c r="O225" s="2">
        <f>IF(OR($C225="",$C225&lt;&gt;'Inv'!$D$12),"",N(O$224)+1)</f>
        <v>0</v>
      </c>
    </row>
    <row r="226" spans="1:15">
      <c r="A226" s="2">
        <f>'[01_Entry.xlsx]Book'!A226</f>
        <v/>
      </c>
      <c r="B226" s="2">
        <f>'[01_Entry.xlsx]Book'!B226</f>
        <v/>
      </c>
      <c r="C226" s="2">
        <f>'[01_Entry.xlsx]Book'!D226</f>
        <v/>
      </c>
      <c r="D226" s="2">
        <f>'[01_Entry.xlsx]Book'!E226</f>
        <v/>
      </c>
      <c r="E226" s="2">
        <f>'[01_Entry.xlsx]Book'!O226</f>
        <v/>
      </c>
      <c r="F226" s="2">
        <f>'[01_Entry.xlsx]Book'!N226</f>
        <v/>
      </c>
      <c r="G226" s="3">
        <f>'[01_Entry.xlsx]Book'!L226</f>
        <v/>
      </c>
      <c r="H226" s="3">
        <f>'[01_Entry.xlsx]Book'!M226</f>
        <v/>
      </c>
      <c r="I226" s="3">
        <f>'[01_Entry.xlsx]Book'!K226</f>
        <v/>
      </c>
      <c r="J226" s="3">
        <f>'[01_Entry.xlsx]Book'!P226</f>
        <v/>
      </c>
      <c r="K226" s="3">
        <f>'[01_Entry.xlsx]Book'!F226</f>
        <v/>
      </c>
      <c r="L226" s="3">
        <f>'[01_Entry.xlsx]Book'!G226</f>
        <v/>
      </c>
      <c r="M226" s="3">
        <f>'[01_Entry.xlsx]Book'!I226</f>
        <v/>
      </c>
      <c r="N226" s="2">
        <f>IF($A226="","",MID($A226,6,2))</f>
        <v>0</v>
      </c>
      <c r="O226" s="2">
        <f>IF(OR($C226="",$C226&lt;&gt;'Inv'!$D$12),"",N(O$225)+1)</f>
        <v>0</v>
      </c>
    </row>
    <row r="227" spans="1:15">
      <c r="A227" s="2">
        <f>'[01_Entry.xlsx]Book'!A227</f>
        <v/>
      </c>
      <c r="B227" s="2">
        <f>'[01_Entry.xlsx]Book'!B227</f>
        <v/>
      </c>
      <c r="C227" s="2">
        <f>'[01_Entry.xlsx]Book'!D227</f>
        <v/>
      </c>
      <c r="D227" s="2">
        <f>'[01_Entry.xlsx]Book'!E227</f>
        <v/>
      </c>
      <c r="E227" s="2">
        <f>'[01_Entry.xlsx]Book'!O227</f>
        <v/>
      </c>
      <c r="F227" s="2">
        <f>'[01_Entry.xlsx]Book'!N227</f>
        <v/>
      </c>
      <c r="G227" s="3">
        <f>'[01_Entry.xlsx]Book'!L227</f>
        <v/>
      </c>
      <c r="H227" s="3">
        <f>'[01_Entry.xlsx]Book'!M227</f>
        <v/>
      </c>
      <c r="I227" s="3">
        <f>'[01_Entry.xlsx]Book'!K227</f>
        <v/>
      </c>
      <c r="J227" s="3">
        <f>'[01_Entry.xlsx]Book'!P227</f>
        <v/>
      </c>
      <c r="K227" s="3">
        <f>'[01_Entry.xlsx]Book'!F227</f>
        <v/>
      </c>
      <c r="L227" s="3">
        <f>'[01_Entry.xlsx]Book'!G227</f>
        <v/>
      </c>
      <c r="M227" s="3">
        <f>'[01_Entry.xlsx]Book'!I227</f>
        <v/>
      </c>
      <c r="N227" s="2">
        <f>IF($A227="","",MID($A227,6,2))</f>
        <v>0</v>
      </c>
      <c r="O227" s="2">
        <f>IF(OR($C227="",$C227&lt;&gt;'Inv'!$D$12),"",N(O$226)+1)</f>
        <v>0</v>
      </c>
    </row>
    <row r="228" spans="1:15">
      <c r="A228" s="2">
        <f>'[01_Entry.xlsx]Book'!A228</f>
        <v/>
      </c>
      <c r="B228" s="2">
        <f>'[01_Entry.xlsx]Book'!B228</f>
        <v/>
      </c>
      <c r="C228" s="2">
        <f>'[01_Entry.xlsx]Book'!D228</f>
        <v/>
      </c>
      <c r="D228" s="2">
        <f>'[01_Entry.xlsx]Book'!E228</f>
        <v/>
      </c>
      <c r="E228" s="2">
        <f>'[01_Entry.xlsx]Book'!O228</f>
        <v/>
      </c>
      <c r="F228" s="2">
        <f>'[01_Entry.xlsx]Book'!N228</f>
        <v/>
      </c>
      <c r="G228" s="3">
        <f>'[01_Entry.xlsx]Book'!L228</f>
        <v/>
      </c>
      <c r="H228" s="3">
        <f>'[01_Entry.xlsx]Book'!M228</f>
        <v/>
      </c>
      <c r="I228" s="3">
        <f>'[01_Entry.xlsx]Book'!K228</f>
        <v/>
      </c>
      <c r="J228" s="3">
        <f>'[01_Entry.xlsx]Book'!P228</f>
        <v/>
      </c>
      <c r="K228" s="3">
        <f>'[01_Entry.xlsx]Book'!F228</f>
        <v/>
      </c>
      <c r="L228" s="3">
        <f>'[01_Entry.xlsx]Book'!G228</f>
        <v/>
      </c>
      <c r="M228" s="3">
        <f>'[01_Entry.xlsx]Book'!I228</f>
        <v/>
      </c>
      <c r="N228" s="2">
        <f>IF($A228="","",MID($A228,6,2))</f>
        <v>0</v>
      </c>
      <c r="O228" s="2">
        <f>IF(OR($C228="",$C228&lt;&gt;'Inv'!$D$12),"",N(O$227)+1)</f>
        <v>0</v>
      </c>
    </row>
    <row r="229" spans="1:15">
      <c r="A229" s="2">
        <f>'[01_Entry.xlsx]Book'!A229</f>
        <v/>
      </c>
      <c r="B229" s="2">
        <f>'[01_Entry.xlsx]Book'!B229</f>
        <v/>
      </c>
      <c r="C229" s="2">
        <f>'[01_Entry.xlsx]Book'!D229</f>
        <v/>
      </c>
      <c r="D229" s="2">
        <f>'[01_Entry.xlsx]Book'!E229</f>
        <v/>
      </c>
      <c r="E229" s="2">
        <f>'[01_Entry.xlsx]Book'!O229</f>
        <v/>
      </c>
      <c r="F229" s="2">
        <f>'[01_Entry.xlsx]Book'!N229</f>
        <v/>
      </c>
      <c r="G229" s="3">
        <f>'[01_Entry.xlsx]Book'!L229</f>
        <v/>
      </c>
      <c r="H229" s="3">
        <f>'[01_Entry.xlsx]Book'!M229</f>
        <v/>
      </c>
      <c r="I229" s="3">
        <f>'[01_Entry.xlsx]Book'!K229</f>
        <v/>
      </c>
      <c r="J229" s="3">
        <f>'[01_Entry.xlsx]Book'!P229</f>
        <v/>
      </c>
      <c r="K229" s="3">
        <f>'[01_Entry.xlsx]Book'!F229</f>
        <v/>
      </c>
      <c r="L229" s="3">
        <f>'[01_Entry.xlsx]Book'!G229</f>
        <v/>
      </c>
      <c r="M229" s="3">
        <f>'[01_Entry.xlsx]Book'!I229</f>
        <v/>
      </c>
      <c r="N229" s="2">
        <f>IF($A229="","",MID($A229,6,2))</f>
        <v>0</v>
      </c>
      <c r="O229" s="2">
        <f>IF(OR($C229="",$C229&lt;&gt;'Inv'!$D$12),"",N(O$228)+1)</f>
        <v>0</v>
      </c>
    </row>
    <row r="230" spans="1:15">
      <c r="A230" s="2">
        <f>'[01_Entry.xlsx]Book'!A230</f>
        <v/>
      </c>
      <c r="B230" s="2">
        <f>'[01_Entry.xlsx]Book'!B230</f>
        <v/>
      </c>
      <c r="C230" s="2">
        <f>'[01_Entry.xlsx]Book'!D230</f>
        <v/>
      </c>
      <c r="D230" s="2">
        <f>'[01_Entry.xlsx]Book'!E230</f>
        <v/>
      </c>
      <c r="E230" s="2">
        <f>'[01_Entry.xlsx]Book'!O230</f>
        <v/>
      </c>
      <c r="F230" s="2">
        <f>'[01_Entry.xlsx]Book'!N230</f>
        <v/>
      </c>
      <c r="G230" s="3">
        <f>'[01_Entry.xlsx]Book'!L230</f>
        <v/>
      </c>
      <c r="H230" s="3">
        <f>'[01_Entry.xlsx]Book'!M230</f>
        <v/>
      </c>
      <c r="I230" s="3">
        <f>'[01_Entry.xlsx]Book'!K230</f>
        <v/>
      </c>
      <c r="J230" s="3">
        <f>'[01_Entry.xlsx]Book'!P230</f>
        <v/>
      </c>
      <c r="K230" s="3">
        <f>'[01_Entry.xlsx]Book'!F230</f>
        <v/>
      </c>
      <c r="L230" s="3">
        <f>'[01_Entry.xlsx]Book'!G230</f>
        <v/>
      </c>
      <c r="M230" s="3">
        <f>'[01_Entry.xlsx]Book'!I230</f>
        <v/>
      </c>
      <c r="N230" s="2">
        <f>IF($A230="","",MID($A230,6,2))</f>
        <v>0</v>
      </c>
      <c r="O230" s="2">
        <f>IF(OR($C230="",$C230&lt;&gt;'Inv'!$D$12),"",N(O$229)+1)</f>
        <v>0</v>
      </c>
    </row>
    <row r="231" spans="1:15">
      <c r="A231" s="2">
        <f>'[01_Entry.xlsx]Book'!A231</f>
        <v/>
      </c>
      <c r="B231" s="2">
        <f>'[01_Entry.xlsx]Book'!B231</f>
        <v/>
      </c>
      <c r="C231" s="2">
        <f>'[01_Entry.xlsx]Book'!D231</f>
        <v/>
      </c>
      <c r="D231" s="2">
        <f>'[01_Entry.xlsx]Book'!E231</f>
        <v/>
      </c>
      <c r="E231" s="2">
        <f>'[01_Entry.xlsx]Book'!O231</f>
        <v/>
      </c>
      <c r="F231" s="2">
        <f>'[01_Entry.xlsx]Book'!N231</f>
        <v/>
      </c>
      <c r="G231" s="3">
        <f>'[01_Entry.xlsx]Book'!L231</f>
        <v/>
      </c>
      <c r="H231" s="3">
        <f>'[01_Entry.xlsx]Book'!M231</f>
        <v/>
      </c>
      <c r="I231" s="3">
        <f>'[01_Entry.xlsx]Book'!K231</f>
        <v/>
      </c>
      <c r="J231" s="3">
        <f>'[01_Entry.xlsx]Book'!P231</f>
        <v/>
      </c>
      <c r="K231" s="3">
        <f>'[01_Entry.xlsx]Book'!F231</f>
        <v/>
      </c>
      <c r="L231" s="3">
        <f>'[01_Entry.xlsx]Book'!G231</f>
        <v/>
      </c>
      <c r="M231" s="3">
        <f>'[01_Entry.xlsx]Book'!I231</f>
        <v/>
      </c>
      <c r="N231" s="2">
        <f>IF($A231="","",MID($A231,6,2))</f>
        <v>0</v>
      </c>
      <c r="O231" s="2">
        <f>IF(OR($C231="",$C231&lt;&gt;'Inv'!$D$12),"",N(O$230)+1)</f>
        <v>0</v>
      </c>
    </row>
    <row r="232" spans="1:15">
      <c r="A232" s="2">
        <f>'[01_Entry.xlsx]Book'!A232</f>
        <v/>
      </c>
      <c r="B232" s="2">
        <f>'[01_Entry.xlsx]Book'!B232</f>
        <v/>
      </c>
      <c r="C232" s="2">
        <f>'[01_Entry.xlsx]Book'!D232</f>
        <v/>
      </c>
      <c r="D232" s="2">
        <f>'[01_Entry.xlsx]Book'!E232</f>
        <v/>
      </c>
      <c r="E232" s="2">
        <f>'[01_Entry.xlsx]Book'!O232</f>
        <v/>
      </c>
      <c r="F232" s="2">
        <f>'[01_Entry.xlsx]Book'!N232</f>
        <v/>
      </c>
      <c r="G232" s="3">
        <f>'[01_Entry.xlsx]Book'!L232</f>
        <v/>
      </c>
      <c r="H232" s="3">
        <f>'[01_Entry.xlsx]Book'!M232</f>
        <v/>
      </c>
      <c r="I232" s="3">
        <f>'[01_Entry.xlsx]Book'!K232</f>
        <v/>
      </c>
      <c r="J232" s="3">
        <f>'[01_Entry.xlsx]Book'!P232</f>
        <v/>
      </c>
      <c r="K232" s="3">
        <f>'[01_Entry.xlsx]Book'!F232</f>
        <v/>
      </c>
      <c r="L232" s="3">
        <f>'[01_Entry.xlsx]Book'!G232</f>
        <v/>
      </c>
      <c r="M232" s="3">
        <f>'[01_Entry.xlsx]Book'!I232</f>
        <v/>
      </c>
      <c r="N232" s="2">
        <f>IF($A232="","",MID($A232,6,2))</f>
        <v>0</v>
      </c>
      <c r="O232" s="2">
        <f>IF(OR($C232="",$C232&lt;&gt;'Inv'!$D$12),"",N(O$231)+1)</f>
        <v>0</v>
      </c>
    </row>
    <row r="233" spans="1:15">
      <c r="A233" s="2">
        <f>'[01_Entry.xlsx]Book'!A233</f>
        <v/>
      </c>
      <c r="B233" s="2">
        <f>'[01_Entry.xlsx]Book'!B233</f>
        <v/>
      </c>
      <c r="C233" s="2">
        <f>'[01_Entry.xlsx]Book'!D233</f>
        <v/>
      </c>
      <c r="D233" s="2">
        <f>'[01_Entry.xlsx]Book'!E233</f>
        <v/>
      </c>
      <c r="E233" s="2">
        <f>'[01_Entry.xlsx]Book'!O233</f>
        <v/>
      </c>
      <c r="F233" s="2">
        <f>'[01_Entry.xlsx]Book'!N233</f>
        <v/>
      </c>
      <c r="G233" s="3">
        <f>'[01_Entry.xlsx]Book'!L233</f>
        <v/>
      </c>
      <c r="H233" s="3">
        <f>'[01_Entry.xlsx]Book'!M233</f>
        <v/>
      </c>
      <c r="I233" s="3">
        <f>'[01_Entry.xlsx]Book'!K233</f>
        <v/>
      </c>
      <c r="J233" s="3">
        <f>'[01_Entry.xlsx]Book'!P233</f>
        <v/>
      </c>
      <c r="K233" s="3">
        <f>'[01_Entry.xlsx]Book'!F233</f>
        <v/>
      </c>
      <c r="L233" s="3">
        <f>'[01_Entry.xlsx]Book'!G233</f>
        <v/>
      </c>
      <c r="M233" s="3">
        <f>'[01_Entry.xlsx]Book'!I233</f>
        <v/>
      </c>
      <c r="N233" s="2">
        <f>IF($A233="","",MID($A233,6,2))</f>
        <v>0</v>
      </c>
      <c r="O233" s="2">
        <f>IF(OR($C233="",$C233&lt;&gt;'Inv'!$D$12),"",N(O$232)+1)</f>
        <v>0</v>
      </c>
    </row>
    <row r="234" spans="1:15">
      <c r="A234" s="2">
        <f>'[01_Entry.xlsx]Book'!A234</f>
        <v/>
      </c>
      <c r="B234" s="2">
        <f>'[01_Entry.xlsx]Book'!B234</f>
        <v/>
      </c>
      <c r="C234" s="2">
        <f>'[01_Entry.xlsx]Book'!D234</f>
        <v/>
      </c>
      <c r="D234" s="2">
        <f>'[01_Entry.xlsx]Book'!E234</f>
        <v/>
      </c>
      <c r="E234" s="2">
        <f>'[01_Entry.xlsx]Book'!O234</f>
        <v/>
      </c>
      <c r="F234" s="2">
        <f>'[01_Entry.xlsx]Book'!N234</f>
        <v/>
      </c>
      <c r="G234" s="3">
        <f>'[01_Entry.xlsx]Book'!L234</f>
        <v/>
      </c>
      <c r="H234" s="3">
        <f>'[01_Entry.xlsx]Book'!M234</f>
        <v/>
      </c>
      <c r="I234" s="3">
        <f>'[01_Entry.xlsx]Book'!K234</f>
        <v/>
      </c>
      <c r="J234" s="3">
        <f>'[01_Entry.xlsx]Book'!P234</f>
        <v/>
      </c>
      <c r="K234" s="3">
        <f>'[01_Entry.xlsx]Book'!F234</f>
        <v/>
      </c>
      <c r="L234" s="3">
        <f>'[01_Entry.xlsx]Book'!G234</f>
        <v/>
      </c>
      <c r="M234" s="3">
        <f>'[01_Entry.xlsx]Book'!I234</f>
        <v/>
      </c>
      <c r="N234" s="2">
        <f>IF($A234="","",MID($A234,6,2))</f>
        <v>0</v>
      </c>
      <c r="O234" s="2">
        <f>IF(OR($C234="",$C234&lt;&gt;'Inv'!$D$12),"",N(O$233)+1)</f>
        <v>0</v>
      </c>
    </row>
    <row r="235" spans="1:15">
      <c r="A235" s="2">
        <f>'[01_Entry.xlsx]Book'!A235</f>
        <v/>
      </c>
      <c r="B235" s="2">
        <f>'[01_Entry.xlsx]Book'!B235</f>
        <v/>
      </c>
      <c r="C235" s="2">
        <f>'[01_Entry.xlsx]Book'!D235</f>
        <v/>
      </c>
      <c r="D235" s="2">
        <f>'[01_Entry.xlsx]Book'!E235</f>
        <v/>
      </c>
      <c r="E235" s="2">
        <f>'[01_Entry.xlsx]Book'!O235</f>
        <v/>
      </c>
      <c r="F235" s="2">
        <f>'[01_Entry.xlsx]Book'!N235</f>
        <v/>
      </c>
      <c r="G235" s="3">
        <f>'[01_Entry.xlsx]Book'!L235</f>
        <v/>
      </c>
      <c r="H235" s="3">
        <f>'[01_Entry.xlsx]Book'!M235</f>
        <v/>
      </c>
      <c r="I235" s="3">
        <f>'[01_Entry.xlsx]Book'!K235</f>
        <v/>
      </c>
      <c r="J235" s="3">
        <f>'[01_Entry.xlsx]Book'!P235</f>
        <v/>
      </c>
      <c r="K235" s="3">
        <f>'[01_Entry.xlsx]Book'!F235</f>
        <v/>
      </c>
      <c r="L235" s="3">
        <f>'[01_Entry.xlsx]Book'!G235</f>
        <v/>
      </c>
      <c r="M235" s="3">
        <f>'[01_Entry.xlsx]Book'!I235</f>
        <v/>
      </c>
      <c r="N235" s="2">
        <f>IF($A235="","",MID($A235,6,2))</f>
        <v>0</v>
      </c>
      <c r="O235" s="2">
        <f>IF(OR($C235="",$C235&lt;&gt;'Inv'!$D$12),"",N(O$234)+1)</f>
        <v>0</v>
      </c>
    </row>
    <row r="236" spans="1:15">
      <c r="A236" s="2">
        <f>'[01_Entry.xlsx]Book'!A236</f>
        <v/>
      </c>
      <c r="B236" s="2">
        <f>'[01_Entry.xlsx]Book'!B236</f>
        <v/>
      </c>
      <c r="C236" s="2">
        <f>'[01_Entry.xlsx]Book'!D236</f>
        <v/>
      </c>
      <c r="D236" s="2">
        <f>'[01_Entry.xlsx]Book'!E236</f>
        <v/>
      </c>
      <c r="E236" s="2">
        <f>'[01_Entry.xlsx]Book'!O236</f>
        <v/>
      </c>
      <c r="F236" s="2">
        <f>'[01_Entry.xlsx]Book'!N236</f>
        <v/>
      </c>
      <c r="G236" s="3">
        <f>'[01_Entry.xlsx]Book'!L236</f>
        <v/>
      </c>
      <c r="H236" s="3">
        <f>'[01_Entry.xlsx]Book'!M236</f>
        <v/>
      </c>
      <c r="I236" s="3">
        <f>'[01_Entry.xlsx]Book'!K236</f>
        <v/>
      </c>
      <c r="J236" s="3">
        <f>'[01_Entry.xlsx]Book'!P236</f>
        <v/>
      </c>
      <c r="K236" s="3">
        <f>'[01_Entry.xlsx]Book'!F236</f>
        <v/>
      </c>
      <c r="L236" s="3">
        <f>'[01_Entry.xlsx]Book'!G236</f>
        <v/>
      </c>
      <c r="M236" s="3">
        <f>'[01_Entry.xlsx]Book'!I236</f>
        <v/>
      </c>
      <c r="N236" s="2">
        <f>IF($A236="","",MID($A236,6,2))</f>
        <v>0</v>
      </c>
      <c r="O236" s="2">
        <f>IF(OR($C236="",$C236&lt;&gt;'Inv'!$D$12),"",N(O$235)+1)</f>
        <v>0</v>
      </c>
    </row>
    <row r="237" spans="1:15">
      <c r="A237" s="2">
        <f>'[01_Entry.xlsx]Book'!A237</f>
        <v/>
      </c>
      <c r="B237" s="2">
        <f>'[01_Entry.xlsx]Book'!B237</f>
        <v/>
      </c>
      <c r="C237" s="2">
        <f>'[01_Entry.xlsx]Book'!D237</f>
        <v/>
      </c>
      <c r="D237" s="2">
        <f>'[01_Entry.xlsx]Book'!E237</f>
        <v/>
      </c>
      <c r="E237" s="2">
        <f>'[01_Entry.xlsx]Book'!O237</f>
        <v/>
      </c>
      <c r="F237" s="2">
        <f>'[01_Entry.xlsx]Book'!N237</f>
        <v/>
      </c>
      <c r="G237" s="3">
        <f>'[01_Entry.xlsx]Book'!L237</f>
        <v/>
      </c>
      <c r="H237" s="3">
        <f>'[01_Entry.xlsx]Book'!M237</f>
        <v/>
      </c>
      <c r="I237" s="3">
        <f>'[01_Entry.xlsx]Book'!K237</f>
        <v/>
      </c>
      <c r="J237" s="3">
        <f>'[01_Entry.xlsx]Book'!P237</f>
        <v/>
      </c>
      <c r="K237" s="3">
        <f>'[01_Entry.xlsx]Book'!F237</f>
        <v/>
      </c>
      <c r="L237" s="3">
        <f>'[01_Entry.xlsx]Book'!G237</f>
        <v/>
      </c>
      <c r="M237" s="3">
        <f>'[01_Entry.xlsx]Book'!I237</f>
        <v/>
      </c>
      <c r="N237" s="2">
        <f>IF($A237="","",MID($A237,6,2))</f>
        <v>0</v>
      </c>
      <c r="O237" s="2">
        <f>IF(OR($C237="",$C237&lt;&gt;'Inv'!$D$12),"",N(O$236)+1)</f>
        <v>0</v>
      </c>
    </row>
    <row r="238" spans="1:15">
      <c r="A238" s="2">
        <f>'[01_Entry.xlsx]Book'!A238</f>
        <v/>
      </c>
      <c r="B238" s="2">
        <f>'[01_Entry.xlsx]Book'!B238</f>
        <v/>
      </c>
      <c r="C238" s="2">
        <f>'[01_Entry.xlsx]Book'!D238</f>
        <v/>
      </c>
      <c r="D238" s="2">
        <f>'[01_Entry.xlsx]Book'!E238</f>
        <v/>
      </c>
      <c r="E238" s="2">
        <f>'[01_Entry.xlsx]Book'!O238</f>
        <v/>
      </c>
      <c r="F238" s="2">
        <f>'[01_Entry.xlsx]Book'!N238</f>
        <v/>
      </c>
      <c r="G238" s="3">
        <f>'[01_Entry.xlsx]Book'!L238</f>
        <v/>
      </c>
      <c r="H238" s="3">
        <f>'[01_Entry.xlsx]Book'!M238</f>
        <v/>
      </c>
      <c r="I238" s="3">
        <f>'[01_Entry.xlsx]Book'!K238</f>
        <v/>
      </c>
      <c r="J238" s="3">
        <f>'[01_Entry.xlsx]Book'!P238</f>
        <v/>
      </c>
      <c r="K238" s="3">
        <f>'[01_Entry.xlsx]Book'!F238</f>
        <v/>
      </c>
      <c r="L238" s="3">
        <f>'[01_Entry.xlsx]Book'!G238</f>
        <v/>
      </c>
      <c r="M238" s="3">
        <f>'[01_Entry.xlsx]Book'!I238</f>
        <v/>
      </c>
      <c r="N238" s="2">
        <f>IF($A238="","",MID($A238,6,2))</f>
        <v>0</v>
      </c>
      <c r="O238" s="2">
        <f>IF(OR($C238="",$C238&lt;&gt;'Inv'!$D$12),"",N(O$237)+1)</f>
        <v>0</v>
      </c>
    </row>
    <row r="239" spans="1:15">
      <c r="A239" s="2">
        <f>'[01_Entry.xlsx]Book'!A239</f>
        <v/>
      </c>
      <c r="B239" s="2">
        <f>'[01_Entry.xlsx]Book'!B239</f>
        <v/>
      </c>
      <c r="C239" s="2">
        <f>'[01_Entry.xlsx]Book'!D239</f>
        <v/>
      </c>
      <c r="D239" s="2">
        <f>'[01_Entry.xlsx]Book'!E239</f>
        <v/>
      </c>
      <c r="E239" s="2">
        <f>'[01_Entry.xlsx]Book'!O239</f>
        <v/>
      </c>
      <c r="F239" s="2">
        <f>'[01_Entry.xlsx]Book'!N239</f>
        <v/>
      </c>
      <c r="G239" s="3">
        <f>'[01_Entry.xlsx]Book'!L239</f>
        <v/>
      </c>
      <c r="H239" s="3">
        <f>'[01_Entry.xlsx]Book'!M239</f>
        <v/>
      </c>
      <c r="I239" s="3">
        <f>'[01_Entry.xlsx]Book'!K239</f>
        <v/>
      </c>
      <c r="J239" s="3">
        <f>'[01_Entry.xlsx]Book'!P239</f>
        <v/>
      </c>
      <c r="K239" s="3">
        <f>'[01_Entry.xlsx]Book'!F239</f>
        <v/>
      </c>
      <c r="L239" s="3">
        <f>'[01_Entry.xlsx]Book'!G239</f>
        <v/>
      </c>
      <c r="M239" s="3">
        <f>'[01_Entry.xlsx]Book'!I239</f>
        <v/>
      </c>
      <c r="N239" s="2">
        <f>IF($A239="","",MID($A239,6,2))</f>
        <v>0</v>
      </c>
      <c r="O239" s="2">
        <f>IF(OR($C239="",$C239&lt;&gt;'Inv'!$D$12),"",N(O$238)+1)</f>
        <v>0</v>
      </c>
    </row>
    <row r="240" spans="1:15">
      <c r="A240" s="2">
        <f>'[01_Entry.xlsx]Book'!A240</f>
        <v/>
      </c>
      <c r="B240" s="2">
        <f>'[01_Entry.xlsx]Book'!B240</f>
        <v/>
      </c>
      <c r="C240" s="2">
        <f>'[01_Entry.xlsx]Book'!D240</f>
        <v/>
      </c>
      <c r="D240" s="2">
        <f>'[01_Entry.xlsx]Book'!E240</f>
        <v/>
      </c>
      <c r="E240" s="2">
        <f>'[01_Entry.xlsx]Book'!O240</f>
        <v/>
      </c>
      <c r="F240" s="2">
        <f>'[01_Entry.xlsx]Book'!N240</f>
        <v/>
      </c>
      <c r="G240" s="3">
        <f>'[01_Entry.xlsx]Book'!L240</f>
        <v/>
      </c>
      <c r="H240" s="3">
        <f>'[01_Entry.xlsx]Book'!M240</f>
        <v/>
      </c>
      <c r="I240" s="3">
        <f>'[01_Entry.xlsx]Book'!K240</f>
        <v/>
      </c>
      <c r="J240" s="3">
        <f>'[01_Entry.xlsx]Book'!P240</f>
        <v/>
      </c>
      <c r="K240" s="3">
        <f>'[01_Entry.xlsx]Book'!F240</f>
        <v/>
      </c>
      <c r="L240" s="3">
        <f>'[01_Entry.xlsx]Book'!G240</f>
        <v/>
      </c>
      <c r="M240" s="3">
        <f>'[01_Entry.xlsx]Book'!I240</f>
        <v/>
      </c>
      <c r="N240" s="2">
        <f>IF($A240="","",MID($A240,6,2))</f>
        <v>0</v>
      </c>
      <c r="O240" s="2">
        <f>IF(OR($C240="",$C240&lt;&gt;'Inv'!$D$12),"",N(O$239)+1)</f>
        <v>0</v>
      </c>
    </row>
    <row r="241" spans="1:15">
      <c r="A241" s="2">
        <f>'[01_Entry.xlsx]Book'!A241</f>
        <v/>
      </c>
      <c r="B241" s="2">
        <f>'[01_Entry.xlsx]Book'!B241</f>
        <v/>
      </c>
      <c r="C241" s="2">
        <f>'[01_Entry.xlsx]Book'!D241</f>
        <v/>
      </c>
      <c r="D241" s="2">
        <f>'[01_Entry.xlsx]Book'!E241</f>
        <v/>
      </c>
      <c r="E241" s="2">
        <f>'[01_Entry.xlsx]Book'!O241</f>
        <v/>
      </c>
      <c r="F241" s="2">
        <f>'[01_Entry.xlsx]Book'!N241</f>
        <v/>
      </c>
      <c r="G241" s="3">
        <f>'[01_Entry.xlsx]Book'!L241</f>
        <v/>
      </c>
      <c r="H241" s="3">
        <f>'[01_Entry.xlsx]Book'!M241</f>
        <v/>
      </c>
      <c r="I241" s="3">
        <f>'[01_Entry.xlsx]Book'!K241</f>
        <v/>
      </c>
      <c r="J241" s="3">
        <f>'[01_Entry.xlsx]Book'!P241</f>
        <v/>
      </c>
      <c r="K241" s="3">
        <f>'[01_Entry.xlsx]Book'!F241</f>
        <v/>
      </c>
      <c r="L241" s="3">
        <f>'[01_Entry.xlsx]Book'!G241</f>
        <v/>
      </c>
      <c r="M241" s="3">
        <f>'[01_Entry.xlsx]Book'!I241</f>
        <v/>
      </c>
      <c r="N241" s="2">
        <f>IF($A241="","",MID($A241,6,2))</f>
        <v>0</v>
      </c>
      <c r="O241" s="2">
        <f>IF(OR($C241="",$C241&lt;&gt;'Inv'!$D$12),"",N(O$240)+1)</f>
        <v>0</v>
      </c>
    </row>
    <row r="242" spans="1:15">
      <c r="A242" s="2">
        <f>'[01_Entry.xlsx]Book'!A242</f>
        <v/>
      </c>
      <c r="B242" s="2">
        <f>'[01_Entry.xlsx]Book'!B242</f>
        <v/>
      </c>
      <c r="C242" s="2">
        <f>'[01_Entry.xlsx]Book'!D242</f>
        <v/>
      </c>
      <c r="D242" s="2">
        <f>'[01_Entry.xlsx]Book'!E242</f>
        <v/>
      </c>
      <c r="E242" s="2">
        <f>'[01_Entry.xlsx]Book'!O242</f>
        <v/>
      </c>
      <c r="F242" s="2">
        <f>'[01_Entry.xlsx]Book'!N242</f>
        <v/>
      </c>
      <c r="G242" s="3">
        <f>'[01_Entry.xlsx]Book'!L242</f>
        <v/>
      </c>
      <c r="H242" s="3">
        <f>'[01_Entry.xlsx]Book'!M242</f>
        <v/>
      </c>
      <c r="I242" s="3">
        <f>'[01_Entry.xlsx]Book'!K242</f>
        <v/>
      </c>
      <c r="J242" s="3">
        <f>'[01_Entry.xlsx]Book'!P242</f>
        <v/>
      </c>
      <c r="K242" s="3">
        <f>'[01_Entry.xlsx]Book'!F242</f>
        <v/>
      </c>
      <c r="L242" s="3">
        <f>'[01_Entry.xlsx]Book'!G242</f>
        <v/>
      </c>
      <c r="M242" s="3">
        <f>'[01_Entry.xlsx]Book'!I242</f>
        <v/>
      </c>
      <c r="N242" s="2">
        <f>IF($A242="","",MID($A242,6,2))</f>
        <v>0</v>
      </c>
      <c r="O242" s="2">
        <f>IF(OR($C242="",$C242&lt;&gt;'Inv'!$D$12),"",N(O$241)+1)</f>
        <v>0</v>
      </c>
    </row>
    <row r="243" spans="1:15">
      <c r="A243" s="2">
        <f>'[01_Entry.xlsx]Book'!A243</f>
        <v/>
      </c>
      <c r="B243" s="2">
        <f>'[01_Entry.xlsx]Book'!B243</f>
        <v/>
      </c>
      <c r="C243" s="2">
        <f>'[01_Entry.xlsx]Book'!D243</f>
        <v/>
      </c>
      <c r="D243" s="2">
        <f>'[01_Entry.xlsx]Book'!E243</f>
        <v/>
      </c>
      <c r="E243" s="2">
        <f>'[01_Entry.xlsx]Book'!O243</f>
        <v/>
      </c>
      <c r="F243" s="2">
        <f>'[01_Entry.xlsx]Book'!N243</f>
        <v/>
      </c>
      <c r="G243" s="3">
        <f>'[01_Entry.xlsx]Book'!L243</f>
        <v/>
      </c>
      <c r="H243" s="3">
        <f>'[01_Entry.xlsx]Book'!M243</f>
        <v/>
      </c>
      <c r="I243" s="3">
        <f>'[01_Entry.xlsx]Book'!K243</f>
        <v/>
      </c>
      <c r="J243" s="3">
        <f>'[01_Entry.xlsx]Book'!P243</f>
        <v/>
      </c>
      <c r="K243" s="3">
        <f>'[01_Entry.xlsx]Book'!F243</f>
        <v/>
      </c>
      <c r="L243" s="3">
        <f>'[01_Entry.xlsx]Book'!G243</f>
        <v/>
      </c>
      <c r="M243" s="3">
        <f>'[01_Entry.xlsx]Book'!I243</f>
        <v/>
      </c>
      <c r="N243" s="2">
        <f>IF($A243="","",MID($A243,6,2))</f>
        <v>0</v>
      </c>
      <c r="O243" s="2">
        <f>IF(OR($C243="",$C243&lt;&gt;'Inv'!$D$12),"",N(O$242)+1)</f>
        <v>0</v>
      </c>
    </row>
    <row r="244" spans="1:15">
      <c r="A244" s="2">
        <f>'[01_Entry.xlsx]Book'!A244</f>
        <v/>
      </c>
      <c r="B244" s="2">
        <f>'[01_Entry.xlsx]Book'!B244</f>
        <v/>
      </c>
      <c r="C244" s="2">
        <f>'[01_Entry.xlsx]Book'!D244</f>
        <v/>
      </c>
      <c r="D244" s="2">
        <f>'[01_Entry.xlsx]Book'!E244</f>
        <v/>
      </c>
      <c r="E244" s="2">
        <f>'[01_Entry.xlsx]Book'!O244</f>
        <v/>
      </c>
      <c r="F244" s="2">
        <f>'[01_Entry.xlsx]Book'!N244</f>
        <v/>
      </c>
      <c r="G244" s="3">
        <f>'[01_Entry.xlsx]Book'!L244</f>
        <v/>
      </c>
      <c r="H244" s="3">
        <f>'[01_Entry.xlsx]Book'!M244</f>
        <v/>
      </c>
      <c r="I244" s="3">
        <f>'[01_Entry.xlsx]Book'!K244</f>
        <v/>
      </c>
      <c r="J244" s="3">
        <f>'[01_Entry.xlsx]Book'!P244</f>
        <v/>
      </c>
      <c r="K244" s="3">
        <f>'[01_Entry.xlsx]Book'!F244</f>
        <v/>
      </c>
      <c r="L244" s="3">
        <f>'[01_Entry.xlsx]Book'!G244</f>
        <v/>
      </c>
      <c r="M244" s="3">
        <f>'[01_Entry.xlsx]Book'!I244</f>
        <v/>
      </c>
      <c r="N244" s="2">
        <f>IF($A244="","",MID($A244,6,2))</f>
        <v>0</v>
      </c>
      <c r="O244" s="2">
        <f>IF(OR($C244="",$C244&lt;&gt;'Inv'!$D$12),"",N(O$243)+1)</f>
        <v>0</v>
      </c>
    </row>
    <row r="245" spans="1:15">
      <c r="A245" s="2">
        <f>'[01_Entry.xlsx]Book'!A245</f>
        <v/>
      </c>
      <c r="B245" s="2">
        <f>'[01_Entry.xlsx]Book'!B245</f>
        <v/>
      </c>
      <c r="C245" s="2">
        <f>'[01_Entry.xlsx]Book'!D245</f>
        <v/>
      </c>
      <c r="D245" s="2">
        <f>'[01_Entry.xlsx]Book'!E245</f>
        <v/>
      </c>
      <c r="E245" s="2">
        <f>'[01_Entry.xlsx]Book'!O245</f>
        <v/>
      </c>
      <c r="F245" s="2">
        <f>'[01_Entry.xlsx]Book'!N245</f>
        <v/>
      </c>
      <c r="G245" s="3">
        <f>'[01_Entry.xlsx]Book'!L245</f>
        <v/>
      </c>
      <c r="H245" s="3">
        <f>'[01_Entry.xlsx]Book'!M245</f>
        <v/>
      </c>
      <c r="I245" s="3">
        <f>'[01_Entry.xlsx]Book'!K245</f>
        <v/>
      </c>
      <c r="J245" s="3">
        <f>'[01_Entry.xlsx]Book'!P245</f>
        <v/>
      </c>
      <c r="K245" s="3">
        <f>'[01_Entry.xlsx]Book'!F245</f>
        <v/>
      </c>
      <c r="L245" s="3">
        <f>'[01_Entry.xlsx]Book'!G245</f>
        <v/>
      </c>
      <c r="M245" s="3">
        <f>'[01_Entry.xlsx]Book'!I245</f>
        <v/>
      </c>
      <c r="N245" s="2">
        <f>IF($A245="","",MID($A245,6,2))</f>
        <v>0</v>
      </c>
      <c r="O245" s="2">
        <f>IF(OR($C245="",$C245&lt;&gt;'Inv'!$D$12),"",N(O$244)+1)</f>
        <v>0</v>
      </c>
    </row>
    <row r="246" spans="1:15">
      <c r="A246" s="2">
        <f>'[01_Entry.xlsx]Book'!A246</f>
        <v/>
      </c>
      <c r="B246" s="2">
        <f>'[01_Entry.xlsx]Book'!B246</f>
        <v/>
      </c>
      <c r="C246" s="2">
        <f>'[01_Entry.xlsx]Book'!D246</f>
        <v/>
      </c>
      <c r="D246" s="2">
        <f>'[01_Entry.xlsx]Book'!E246</f>
        <v/>
      </c>
      <c r="E246" s="2">
        <f>'[01_Entry.xlsx]Book'!O246</f>
        <v/>
      </c>
      <c r="F246" s="2">
        <f>'[01_Entry.xlsx]Book'!N246</f>
        <v/>
      </c>
      <c r="G246" s="3">
        <f>'[01_Entry.xlsx]Book'!L246</f>
        <v/>
      </c>
      <c r="H246" s="3">
        <f>'[01_Entry.xlsx]Book'!M246</f>
        <v/>
      </c>
      <c r="I246" s="3">
        <f>'[01_Entry.xlsx]Book'!K246</f>
        <v/>
      </c>
      <c r="J246" s="3">
        <f>'[01_Entry.xlsx]Book'!P246</f>
        <v/>
      </c>
      <c r="K246" s="3">
        <f>'[01_Entry.xlsx]Book'!F246</f>
        <v/>
      </c>
      <c r="L246" s="3">
        <f>'[01_Entry.xlsx]Book'!G246</f>
        <v/>
      </c>
      <c r="M246" s="3">
        <f>'[01_Entry.xlsx]Book'!I246</f>
        <v/>
      </c>
      <c r="N246" s="2">
        <f>IF($A246="","",MID($A246,6,2))</f>
        <v>0</v>
      </c>
      <c r="O246" s="2">
        <f>IF(OR($C246="",$C246&lt;&gt;'Inv'!$D$12),"",N(O$245)+1)</f>
        <v>0</v>
      </c>
    </row>
    <row r="247" spans="1:15">
      <c r="A247" s="2">
        <f>'[01_Entry.xlsx]Book'!A247</f>
        <v/>
      </c>
      <c r="B247" s="2">
        <f>'[01_Entry.xlsx]Book'!B247</f>
        <v/>
      </c>
      <c r="C247" s="2">
        <f>'[01_Entry.xlsx]Book'!D247</f>
        <v/>
      </c>
      <c r="D247" s="2">
        <f>'[01_Entry.xlsx]Book'!E247</f>
        <v/>
      </c>
      <c r="E247" s="2">
        <f>'[01_Entry.xlsx]Book'!O247</f>
        <v/>
      </c>
      <c r="F247" s="2">
        <f>'[01_Entry.xlsx]Book'!N247</f>
        <v/>
      </c>
      <c r="G247" s="3">
        <f>'[01_Entry.xlsx]Book'!L247</f>
        <v/>
      </c>
      <c r="H247" s="3">
        <f>'[01_Entry.xlsx]Book'!M247</f>
        <v/>
      </c>
      <c r="I247" s="3">
        <f>'[01_Entry.xlsx]Book'!K247</f>
        <v/>
      </c>
      <c r="J247" s="3">
        <f>'[01_Entry.xlsx]Book'!P247</f>
        <v/>
      </c>
      <c r="K247" s="3">
        <f>'[01_Entry.xlsx]Book'!F247</f>
        <v/>
      </c>
      <c r="L247" s="3">
        <f>'[01_Entry.xlsx]Book'!G247</f>
        <v/>
      </c>
      <c r="M247" s="3">
        <f>'[01_Entry.xlsx]Book'!I247</f>
        <v/>
      </c>
      <c r="N247" s="2">
        <f>IF($A247="","",MID($A247,6,2))</f>
        <v>0</v>
      </c>
      <c r="O247" s="2">
        <f>IF(OR($C247="",$C247&lt;&gt;'Inv'!$D$12),"",N(O$246)+1)</f>
        <v>0</v>
      </c>
    </row>
    <row r="248" spans="1:15">
      <c r="A248" s="2">
        <f>'[01_Entry.xlsx]Book'!A248</f>
        <v/>
      </c>
      <c r="B248" s="2">
        <f>'[01_Entry.xlsx]Book'!B248</f>
        <v/>
      </c>
      <c r="C248" s="2">
        <f>'[01_Entry.xlsx]Book'!D248</f>
        <v/>
      </c>
      <c r="D248" s="2">
        <f>'[01_Entry.xlsx]Book'!E248</f>
        <v/>
      </c>
      <c r="E248" s="2">
        <f>'[01_Entry.xlsx]Book'!O248</f>
        <v/>
      </c>
      <c r="F248" s="2">
        <f>'[01_Entry.xlsx]Book'!N248</f>
        <v/>
      </c>
      <c r="G248" s="3">
        <f>'[01_Entry.xlsx]Book'!L248</f>
        <v/>
      </c>
      <c r="H248" s="3">
        <f>'[01_Entry.xlsx]Book'!M248</f>
        <v/>
      </c>
      <c r="I248" s="3">
        <f>'[01_Entry.xlsx]Book'!K248</f>
        <v/>
      </c>
      <c r="J248" s="3">
        <f>'[01_Entry.xlsx]Book'!P248</f>
        <v/>
      </c>
      <c r="K248" s="3">
        <f>'[01_Entry.xlsx]Book'!F248</f>
        <v/>
      </c>
      <c r="L248" s="3">
        <f>'[01_Entry.xlsx]Book'!G248</f>
        <v/>
      </c>
      <c r="M248" s="3">
        <f>'[01_Entry.xlsx]Book'!I248</f>
        <v/>
      </c>
      <c r="N248" s="2">
        <f>IF($A248="","",MID($A248,6,2))</f>
        <v>0</v>
      </c>
      <c r="O248" s="2">
        <f>IF(OR($C248="",$C248&lt;&gt;'Inv'!$D$12),"",N(O$247)+1)</f>
        <v>0</v>
      </c>
    </row>
    <row r="249" spans="1:15">
      <c r="A249" s="2">
        <f>'[01_Entry.xlsx]Book'!A249</f>
        <v/>
      </c>
      <c r="B249" s="2">
        <f>'[01_Entry.xlsx]Book'!B249</f>
        <v/>
      </c>
      <c r="C249" s="2">
        <f>'[01_Entry.xlsx]Book'!D249</f>
        <v/>
      </c>
      <c r="D249" s="2">
        <f>'[01_Entry.xlsx]Book'!E249</f>
        <v/>
      </c>
      <c r="E249" s="2">
        <f>'[01_Entry.xlsx]Book'!O249</f>
        <v/>
      </c>
      <c r="F249" s="2">
        <f>'[01_Entry.xlsx]Book'!N249</f>
        <v/>
      </c>
      <c r="G249" s="3">
        <f>'[01_Entry.xlsx]Book'!L249</f>
        <v/>
      </c>
      <c r="H249" s="3">
        <f>'[01_Entry.xlsx]Book'!M249</f>
        <v/>
      </c>
      <c r="I249" s="3">
        <f>'[01_Entry.xlsx]Book'!K249</f>
        <v/>
      </c>
      <c r="J249" s="3">
        <f>'[01_Entry.xlsx]Book'!P249</f>
        <v/>
      </c>
      <c r="K249" s="3">
        <f>'[01_Entry.xlsx]Book'!F249</f>
        <v/>
      </c>
      <c r="L249" s="3">
        <f>'[01_Entry.xlsx]Book'!G249</f>
        <v/>
      </c>
      <c r="M249" s="3">
        <f>'[01_Entry.xlsx]Book'!I249</f>
        <v/>
      </c>
      <c r="N249" s="2">
        <f>IF($A249="","",MID($A249,6,2))</f>
        <v>0</v>
      </c>
      <c r="O249" s="2">
        <f>IF(OR($C249="",$C249&lt;&gt;'Inv'!$D$12),"",N(O$248)+1)</f>
        <v>0</v>
      </c>
    </row>
    <row r="250" spans="1:15">
      <c r="A250" s="2">
        <f>'[01_Entry.xlsx]Book'!A250</f>
        <v/>
      </c>
      <c r="B250" s="2">
        <f>'[01_Entry.xlsx]Book'!B250</f>
        <v/>
      </c>
      <c r="C250" s="2">
        <f>'[01_Entry.xlsx]Book'!D250</f>
        <v/>
      </c>
      <c r="D250" s="2">
        <f>'[01_Entry.xlsx]Book'!E250</f>
        <v/>
      </c>
      <c r="E250" s="2">
        <f>'[01_Entry.xlsx]Book'!O250</f>
        <v/>
      </c>
      <c r="F250" s="2">
        <f>'[01_Entry.xlsx]Book'!N250</f>
        <v/>
      </c>
      <c r="G250" s="3">
        <f>'[01_Entry.xlsx]Book'!L250</f>
        <v/>
      </c>
      <c r="H250" s="3">
        <f>'[01_Entry.xlsx]Book'!M250</f>
        <v/>
      </c>
      <c r="I250" s="3">
        <f>'[01_Entry.xlsx]Book'!K250</f>
        <v/>
      </c>
      <c r="J250" s="3">
        <f>'[01_Entry.xlsx]Book'!P250</f>
        <v/>
      </c>
      <c r="K250" s="3">
        <f>'[01_Entry.xlsx]Book'!F250</f>
        <v/>
      </c>
      <c r="L250" s="3">
        <f>'[01_Entry.xlsx]Book'!G250</f>
        <v/>
      </c>
      <c r="M250" s="3">
        <f>'[01_Entry.xlsx]Book'!I250</f>
        <v/>
      </c>
      <c r="N250" s="2">
        <f>IF($A250="","",MID($A250,6,2))</f>
        <v>0</v>
      </c>
      <c r="O250" s="2">
        <f>IF(OR($C250="",$C250&lt;&gt;'Inv'!$D$12),"",N(O$249)+1)</f>
        <v>0</v>
      </c>
    </row>
    <row r="251" spans="1:15">
      <c r="A251" s="2">
        <f>'[01_Entry.xlsx]Book'!A251</f>
        <v/>
      </c>
      <c r="B251" s="2">
        <f>'[01_Entry.xlsx]Book'!B251</f>
        <v/>
      </c>
      <c r="C251" s="2">
        <f>'[01_Entry.xlsx]Book'!D251</f>
        <v/>
      </c>
      <c r="D251" s="2">
        <f>'[01_Entry.xlsx]Book'!E251</f>
        <v/>
      </c>
      <c r="E251" s="2">
        <f>'[01_Entry.xlsx]Book'!O251</f>
        <v/>
      </c>
      <c r="F251" s="2">
        <f>'[01_Entry.xlsx]Book'!N251</f>
        <v/>
      </c>
      <c r="G251" s="3">
        <f>'[01_Entry.xlsx]Book'!L251</f>
        <v/>
      </c>
      <c r="H251" s="3">
        <f>'[01_Entry.xlsx]Book'!M251</f>
        <v/>
      </c>
      <c r="I251" s="3">
        <f>'[01_Entry.xlsx]Book'!K251</f>
        <v/>
      </c>
      <c r="J251" s="3">
        <f>'[01_Entry.xlsx]Book'!P251</f>
        <v/>
      </c>
      <c r="K251" s="3">
        <f>'[01_Entry.xlsx]Book'!F251</f>
        <v/>
      </c>
      <c r="L251" s="3">
        <f>'[01_Entry.xlsx]Book'!G251</f>
        <v/>
      </c>
      <c r="M251" s="3">
        <f>'[01_Entry.xlsx]Book'!I251</f>
        <v/>
      </c>
      <c r="N251" s="2">
        <f>IF($A251="","",MID($A251,6,2))</f>
        <v>0</v>
      </c>
      <c r="O251" s="2">
        <f>IF(OR($C251="",$C251&lt;&gt;'Inv'!$D$12),"",N(O$250)+1)</f>
        <v>0</v>
      </c>
    </row>
    <row r="252" spans="1:15">
      <c r="A252" s="2">
        <f>'[01_Entry.xlsx]Book'!A252</f>
        <v/>
      </c>
      <c r="B252" s="2">
        <f>'[01_Entry.xlsx]Book'!B252</f>
        <v/>
      </c>
      <c r="C252" s="2">
        <f>'[01_Entry.xlsx]Book'!D252</f>
        <v/>
      </c>
      <c r="D252" s="2">
        <f>'[01_Entry.xlsx]Book'!E252</f>
        <v/>
      </c>
      <c r="E252" s="2">
        <f>'[01_Entry.xlsx]Book'!O252</f>
        <v/>
      </c>
      <c r="F252" s="2">
        <f>'[01_Entry.xlsx]Book'!N252</f>
        <v/>
      </c>
      <c r="G252" s="3">
        <f>'[01_Entry.xlsx]Book'!L252</f>
        <v/>
      </c>
      <c r="H252" s="3">
        <f>'[01_Entry.xlsx]Book'!M252</f>
        <v/>
      </c>
      <c r="I252" s="3">
        <f>'[01_Entry.xlsx]Book'!K252</f>
        <v/>
      </c>
      <c r="J252" s="3">
        <f>'[01_Entry.xlsx]Book'!P252</f>
        <v/>
      </c>
      <c r="K252" s="3">
        <f>'[01_Entry.xlsx]Book'!F252</f>
        <v/>
      </c>
      <c r="L252" s="3">
        <f>'[01_Entry.xlsx]Book'!G252</f>
        <v/>
      </c>
      <c r="M252" s="3">
        <f>'[01_Entry.xlsx]Book'!I252</f>
        <v/>
      </c>
      <c r="N252" s="2">
        <f>IF($A252="","",MID($A252,6,2))</f>
        <v>0</v>
      </c>
      <c r="O252" s="2">
        <f>IF(OR($C252="",$C252&lt;&gt;'Inv'!$D$12),"",N(O$251)+1)</f>
        <v>0</v>
      </c>
    </row>
    <row r="253" spans="1:15">
      <c r="A253" s="2">
        <f>'[01_Entry.xlsx]Book'!A253</f>
        <v/>
      </c>
      <c r="B253" s="2">
        <f>'[01_Entry.xlsx]Book'!B253</f>
        <v/>
      </c>
      <c r="C253" s="2">
        <f>'[01_Entry.xlsx]Book'!D253</f>
        <v/>
      </c>
      <c r="D253" s="2">
        <f>'[01_Entry.xlsx]Book'!E253</f>
        <v/>
      </c>
      <c r="E253" s="2">
        <f>'[01_Entry.xlsx]Book'!O253</f>
        <v/>
      </c>
      <c r="F253" s="2">
        <f>'[01_Entry.xlsx]Book'!N253</f>
        <v/>
      </c>
      <c r="G253" s="3">
        <f>'[01_Entry.xlsx]Book'!L253</f>
        <v/>
      </c>
      <c r="H253" s="3">
        <f>'[01_Entry.xlsx]Book'!M253</f>
        <v/>
      </c>
      <c r="I253" s="3">
        <f>'[01_Entry.xlsx]Book'!K253</f>
        <v/>
      </c>
      <c r="J253" s="3">
        <f>'[01_Entry.xlsx]Book'!P253</f>
        <v/>
      </c>
      <c r="K253" s="3">
        <f>'[01_Entry.xlsx]Book'!F253</f>
        <v/>
      </c>
      <c r="L253" s="3">
        <f>'[01_Entry.xlsx]Book'!G253</f>
        <v/>
      </c>
      <c r="M253" s="3">
        <f>'[01_Entry.xlsx]Book'!I253</f>
        <v/>
      </c>
      <c r="N253" s="2">
        <f>IF($A253="","",MID($A253,6,2))</f>
        <v>0</v>
      </c>
      <c r="O253" s="2">
        <f>IF(OR($C253="",$C253&lt;&gt;'Inv'!$D$12),"",N(O$252)+1)</f>
        <v>0</v>
      </c>
    </row>
    <row r="254" spans="1:15">
      <c r="A254" s="2">
        <f>'[01_Entry.xlsx]Book'!A254</f>
        <v/>
      </c>
      <c r="B254" s="2">
        <f>'[01_Entry.xlsx]Book'!B254</f>
        <v/>
      </c>
      <c r="C254" s="2">
        <f>'[01_Entry.xlsx]Book'!D254</f>
        <v/>
      </c>
      <c r="D254" s="2">
        <f>'[01_Entry.xlsx]Book'!E254</f>
        <v/>
      </c>
      <c r="E254" s="2">
        <f>'[01_Entry.xlsx]Book'!O254</f>
        <v/>
      </c>
      <c r="F254" s="2">
        <f>'[01_Entry.xlsx]Book'!N254</f>
        <v/>
      </c>
      <c r="G254" s="3">
        <f>'[01_Entry.xlsx]Book'!L254</f>
        <v/>
      </c>
      <c r="H254" s="3">
        <f>'[01_Entry.xlsx]Book'!M254</f>
        <v/>
      </c>
      <c r="I254" s="3">
        <f>'[01_Entry.xlsx]Book'!K254</f>
        <v/>
      </c>
      <c r="J254" s="3">
        <f>'[01_Entry.xlsx]Book'!P254</f>
        <v/>
      </c>
      <c r="K254" s="3">
        <f>'[01_Entry.xlsx]Book'!F254</f>
        <v/>
      </c>
      <c r="L254" s="3">
        <f>'[01_Entry.xlsx]Book'!G254</f>
        <v/>
      </c>
      <c r="M254" s="3">
        <f>'[01_Entry.xlsx]Book'!I254</f>
        <v/>
      </c>
      <c r="N254" s="2">
        <f>IF($A254="","",MID($A254,6,2))</f>
        <v>0</v>
      </c>
      <c r="O254" s="2">
        <f>IF(OR($C254="",$C254&lt;&gt;'Inv'!$D$12),"",N(O$253)+1)</f>
        <v>0</v>
      </c>
    </row>
    <row r="255" spans="1:15">
      <c r="A255" s="2">
        <f>'[01_Entry.xlsx]Book'!A255</f>
        <v/>
      </c>
      <c r="B255" s="2">
        <f>'[01_Entry.xlsx]Book'!B255</f>
        <v/>
      </c>
      <c r="C255" s="2">
        <f>'[01_Entry.xlsx]Book'!D255</f>
        <v/>
      </c>
      <c r="D255" s="2">
        <f>'[01_Entry.xlsx]Book'!E255</f>
        <v/>
      </c>
      <c r="E255" s="2">
        <f>'[01_Entry.xlsx]Book'!O255</f>
        <v/>
      </c>
      <c r="F255" s="2">
        <f>'[01_Entry.xlsx]Book'!N255</f>
        <v/>
      </c>
      <c r="G255" s="3">
        <f>'[01_Entry.xlsx]Book'!L255</f>
        <v/>
      </c>
      <c r="H255" s="3">
        <f>'[01_Entry.xlsx]Book'!M255</f>
        <v/>
      </c>
      <c r="I255" s="3">
        <f>'[01_Entry.xlsx]Book'!K255</f>
        <v/>
      </c>
      <c r="J255" s="3">
        <f>'[01_Entry.xlsx]Book'!P255</f>
        <v/>
      </c>
      <c r="K255" s="3">
        <f>'[01_Entry.xlsx]Book'!F255</f>
        <v/>
      </c>
      <c r="L255" s="3">
        <f>'[01_Entry.xlsx]Book'!G255</f>
        <v/>
      </c>
      <c r="M255" s="3">
        <f>'[01_Entry.xlsx]Book'!I255</f>
        <v/>
      </c>
      <c r="N255" s="2">
        <f>IF($A255="","",MID($A255,6,2))</f>
        <v>0</v>
      </c>
      <c r="O255" s="2">
        <f>IF(OR($C255="",$C255&lt;&gt;'Inv'!$D$12),"",N(O$254)+1)</f>
        <v>0</v>
      </c>
    </row>
    <row r="256" spans="1:15">
      <c r="A256" s="2">
        <f>'[01_Entry.xlsx]Book'!A256</f>
        <v/>
      </c>
      <c r="B256" s="2">
        <f>'[01_Entry.xlsx]Book'!B256</f>
        <v/>
      </c>
      <c r="C256" s="2">
        <f>'[01_Entry.xlsx]Book'!D256</f>
        <v/>
      </c>
      <c r="D256" s="2">
        <f>'[01_Entry.xlsx]Book'!E256</f>
        <v/>
      </c>
      <c r="E256" s="2">
        <f>'[01_Entry.xlsx]Book'!O256</f>
        <v/>
      </c>
      <c r="F256" s="2">
        <f>'[01_Entry.xlsx]Book'!N256</f>
        <v/>
      </c>
      <c r="G256" s="3">
        <f>'[01_Entry.xlsx]Book'!L256</f>
        <v/>
      </c>
      <c r="H256" s="3">
        <f>'[01_Entry.xlsx]Book'!M256</f>
        <v/>
      </c>
      <c r="I256" s="3">
        <f>'[01_Entry.xlsx]Book'!K256</f>
        <v/>
      </c>
      <c r="J256" s="3">
        <f>'[01_Entry.xlsx]Book'!P256</f>
        <v/>
      </c>
      <c r="K256" s="3">
        <f>'[01_Entry.xlsx]Book'!F256</f>
        <v/>
      </c>
      <c r="L256" s="3">
        <f>'[01_Entry.xlsx]Book'!G256</f>
        <v/>
      </c>
      <c r="M256" s="3">
        <f>'[01_Entry.xlsx]Book'!I256</f>
        <v/>
      </c>
      <c r="N256" s="2">
        <f>IF($A256="","",MID($A256,6,2))</f>
        <v>0</v>
      </c>
      <c r="O256" s="2">
        <f>IF(OR($C256="",$C256&lt;&gt;'Inv'!$D$12),"",N(O$255)+1)</f>
        <v>0</v>
      </c>
    </row>
    <row r="257" spans="1:15">
      <c r="A257" s="2">
        <f>'[01_Entry.xlsx]Book'!A257</f>
        <v/>
      </c>
      <c r="B257" s="2">
        <f>'[01_Entry.xlsx]Book'!B257</f>
        <v/>
      </c>
      <c r="C257" s="2">
        <f>'[01_Entry.xlsx]Book'!D257</f>
        <v/>
      </c>
      <c r="D257" s="2">
        <f>'[01_Entry.xlsx]Book'!E257</f>
        <v/>
      </c>
      <c r="E257" s="2">
        <f>'[01_Entry.xlsx]Book'!O257</f>
        <v/>
      </c>
      <c r="F257" s="2">
        <f>'[01_Entry.xlsx]Book'!N257</f>
        <v/>
      </c>
      <c r="G257" s="3">
        <f>'[01_Entry.xlsx]Book'!L257</f>
        <v/>
      </c>
      <c r="H257" s="3">
        <f>'[01_Entry.xlsx]Book'!M257</f>
        <v/>
      </c>
      <c r="I257" s="3">
        <f>'[01_Entry.xlsx]Book'!K257</f>
        <v/>
      </c>
      <c r="J257" s="3">
        <f>'[01_Entry.xlsx]Book'!P257</f>
        <v/>
      </c>
      <c r="K257" s="3">
        <f>'[01_Entry.xlsx]Book'!F257</f>
        <v/>
      </c>
      <c r="L257" s="3">
        <f>'[01_Entry.xlsx]Book'!G257</f>
        <v/>
      </c>
      <c r="M257" s="3">
        <f>'[01_Entry.xlsx]Book'!I257</f>
        <v/>
      </c>
      <c r="N257" s="2">
        <f>IF($A257="","",MID($A257,6,2))</f>
        <v>0</v>
      </c>
      <c r="O257" s="2">
        <f>IF(OR($C257="",$C257&lt;&gt;'Inv'!$D$12),"",N(O$256)+1)</f>
        <v>0</v>
      </c>
    </row>
    <row r="258" spans="1:15">
      <c r="A258" s="2">
        <f>'[01_Entry.xlsx]Book'!A258</f>
        <v/>
      </c>
      <c r="B258" s="2">
        <f>'[01_Entry.xlsx]Book'!B258</f>
        <v/>
      </c>
      <c r="C258" s="2">
        <f>'[01_Entry.xlsx]Book'!D258</f>
        <v/>
      </c>
      <c r="D258" s="2">
        <f>'[01_Entry.xlsx]Book'!E258</f>
        <v/>
      </c>
      <c r="E258" s="2">
        <f>'[01_Entry.xlsx]Book'!O258</f>
        <v/>
      </c>
      <c r="F258" s="2">
        <f>'[01_Entry.xlsx]Book'!N258</f>
        <v/>
      </c>
      <c r="G258" s="3">
        <f>'[01_Entry.xlsx]Book'!L258</f>
        <v/>
      </c>
      <c r="H258" s="3">
        <f>'[01_Entry.xlsx]Book'!M258</f>
        <v/>
      </c>
      <c r="I258" s="3">
        <f>'[01_Entry.xlsx]Book'!K258</f>
        <v/>
      </c>
      <c r="J258" s="3">
        <f>'[01_Entry.xlsx]Book'!P258</f>
        <v/>
      </c>
      <c r="K258" s="3">
        <f>'[01_Entry.xlsx]Book'!F258</f>
        <v/>
      </c>
      <c r="L258" s="3">
        <f>'[01_Entry.xlsx]Book'!G258</f>
        <v/>
      </c>
      <c r="M258" s="3">
        <f>'[01_Entry.xlsx]Book'!I258</f>
        <v/>
      </c>
      <c r="N258" s="2">
        <f>IF($A258="","",MID($A258,6,2))</f>
        <v>0</v>
      </c>
      <c r="O258" s="2">
        <f>IF(OR($C258="",$C258&lt;&gt;'Inv'!$D$12),"",N(O$257)+1)</f>
        <v>0</v>
      </c>
    </row>
    <row r="259" spans="1:15">
      <c r="A259" s="2">
        <f>'[01_Entry.xlsx]Book'!A259</f>
        <v/>
      </c>
      <c r="B259" s="2">
        <f>'[01_Entry.xlsx]Book'!B259</f>
        <v/>
      </c>
      <c r="C259" s="2">
        <f>'[01_Entry.xlsx]Book'!D259</f>
        <v/>
      </c>
      <c r="D259" s="2">
        <f>'[01_Entry.xlsx]Book'!E259</f>
        <v/>
      </c>
      <c r="E259" s="2">
        <f>'[01_Entry.xlsx]Book'!O259</f>
        <v/>
      </c>
      <c r="F259" s="2">
        <f>'[01_Entry.xlsx]Book'!N259</f>
        <v/>
      </c>
      <c r="G259" s="3">
        <f>'[01_Entry.xlsx]Book'!L259</f>
        <v/>
      </c>
      <c r="H259" s="3">
        <f>'[01_Entry.xlsx]Book'!M259</f>
        <v/>
      </c>
      <c r="I259" s="3">
        <f>'[01_Entry.xlsx]Book'!K259</f>
        <v/>
      </c>
      <c r="J259" s="3">
        <f>'[01_Entry.xlsx]Book'!P259</f>
        <v/>
      </c>
      <c r="K259" s="3">
        <f>'[01_Entry.xlsx]Book'!F259</f>
        <v/>
      </c>
      <c r="L259" s="3">
        <f>'[01_Entry.xlsx]Book'!G259</f>
        <v/>
      </c>
      <c r="M259" s="3">
        <f>'[01_Entry.xlsx]Book'!I259</f>
        <v/>
      </c>
      <c r="N259" s="2">
        <f>IF($A259="","",MID($A259,6,2))</f>
        <v>0</v>
      </c>
      <c r="O259" s="2">
        <f>IF(OR($C259="",$C259&lt;&gt;'Inv'!$D$12),"",N(O$258)+1)</f>
        <v>0</v>
      </c>
    </row>
    <row r="260" spans="1:15">
      <c r="A260" s="2">
        <f>'[01_Entry.xlsx]Book'!A260</f>
        <v/>
      </c>
      <c r="B260" s="2">
        <f>'[01_Entry.xlsx]Book'!B260</f>
        <v/>
      </c>
      <c r="C260" s="2">
        <f>'[01_Entry.xlsx]Book'!D260</f>
        <v/>
      </c>
      <c r="D260" s="2">
        <f>'[01_Entry.xlsx]Book'!E260</f>
        <v/>
      </c>
      <c r="E260" s="2">
        <f>'[01_Entry.xlsx]Book'!O260</f>
        <v/>
      </c>
      <c r="F260" s="2">
        <f>'[01_Entry.xlsx]Book'!N260</f>
        <v/>
      </c>
      <c r="G260" s="3">
        <f>'[01_Entry.xlsx]Book'!L260</f>
        <v/>
      </c>
      <c r="H260" s="3">
        <f>'[01_Entry.xlsx]Book'!M260</f>
        <v/>
      </c>
      <c r="I260" s="3">
        <f>'[01_Entry.xlsx]Book'!K260</f>
        <v/>
      </c>
      <c r="J260" s="3">
        <f>'[01_Entry.xlsx]Book'!P260</f>
        <v/>
      </c>
      <c r="K260" s="3">
        <f>'[01_Entry.xlsx]Book'!F260</f>
        <v/>
      </c>
      <c r="L260" s="3">
        <f>'[01_Entry.xlsx]Book'!G260</f>
        <v/>
      </c>
      <c r="M260" s="3">
        <f>'[01_Entry.xlsx]Book'!I260</f>
        <v/>
      </c>
      <c r="N260" s="2">
        <f>IF($A260="","",MID($A260,6,2))</f>
        <v>0</v>
      </c>
      <c r="O260" s="2">
        <f>IF(OR($C260="",$C260&lt;&gt;'Inv'!$D$12),"",N(O$259)+1)</f>
        <v>0</v>
      </c>
    </row>
    <row r="261" spans="1:15">
      <c r="A261" s="2">
        <f>'[01_Entry.xlsx]Book'!A261</f>
        <v/>
      </c>
      <c r="B261" s="2">
        <f>'[01_Entry.xlsx]Book'!B261</f>
        <v/>
      </c>
      <c r="C261" s="2">
        <f>'[01_Entry.xlsx]Book'!D261</f>
        <v/>
      </c>
      <c r="D261" s="2">
        <f>'[01_Entry.xlsx]Book'!E261</f>
        <v/>
      </c>
      <c r="E261" s="2">
        <f>'[01_Entry.xlsx]Book'!O261</f>
        <v/>
      </c>
      <c r="F261" s="2">
        <f>'[01_Entry.xlsx]Book'!N261</f>
        <v/>
      </c>
      <c r="G261" s="3">
        <f>'[01_Entry.xlsx]Book'!L261</f>
        <v/>
      </c>
      <c r="H261" s="3">
        <f>'[01_Entry.xlsx]Book'!M261</f>
        <v/>
      </c>
      <c r="I261" s="3">
        <f>'[01_Entry.xlsx]Book'!K261</f>
        <v/>
      </c>
      <c r="J261" s="3">
        <f>'[01_Entry.xlsx]Book'!P261</f>
        <v/>
      </c>
      <c r="K261" s="3">
        <f>'[01_Entry.xlsx]Book'!F261</f>
        <v/>
      </c>
      <c r="L261" s="3">
        <f>'[01_Entry.xlsx]Book'!G261</f>
        <v/>
      </c>
      <c r="M261" s="3">
        <f>'[01_Entry.xlsx]Book'!I261</f>
        <v/>
      </c>
      <c r="N261" s="2">
        <f>IF($A261="","",MID($A261,6,2))</f>
        <v>0</v>
      </c>
      <c r="O261" s="2">
        <f>IF(OR($C261="",$C261&lt;&gt;'Inv'!$D$12),"",N(O$260)+1)</f>
        <v>0</v>
      </c>
    </row>
    <row r="262" spans="1:15">
      <c r="A262" s="2">
        <f>'[01_Entry.xlsx]Book'!A262</f>
        <v/>
      </c>
      <c r="B262" s="2">
        <f>'[01_Entry.xlsx]Book'!B262</f>
        <v/>
      </c>
      <c r="C262" s="2">
        <f>'[01_Entry.xlsx]Book'!D262</f>
        <v/>
      </c>
      <c r="D262" s="2">
        <f>'[01_Entry.xlsx]Book'!E262</f>
        <v/>
      </c>
      <c r="E262" s="2">
        <f>'[01_Entry.xlsx]Book'!O262</f>
        <v/>
      </c>
      <c r="F262" s="2">
        <f>'[01_Entry.xlsx]Book'!N262</f>
        <v/>
      </c>
      <c r="G262" s="3">
        <f>'[01_Entry.xlsx]Book'!L262</f>
        <v/>
      </c>
      <c r="H262" s="3">
        <f>'[01_Entry.xlsx]Book'!M262</f>
        <v/>
      </c>
      <c r="I262" s="3">
        <f>'[01_Entry.xlsx]Book'!K262</f>
        <v/>
      </c>
      <c r="J262" s="3">
        <f>'[01_Entry.xlsx]Book'!P262</f>
        <v/>
      </c>
      <c r="K262" s="3">
        <f>'[01_Entry.xlsx]Book'!F262</f>
        <v/>
      </c>
      <c r="L262" s="3">
        <f>'[01_Entry.xlsx]Book'!G262</f>
        <v/>
      </c>
      <c r="M262" s="3">
        <f>'[01_Entry.xlsx]Book'!I262</f>
        <v/>
      </c>
      <c r="N262" s="2">
        <f>IF($A262="","",MID($A262,6,2))</f>
        <v>0</v>
      </c>
      <c r="O262" s="2">
        <f>IF(OR($C262="",$C262&lt;&gt;'Inv'!$D$12),"",N(O$261)+1)</f>
        <v>0</v>
      </c>
    </row>
    <row r="263" spans="1:15">
      <c r="A263" s="2">
        <f>'[01_Entry.xlsx]Book'!A263</f>
        <v/>
      </c>
      <c r="B263" s="2">
        <f>'[01_Entry.xlsx]Book'!B263</f>
        <v/>
      </c>
      <c r="C263" s="2">
        <f>'[01_Entry.xlsx]Book'!D263</f>
        <v/>
      </c>
      <c r="D263" s="2">
        <f>'[01_Entry.xlsx]Book'!E263</f>
        <v/>
      </c>
      <c r="E263" s="2">
        <f>'[01_Entry.xlsx]Book'!O263</f>
        <v/>
      </c>
      <c r="F263" s="2">
        <f>'[01_Entry.xlsx]Book'!N263</f>
        <v/>
      </c>
      <c r="G263" s="3">
        <f>'[01_Entry.xlsx]Book'!L263</f>
        <v/>
      </c>
      <c r="H263" s="3">
        <f>'[01_Entry.xlsx]Book'!M263</f>
        <v/>
      </c>
      <c r="I263" s="3">
        <f>'[01_Entry.xlsx]Book'!K263</f>
        <v/>
      </c>
      <c r="J263" s="3">
        <f>'[01_Entry.xlsx]Book'!P263</f>
        <v/>
      </c>
      <c r="K263" s="3">
        <f>'[01_Entry.xlsx]Book'!F263</f>
        <v/>
      </c>
      <c r="L263" s="3">
        <f>'[01_Entry.xlsx]Book'!G263</f>
        <v/>
      </c>
      <c r="M263" s="3">
        <f>'[01_Entry.xlsx]Book'!I263</f>
        <v/>
      </c>
      <c r="N263" s="2">
        <f>IF($A263="","",MID($A263,6,2))</f>
        <v>0</v>
      </c>
      <c r="O263" s="2">
        <f>IF(OR($C263="",$C263&lt;&gt;'Inv'!$D$12),"",N(O$262)+1)</f>
        <v>0</v>
      </c>
    </row>
    <row r="264" spans="1:15">
      <c r="A264" s="2">
        <f>'[01_Entry.xlsx]Book'!A264</f>
        <v/>
      </c>
      <c r="B264" s="2">
        <f>'[01_Entry.xlsx]Book'!B264</f>
        <v/>
      </c>
      <c r="C264" s="2">
        <f>'[01_Entry.xlsx]Book'!D264</f>
        <v/>
      </c>
      <c r="D264" s="2">
        <f>'[01_Entry.xlsx]Book'!E264</f>
        <v/>
      </c>
      <c r="E264" s="2">
        <f>'[01_Entry.xlsx]Book'!O264</f>
        <v/>
      </c>
      <c r="F264" s="2">
        <f>'[01_Entry.xlsx]Book'!N264</f>
        <v/>
      </c>
      <c r="G264" s="3">
        <f>'[01_Entry.xlsx]Book'!L264</f>
        <v/>
      </c>
      <c r="H264" s="3">
        <f>'[01_Entry.xlsx]Book'!M264</f>
        <v/>
      </c>
      <c r="I264" s="3">
        <f>'[01_Entry.xlsx]Book'!K264</f>
        <v/>
      </c>
      <c r="J264" s="3">
        <f>'[01_Entry.xlsx]Book'!P264</f>
        <v/>
      </c>
      <c r="K264" s="3">
        <f>'[01_Entry.xlsx]Book'!F264</f>
        <v/>
      </c>
      <c r="L264" s="3">
        <f>'[01_Entry.xlsx]Book'!G264</f>
        <v/>
      </c>
      <c r="M264" s="3">
        <f>'[01_Entry.xlsx]Book'!I264</f>
        <v/>
      </c>
      <c r="N264" s="2">
        <f>IF($A264="","",MID($A264,6,2))</f>
        <v>0</v>
      </c>
      <c r="O264" s="2">
        <f>IF(OR($C264="",$C264&lt;&gt;'Inv'!$D$12),"",N(O$263)+1)</f>
        <v>0</v>
      </c>
    </row>
    <row r="265" spans="1:15">
      <c r="A265" s="2">
        <f>'[01_Entry.xlsx]Book'!A265</f>
        <v/>
      </c>
      <c r="B265" s="2">
        <f>'[01_Entry.xlsx]Book'!B265</f>
        <v/>
      </c>
      <c r="C265" s="2">
        <f>'[01_Entry.xlsx]Book'!D265</f>
        <v/>
      </c>
      <c r="D265" s="2">
        <f>'[01_Entry.xlsx]Book'!E265</f>
        <v/>
      </c>
      <c r="E265" s="2">
        <f>'[01_Entry.xlsx]Book'!O265</f>
        <v/>
      </c>
      <c r="F265" s="2">
        <f>'[01_Entry.xlsx]Book'!N265</f>
        <v/>
      </c>
      <c r="G265" s="3">
        <f>'[01_Entry.xlsx]Book'!L265</f>
        <v/>
      </c>
      <c r="H265" s="3">
        <f>'[01_Entry.xlsx]Book'!M265</f>
        <v/>
      </c>
      <c r="I265" s="3">
        <f>'[01_Entry.xlsx]Book'!K265</f>
        <v/>
      </c>
      <c r="J265" s="3">
        <f>'[01_Entry.xlsx]Book'!P265</f>
        <v/>
      </c>
      <c r="K265" s="3">
        <f>'[01_Entry.xlsx]Book'!F265</f>
        <v/>
      </c>
      <c r="L265" s="3">
        <f>'[01_Entry.xlsx]Book'!G265</f>
        <v/>
      </c>
      <c r="M265" s="3">
        <f>'[01_Entry.xlsx]Book'!I265</f>
        <v/>
      </c>
      <c r="N265" s="2">
        <f>IF($A265="","",MID($A265,6,2))</f>
        <v>0</v>
      </c>
      <c r="O265" s="2">
        <f>IF(OR($C265="",$C265&lt;&gt;'Inv'!$D$12),"",N(O$264)+1)</f>
        <v>0</v>
      </c>
    </row>
    <row r="266" spans="1:15">
      <c r="A266" s="2">
        <f>'[01_Entry.xlsx]Book'!A266</f>
        <v/>
      </c>
      <c r="B266" s="2">
        <f>'[01_Entry.xlsx]Book'!B266</f>
        <v/>
      </c>
      <c r="C266" s="2">
        <f>'[01_Entry.xlsx]Book'!D266</f>
        <v/>
      </c>
      <c r="D266" s="2">
        <f>'[01_Entry.xlsx]Book'!E266</f>
        <v/>
      </c>
      <c r="E266" s="2">
        <f>'[01_Entry.xlsx]Book'!O266</f>
        <v/>
      </c>
      <c r="F266" s="2">
        <f>'[01_Entry.xlsx]Book'!N266</f>
        <v/>
      </c>
      <c r="G266" s="3">
        <f>'[01_Entry.xlsx]Book'!L266</f>
        <v/>
      </c>
      <c r="H266" s="3">
        <f>'[01_Entry.xlsx]Book'!M266</f>
        <v/>
      </c>
      <c r="I266" s="3">
        <f>'[01_Entry.xlsx]Book'!K266</f>
        <v/>
      </c>
      <c r="J266" s="3">
        <f>'[01_Entry.xlsx]Book'!P266</f>
        <v/>
      </c>
      <c r="K266" s="3">
        <f>'[01_Entry.xlsx]Book'!F266</f>
        <v/>
      </c>
      <c r="L266" s="3">
        <f>'[01_Entry.xlsx]Book'!G266</f>
        <v/>
      </c>
      <c r="M266" s="3">
        <f>'[01_Entry.xlsx]Book'!I266</f>
        <v/>
      </c>
      <c r="N266" s="2">
        <f>IF($A266="","",MID($A266,6,2))</f>
        <v>0</v>
      </c>
      <c r="O266" s="2">
        <f>IF(OR($C266="",$C266&lt;&gt;'Inv'!$D$12),"",N(O$265)+1)</f>
        <v>0</v>
      </c>
    </row>
    <row r="267" spans="1:15">
      <c r="A267" s="2">
        <f>'[01_Entry.xlsx]Book'!A267</f>
        <v/>
      </c>
      <c r="B267" s="2">
        <f>'[01_Entry.xlsx]Book'!B267</f>
        <v/>
      </c>
      <c r="C267" s="2">
        <f>'[01_Entry.xlsx]Book'!D267</f>
        <v/>
      </c>
      <c r="D267" s="2">
        <f>'[01_Entry.xlsx]Book'!E267</f>
        <v/>
      </c>
      <c r="E267" s="2">
        <f>'[01_Entry.xlsx]Book'!O267</f>
        <v/>
      </c>
      <c r="F267" s="2">
        <f>'[01_Entry.xlsx]Book'!N267</f>
        <v/>
      </c>
      <c r="G267" s="3">
        <f>'[01_Entry.xlsx]Book'!L267</f>
        <v/>
      </c>
      <c r="H267" s="3">
        <f>'[01_Entry.xlsx]Book'!M267</f>
        <v/>
      </c>
      <c r="I267" s="3">
        <f>'[01_Entry.xlsx]Book'!K267</f>
        <v/>
      </c>
      <c r="J267" s="3">
        <f>'[01_Entry.xlsx]Book'!P267</f>
        <v/>
      </c>
      <c r="K267" s="3">
        <f>'[01_Entry.xlsx]Book'!F267</f>
        <v/>
      </c>
      <c r="L267" s="3">
        <f>'[01_Entry.xlsx]Book'!G267</f>
        <v/>
      </c>
      <c r="M267" s="3">
        <f>'[01_Entry.xlsx]Book'!I267</f>
        <v/>
      </c>
      <c r="N267" s="2">
        <f>IF($A267="","",MID($A267,6,2))</f>
        <v>0</v>
      </c>
      <c r="O267" s="2">
        <f>IF(OR($C267="",$C267&lt;&gt;'Inv'!$D$12),"",N(O$266)+1)</f>
        <v>0</v>
      </c>
    </row>
    <row r="268" spans="1:15">
      <c r="A268" s="2">
        <f>'[01_Entry.xlsx]Book'!A268</f>
        <v/>
      </c>
      <c r="B268" s="2">
        <f>'[01_Entry.xlsx]Book'!B268</f>
        <v/>
      </c>
      <c r="C268" s="2">
        <f>'[01_Entry.xlsx]Book'!D268</f>
        <v/>
      </c>
      <c r="D268" s="2">
        <f>'[01_Entry.xlsx]Book'!E268</f>
        <v/>
      </c>
      <c r="E268" s="2">
        <f>'[01_Entry.xlsx]Book'!O268</f>
        <v/>
      </c>
      <c r="F268" s="2">
        <f>'[01_Entry.xlsx]Book'!N268</f>
        <v/>
      </c>
      <c r="G268" s="3">
        <f>'[01_Entry.xlsx]Book'!L268</f>
        <v/>
      </c>
      <c r="H268" s="3">
        <f>'[01_Entry.xlsx]Book'!M268</f>
        <v/>
      </c>
      <c r="I268" s="3">
        <f>'[01_Entry.xlsx]Book'!K268</f>
        <v/>
      </c>
      <c r="J268" s="3">
        <f>'[01_Entry.xlsx]Book'!P268</f>
        <v/>
      </c>
      <c r="K268" s="3">
        <f>'[01_Entry.xlsx]Book'!F268</f>
        <v/>
      </c>
      <c r="L268" s="3">
        <f>'[01_Entry.xlsx]Book'!G268</f>
        <v/>
      </c>
      <c r="M268" s="3">
        <f>'[01_Entry.xlsx]Book'!I268</f>
        <v/>
      </c>
      <c r="N268" s="2">
        <f>IF($A268="","",MID($A268,6,2))</f>
        <v>0</v>
      </c>
      <c r="O268" s="2">
        <f>IF(OR($C268="",$C268&lt;&gt;'Inv'!$D$12),"",N(O$267)+1)</f>
        <v>0</v>
      </c>
    </row>
    <row r="269" spans="1:15">
      <c r="A269" s="2">
        <f>'[01_Entry.xlsx]Book'!A269</f>
        <v/>
      </c>
      <c r="B269" s="2">
        <f>'[01_Entry.xlsx]Book'!B269</f>
        <v/>
      </c>
      <c r="C269" s="2">
        <f>'[01_Entry.xlsx]Book'!D269</f>
        <v/>
      </c>
      <c r="D269" s="2">
        <f>'[01_Entry.xlsx]Book'!E269</f>
        <v/>
      </c>
      <c r="E269" s="2">
        <f>'[01_Entry.xlsx]Book'!O269</f>
        <v/>
      </c>
      <c r="F269" s="2">
        <f>'[01_Entry.xlsx]Book'!N269</f>
        <v/>
      </c>
      <c r="G269" s="3">
        <f>'[01_Entry.xlsx]Book'!L269</f>
        <v/>
      </c>
      <c r="H269" s="3">
        <f>'[01_Entry.xlsx]Book'!M269</f>
        <v/>
      </c>
      <c r="I269" s="3">
        <f>'[01_Entry.xlsx]Book'!K269</f>
        <v/>
      </c>
      <c r="J269" s="3">
        <f>'[01_Entry.xlsx]Book'!P269</f>
        <v/>
      </c>
      <c r="K269" s="3">
        <f>'[01_Entry.xlsx]Book'!F269</f>
        <v/>
      </c>
      <c r="L269" s="3">
        <f>'[01_Entry.xlsx]Book'!G269</f>
        <v/>
      </c>
      <c r="M269" s="3">
        <f>'[01_Entry.xlsx]Book'!I269</f>
        <v/>
      </c>
      <c r="N269" s="2">
        <f>IF($A269="","",MID($A269,6,2))</f>
        <v>0</v>
      </c>
      <c r="O269" s="2">
        <f>IF(OR($C269="",$C269&lt;&gt;'Inv'!$D$12),"",N(O$268)+1)</f>
        <v>0</v>
      </c>
    </row>
    <row r="270" spans="1:15">
      <c r="A270" s="2">
        <f>'[01_Entry.xlsx]Book'!A270</f>
        <v/>
      </c>
      <c r="B270" s="2">
        <f>'[01_Entry.xlsx]Book'!B270</f>
        <v/>
      </c>
      <c r="C270" s="2">
        <f>'[01_Entry.xlsx]Book'!D270</f>
        <v/>
      </c>
      <c r="D270" s="2">
        <f>'[01_Entry.xlsx]Book'!E270</f>
        <v/>
      </c>
      <c r="E270" s="2">
        <f>'[01_Entry.xlsx]Book'!O270</f>
        <v/>
      </c>
      <c r="F270" s="2">
        <f>'[01_Entry.xlsx]Book'!N270</f>
        <v/>
      </c>
      <c r="G270" s="3">
        <f>'[01_Entry.xlsx]Book'!L270</f>
        <v/>
      </c>
      <c r="H270" s="3">
        <f>'[01_Entry.xlsx]Book'!M270</f>
        <v/>
      </c>
      <c r="I270" s="3">
        <f>'[01_Entry.xlsx]Book'!K270</f>
        <v/>
      </c>
      <c r="J270" s="3">
        <f>'[01_Entry.xlsx]Book'!P270</f>
        <v/>
      </c>
      <c r="K270" s="3">
        <f>'[01_Entry.xlsx]Book'!F270</f>
        <v/>
      </c>
      <c r="L270" s="3">
        <f>'[01_Entry.xlsx]Book'!G270</f>
        <v/>
      </c>
      <c r="M270" s="3">
        <f>'[01_Entry.xlsx]Book'!I270</f>
        <v/>
      </c>
      <c r="N270" s="2">
        <f>IF($A270="","",MID($A270,6,2))</f>
        <v>0</v>
      </c>
      <c r="O270" s="2">
        <f>IF(OR($C270="",$C270&lt;&gt;'Inv'!$D$12),"",N(O$269)+1)</f>
        <v>0</v>
      </c>
    </row>
    <row r="271" spans="1:15">
      <c r="A271" s="2">
        <f>'[01_Entry.xlsx]Book'!A271</f>
        <v/>
      </c>
      <c r="B271" s="2">
        <f>'[01_Entry.xlsx]Book'!B271</f>
        <v/>
      </c>
      <c r="C271" s="2">
        <f>'[01_Entry.xlsx]Book'!D271</f>
        <v/>
      </c>
      <c r="D271" s="2">
        <f>'[01_Entry.xlsx]Book'!E271</f>
        <v/>
      </c>
      <c r="E271" s="2">
        <f>'[01_Entry.xlsx]Book'!O271</f>
        <v/>
      </c>
      <c r="F271" s="2">
        <f>'[01_Entry.xlsx]Book'!N271</f>
        <v/>
      </c>
      <c r="G271" s="3">
        <f>'[01_Entry.xlsx]Book'!L271</f>
        <v/>
      </c>
      <c r="H271" s="3">
        <f>'[01_Entry.xlsx]Book'!M271</f>
        <v/>
      </c>
      <c r="I271" s="3">
        <f>'[01_Entry.xlsx]Book'!K271</f>
        <v/>
      </c>
      <c r="J271" s="3">
        <f>'[01_Entry.xlsx]Book'!P271</f>
        <v/>
      </c>
      <c r="K271" s="3">
        <f>'[01_Entry.xlsx]Book'!F271</f>
        <v/>
      </c>
      <c r="L271" s="3">
        <f>'[01_Entry.xlsx]Book'!G271</f>
        <v/>
      </c>
      <c r="M271" s="3">
        <f>'[01_Entry.xlsx]Book'!I271</f>
        <v/>
      </c>
      <c r="N271" s="2">
        <f>IF($A271="","",MID($A271,6,2))</f>
        <v>0</v>
      </c>
      <c r="O271" s="2">
        <f>IF(OR($C271="",$C271&lt;&gt;'Inv'!$D$12),"",N(O$270)+1)</f>
        <v>0</v>
      </c>
    </row>
    <row r="272" spans="1:15">
      <c r="A272" s="2">
        <f>'[01_Entry.xlsx]Book'!A272</f>
        <v/>
      </c>
      <c r="B272" s="2">
        <f>'[01_Entry.xlsx]Book'!B272</f>
        <v/>
      </c>
      <c r="C272" s="2">
        <f>'[01_Entry.xlsx]Book'!D272</f>
        <v/>
      </c>
      <c r="D272" s="2">
        <f>'[01_Entry.xlsx]Book'!E272</f>
        <v/>
      </c>
      <c r="E272" s="2">
        <f>'[01_Entry.xlsx]Book'!O272</f>
        <v/>
      </c>
      <c r="F272" s="2">
        <f>'[01_Entry.xlsx]Book'!N272</f>
        <v/>
      </c>
      <c r="G272" s="3">
        <f>'[01_Entry.xlsx]Book'!L272</f>
        <v/>
      </c>
      <c r="H272" s="3">
        <f>'[01_Entry.xlsx]Book'!M272</f>
        <v/>
      </c>
      <c r="I272" s="3">
        <f>'[01_Entry.xlsx]Book'!K272</f>
        <v/>
      </c>
      <c r="J272" s="3">
        <f>'[01_Entry.xlsx]Book'!P272</f>
        <v/>
      </c>
      <c r="K272" s="3">
        <f>'[01_Entry.xlsx]Book'!F272</f>
        <v/>
      </c>
      <c r="L272" s="3">
        <f>'[01_Entry.xlsx]Book'!G272</f>
        <v/>
      </c>
      <c r="M272" s="3">
        <f>'[01_Entry.xlsx]Book'!I272</f>
        <v/>
      </c>
      <c r="N272" s="2">
        <f>IF($A272="","",MID($A272,6,2))</f>
        <v>0</v>
      </c>
      <c r="O272" s="2">
        <f>IF(OR($C272="",$C272&lt;&gt;'Inv'!$D$12),"",N(O$271)+1)</f>
        <v>0</v>
      </c>
    </row>
    <row r="273" spans="1:15">
      <c r="A273" s="2">
        <f>'[01_Entry.xlsx]Book'!A273</f>
        <v/>
      </c>
      <c r="B273" s="2">
        <f>'[01_Entry.xlsx]Book'!B273</f>
        <v/>
      </c>
      <c r="C273" s="2">
        <f>'[01_Entry.xlsx]Book'!D273</f>
        <v/>
      </c>
      <c r="D273" s="2">
        <f>'[01_Entry.xlsx]Book'!E273</f>
        <v/>
      </c>
      <c r="E273" s="2">
        <f>'[01_Entry.xlsx]Book'!O273</f>
        <v/>
      </c>
      <c r="F273" s="2">
        <f>'[01_Entry.xlsx]Book'!N273</f>
        <v/>
      </c>
      <c r="G273" s="3">
        <f>'[01_Entry.xlsx]Book'!L273</f>
        <v/>
      </c>
      <c r="H273" s="3">
        <f>'[01_Entry.xlsx]Book'!M273</f>
        <v/>
      </c>
      <c r="I273" s="3">
        <f>'[01_Entry.xlsx]Book'!K273</f>
        <v/>
      </c>
      <c r="J273" s="3">
        <f>'[01_Entry.xlsx]Book'!P273</f>
        <v/>
      </c>
      <c r="K273" s="3">
        <f>'[01_Entry.xlsx]Book'!F273</f>
        <v/>
      </c>
      <c r="L273" s="3">
        <f>'[01_Entry.xlsx]Book'!G273</f>
        <v/>
      </c>
      <c r="M273" s="3">
        <f>'[01_Entry.xlsx]Book'!I273</f>
        <v/>
      </c>
      <c r="N273" s="2">
        <f>IF($A273="","",MID($A273,6,2))</f>
        <v>0</v>
      </c>
      <c r="O273" s="2">
        <f>IF(OR($C273="",$C273&lt;&gt;'Inv'!$D$12),"",N(O$272)+1)</f>
        <v>0</v>
      </c>
    </row>
    <row r="274" spans="1:15">
      <c r="A274" s="2">
        <f>'[01_Entry.xlsx]Book'!A274</f>
        <v/>
      </c>
      <c r="B274" s="2">
        <f>'[01_Entry.xlsx]Book'!B274</f>
        <v/>
      </c>
      <c r="C274" s="2">
        <f>'[01_Entry.xlsx]Book'!D274</f>
        <v/>
      </c>
      <c r="D274" s="2">
        <f>'[01_Entry.xlsx]Book'!E274</f>
        <v/>
      </c>
      <c r="E274" s="2">
        <f>'[01_Entry.xlsx]Book'!O274</f>
        <v/>
      </c>
      <c r="F274" s="2">
        <f>'[01_Entry.xlsx]Book'!N274</f>
        <v/>
      </c>
      <c r="G274" s="3">
        <f>'[01_Entry.xlsx]Book'!L274</f>
        <v/>
      </c>
      <c r="H274" s="3">
        <f>'[01_Entry.xlsx]Book'!M274</f>
        <v/>
      </c>
      <c r="I274" s="3">
        <f>'[01_Entry.xlsx]Book'!K274</f>
        <v/>
      </c>
      <c r="J274" s="3">
        <f>'[01_Entry.xlsx]Book'!P274</f>
        <v/>
      </c>
      <c r="K274" s="3">
        <f>'[01_Entry.xlsx]Book'!F274</f>
        <v/>
      </c>
      <c r="L274" s="3">
        <f>'[01_Entry.xlsx]Book'!G274</f>
        <v/>
      </c>
      <c r="M274" s="3">
        <f>'[01_Entry.xlsx]Book'!I274</f>
        <v/>
      </c>
      <c r="N274" s="2">
        <f>IF($A274="","",MID($A274,6,2))</f>
        <v>0</v>
      </c>
      <c r="O274" s="2">
        <f>IF(OR($C274="",$C274&lt;&gt;'Inv'!$D$12),"",N(O$273)+1)</f>
        <v>0</v>
      </c>
    </row>
    <row r="275" spans="1:15">
      <c r="A275" s="2">
        <f>'[01_Entry.xlsx]Book'!A275</f>
        <v/>
      </c>
      <c r="B275" s="2">
        <f>'[01_Entry.xlsx]Book'!B275</f>
        <v/>
      </c>
      <c r="C275" s="2">
        <f>'[01_Entry.xlsx]Book'!D275</f>
        <v/>
      </c>
      <c r="D275" s="2">
        <f>'[01_Entry.xlsx]Book'!E275</f>
        <v/>
      </c>
      <c r="E275" s="2">
        <f>'[01_Entry.xlsx]Book'!O275</f>
        <v/>
      </c>
      <c r="F275" s="2">
        <f>'[01_Entry.xlsx]Book'!N275</f>
        <v/>
      </c>
      <c r="G275" s="3">
        <f>'[01_Entry.xlsx]Book'!L275</f>
        <v/>
      </c>
      <c r="H275" s="3">
        <f>'[01_Entry.xlsx]Book'!M275</f>
        <v/>
      </c>
      <c r="I275" s="3">
        <f>'[01_Entry.xlsx]Book'!K275</f>
        <v/>
      </c>
      <c r="J275" s="3">
        <f>'[01_Entry.xlsx]Book'!P275</f>
        <v/>
      </c>
      <c r="K275" s="3">
        <f>'[01_Entry.xlsx]Book'!F275</f>
        <v/>
      </c>
      <c r="L275" s="3">
        <f>'[01_Entry.xlsx]Book'!G275</f>
        <v/>
      </c>
      <c r="M275" s="3">
        <f>'[01_Entry.xlsx]Book'!I275</f>
        <v/>
      </c>
      <c r="N275" s="2">
        <f>IF($A275="","",MID($A275,6,2))</f>
        <v>0</v>
      </c>
      <c r="O275" s="2">
        <f>IF(OR($C275="",$C275&lt;&gt;'Inv'!$D$12),"",N(O$274)+1)</f>
        <v>0</v>
      </c>
    </row>
    <row r="276" spans="1:15">
      <c r="A276" s="2">
        <f>'[01_Entry.xlsx]Book'!A276</f>
        <v/>
      </c>
      <c r="B276" s="2">
        <f>'[01_Entry.xlsx]Book'!B276</f>
        <v/>
      </c>
      <c r="C276" s="2">
        <f>'[01_Entry.xlsx]Book'!D276</f>
        <v/>
      </c>
      <c r="D276" s="2">
        <f>'[01_Entry.xlsx]Book'!E276</f>
        <v/>
      </c>
      <c r="E276" s="2">
        <f>'[01_Entry.xlsx]Book'!O276</f>
        <v/>
      </c>
      <c r="F276" s="2">
        <f>'[01_Entry.xlsx]Book'!N276</f>
        <v/>
      </c>
      <c r="G276" s="3">
        <f>'[01_Entry.xlsx]Book'!L276</f>
        <v/>
      </c>
      <c r="H276" s="3">
        <f>'[01_Entry.xlsx]Book'!M276</f>
        <v/>
      </c>
      <c r="I276" s="3">
        <f>'[01_Entry.xlsx]Book'!K276</f>
        <v/>
      </c>
      <c r="J276" s="3">
        <f>'[01_Entry.xlsx]Book'!P276</f>
        <v/>
      </c>
      <c r="K276" s="3">
        <f>'[01_Entry.xlsx]Book'!F276</f>
        <v/>
      </c>
      <c r="L276" s="3">
        <f>'[01_Entry.xlsx]Book'!G276</f>
        <v/>
      </c>
      <c r="M276" s="3">
        <f>'[01_Entry.xlsx]Book'!I276</f>
        <v/>
      </c>
      <c r="N276" s="2">
        <f>IF($A276="","",MID($A276,6,2))</f>
        <v>0</v>
      </c>
      <c r="O276" s="2">
        <f>IF(OR($C276="",$C276&lt;&gt;'Inv'!$D$12),"",N(O$275)+1)</f>
        <v>0</v>
      </c>
    </row>
    <row r="277" spans="1:15">
      <c r="A277" s="2">
        <f>'[01_Entry.xlsx]Book'!A277</f>
        <v/>
      </c>
      <c r="B277" s="2">
        <f>'[01_Entry.xlsx]Book'!B277</f>
        <v/>
      </c>
      <c r="C277" s="2">
        <f>'[01_Entry.xlsx]Book'!D277</f>
        <v/>
      </c>
      <c r="D277" s="2">
        <f>'[01_Entry.xlsx]Book'!E277</f>
        <v/>
      </c>
      <c r="E277" s="2">
        <f>'[01_Entry.xlsx]Book'!O277</f>
        <v/>
      </c>
      <c r="F277" s="2">
        <f>'[01_Entry.xlsx]Book'!N277</f>
        <v/>
      </c>
      <c r="G277" s="3">
        <f>'[01_Entry.xlsx]Book'!L277</f>
        <v/>
      </c>
      <c r="H277" s="3">
        <f>'[01_Entry.xlsx]Book'!M277</f>
        <v/>
      </c>
      <c r="I277" s="3">
        <f>'[01_Entry.xlsx]Book'!K277</f>
        <v/>
      </c>
      <c r="J277" s="3">
        <f>'[01_Entry.xlsx]Book'!P277</f>
        <v/>
      </c>
      <c r="K277" s="3">
        <f>'[01_Entry.xlsx]Book'!F277</f>
        <v/>
      </c>
      <c r="L277" s="3">
        <f>'[01_Entry.xlsx]Book'!G277</f>
        <v/>
      </c>
      <c r="M277" s="3">
        <f>'[01_Entry.xlsx]Book'!I277</f>
        <v/>
      </c>
      <c r="N277" s="2">
        <f>IF($A277="","",MID($A277,6,2))</f>
        <v>0</v>
      </c>
      <c r="O277" s="2">
        <f>IF(OR($C277="",$C277&lt;&gt;'Inv'!$D$12),"",N(O$276)+1)</f>
        <v>0</v>
      </c>
    </row>
    <row r="278" spans="1:15">
      <c r="A278" s="2">
        <f>'[01_Entry.xlsx]Book'!A278</f>
        <v/>
      </c>
      <c r="B278" s="2">
        <f>'[01_Entry.xlsx]Book'!B278</f>
        <v/>
      </c>
      <c r="C278" s="2">
        <f>'[01_Entry.xlsx]Book'!D278</f>
        <v/>
      </c>
      <c r="D278" s="2">
        <f>'[01_Entry.xlsx]Book'!E278</f>
        <v/>
      </c>
      <c r="E278" s="2">
        <f>'[01_Entry.xlsx]Book'!O278</f>
        <v/>
      </c>
      <c r="F278" s="2">
        <f>'[01_Entry.xlsx]Book'!N278</f>
        <v/>
      </c>
      <c r="G278" s="3">
        <f>'[01_Entry.xlsx]Book'!L278</f>
        <v/>
      </c>
      <c r="H278" s="3">
        <f>'[01_Entry.xlsx]Book'!M278</f>
        <v/>
      </c>
      <c r="I278" s="3">
        <f>'[01_Entry.xlsx]Book'!K278</f>
        <v/>
      </c>
      <c r="J278" s="3">
        <f>'[01_Entry.xlsx]Book'!P278</f>
        <v/>
      </c>
      <c r="K278" s="3">
        <f>'[01_Entry.xlsx]Book'!F278</f>
        <v/>
      </c>
      <c r="L278" s="3">
        <f>'[01_Entry.xlsx]Book'!G278</f>
        <v/>
      </c>
      <c r="M278" s="3">
        <f>'[01_Entry.xlsx]Book'!I278</f>
        <v/>
      </c>
      <c r="N278" s="2">
        <f>IF($A278="","",MID($A278,6,2))</f>
        <v>0</v>
      </c>
      <c r="O278" s="2">
        <f>IF(OR($C278="",$C278&lt;&gt;'Inv'!$D$12),"",N(O$277)+1)</f>
        <v>0</v>
      </c>
    </row>
    <row r="279" spans="1:15">
      <c r="A279" s="2">
        <f>'[01_Entry.xlsx]Book'!A279</f>
        <v/>
      </c>
      <c r="B279" s="2">
        <f>'[01_Entry.xlsx]Book'!B279</f>
        <v/>
      </c>
      <c r="C279" s="2">
        <f>'[01_Entry.xlsx]Book'!D279</f>
        <v/>
      </c>
      <c r="D279" s="2">
        <f>'[01_Entry.xlsx]Book'!E279</f>
        <v/>
      </c>
      <c r="E279" s="2">
        <f>'[01_Entry.xlsx]Book'!O279</f>
        <v/>
      </c>
      <c r="F279" s="2">
        <f>'[01_Entry.xlsx]Book'!N279</f>
        <v/>
      </c>
      <c r="G279" s="3">
        <f>'[01_Entry.xlsx]Book'!L279</f>
        <v/>
      </c>
      <c r="H279" s="3">
        <f>'[01_Entry.xlsx]Book'!M279</f>
        <v/>
      </c>
      <c r="I279" s="3">
        <f>'[01_Entry.xlsx]Book'!K279</f>
        <v/>
      </c>
      <c r="J279" s="3">
        <f>'[01_Entry.xlsx]Book'!P279</f>
        <v/>
      </c>
      <c r="K279" s="3">
        <f>'[01_Entry.xlsx]Book'!F279</f>
        <v/>
      </c>
      <c r="L279" s="3">
        <f>'[01_Entry.xlsx]Book'!G279</f>
        <v/>
      </c>
      <c r="M279" s="3">
        <f>'[01_Entry.xlsx]Book'!I279</f>
        <v/>
      </c>
      <c r="N279" s="2">
        <f>IF($A279="","",MID($A279,6,2))</f>
        <v>0</v>
      </c>
      <c r="O279" s="2">
        <f>IF(OR($C279="",$C279&lt;&gt;'Inv'!$D$12),"",N(O$278)+1)</f>
        <v>0</v>
      </c>
    </row>
    <row r="280" spans="1:15">
      <c r="A280" s="2">
        <f>'[01_Entry.xlsx]Book'!A280</f>
        <v/>
      </c>
      <c r="B280" s="2">
        <f>'[01_Entry.xlsx]Book'!B280</f>
        <v/>
      </c>
      <c r="C280" s="2">
        <f>'[01_Entry.xlsx]Book'!D280</f>
        <v/>
      </c>
      <c r="D280" s="2">
        <f>'[01_Entry.xlsx]Book'!E280</f>
        <v/>
      </c>
      <c r="E280" s="2">
        <f>'[01_Entry.xlsx]Book'!O280</f>
        <v/>
      </c>
      <c r="F280" s="2">
        <f>'[01_Entry.xlsx]Book'!N280</f>
        <v/>
      </c>
      <c r="G280" s="3">
        <f>'[01_Entry.xlsx]Book'!L280</f>
        <v/>
      </c>
      <c r="H280" s="3">
        <f>'[01_Entry.xlsx]Book'!M280</f>
        <v/>
      </c>
      <c r="I280" s="3">
        <f>'[01_Entry.xlsx]Book'!K280</f>
        <v/>
      </c>
      <c r="J280" s="3">
        <f>'[01_Entry.xlsx]Book'!P280</f>
        <v/>
      </c>
      <c r="K280" s="3">
        <f>'[01_Entry.xlsx]Book'!F280</f>
        <v/>
      </c>
      <c r="L280" s="3">
        <f>'[01_Entry.xlsx]Book'!G280</f>
        <v/>
      </c>
      <c r="M280" s="3">
        <f>'[01_Entry.xlsx]Book'!I280</f>
        <v/>
      </c>
      <c r="N280" s="2">
        <f>IF($A280="","",MID($A280,6,2))</f>
        <v>0</v>
      </c>
      <c r="O280" s="2">
        <f>IF(OR($C280="",$C280&lt;&gt;'Inv'!$D$12),"",N(O$279)+1)</f>
        <v>0</v>
      </c>
    </row>
    <row r="281" spans="1:15">
      <c r="A281" s="2">
        <f>'[01_Entry.xlsx]Book'!A281</f>
        <v/>
      </c>
      <c r="B281" s="2">
        <f>'[01_Entry.xlsx]Book'!B281</f>
        <v/>
      </c>
      <c r="C281" s="2">
        <f>'[01_Entry.xlsx]Book'!D281</f>
        <v/>
      </c>
      <c r="D281" s="2">
        <f>'[01_Entry.xlsx]Book'!E281</f>
        <v/>
      </c>
      <c r="E281" s="2">
        <f>'[01_Entry.xlsx]Book'!O281</f>
        <v/>
      </c>
      <c r="F281" s="2">
        <f>'[01_Entry.xlsx]Book'!N281</f>
        <v/>
      </c>
      <c r="G281" s="3">
        <f>'[01_Entry.xlsx]Book'!L281</f>
        <v/>
      </c>
      <c r="H281" s="3">
        <f>'[01_Entry.xlsx]Book'!M281</f>
        <v/>
      </c>
      <c r="I281" s="3">
        <f>'[01_Entry.xlsx]Book'!K281</f>
        <v/>
      </c>
      <c r="J281" s="3">
        <f>'[01_Entry.xlsx]Book'!P281</f>
        <v/>
      </c>
      <c r="K281" s="3">
        <f>'[01_Entry.xlsx]Book'!F281</f>
        <v/>
      </c>
      <c r="L281" s="3">
        <f>'[01_Entry.xlsx]Book'!G281</f>
        <v/>
      </c>
      <c r="M281" s="3">
        <f>'[01_Entry.xlsx]Book'!I281</f>
        <v/>
      </c>
      <c r="N281" s="2">
        <f>IF($A281="","",MID($A281,6,2))</f>
        <v>0</v>
      </c>
      <c r="O281" s="2">
        <f>IF(OR($C281="",$C281&lt;&gt;'Inv'!$D$12),"",N(O$280)+1)</f>
        <v>0</v>
      </c>
    </row>
    <row r="282" spans="1:15">
      <c r="A282" s="2">
        <f>'[01_Entry.xlsx]Book'!A282</f>
        <v/>
      </c>
      <c r="B282" s="2">
        <f>'[01_Entry.xlsx]Book'!B282</f>
        <v/>
      </c>
      <c r="C282" s="2">
        <f>'[01_Entry.xlsx]Book'!D282</f>
        <v/>
      </c>
      <c r="D282" s="2">
        <f>'[01_Entry.xlsx]Book'!E282</f>
        <v/>
      </c>
      <c r="E282" s="2">
        <f>'[01_Entry.xlsx]Book'!O282</f>
        <v/>
      </c>
      <c r="F282" s="2">
        <f>'[01_Entry.xlsx]Book'!N282</f>
        <v/>
      </c>
      <c r="G282" s="3">
        <f>'[01_Entry.xlsx]Book'!L282</f>
        <v/>
      </c>
      <c r="H282" s="3">
        <f>'[01_Entry.xlsx]Book'!M282</f>
        <v/>
      </c>
      <c r="I282" s="3">
        <f>'[01_Entry.xlsx]Book'!K282</f>
        <v/>
      </c>
      <c r="J282" s="3">
        <f>'[01_Entry.xlsx]Book'!P282</f>
        <v/>
      </c>
      <c r="K282" s="3">
        <f>'[01_Entry.xlsx]Book'!F282</f>
        <v/>
      </c>
      <c r="L282" s="3">
        <f>'[01_Entry.xlsx]Book'!G282</f>
        <v/>
      </c>
      <c r="M282" s="3">
        <f>'[01_Entry.xlsx]Book'!I282</f>
        <v/>
      </c>
      <c r="N282" s="2">
        <f>IF($A282="","",MID($A282,6,2))</f>
        <v>0</v>
      </c>
      <c r="O282" s="2">
        <f>IF(OR($C282="",$C282&lt;&gt;'Inv'!$D$12),"",N(O$281)+1)</f>
        <v>0</v>
      </c>
    </row>
    <row r="283" spans="1:15">
      <c r="A283" s="2">
        <f>'[01_Entry.xlsx]Book'!A283</f>
        <v/>
      </c>
      <c r="B283" s="2">
        <f>'[01_Entry.xlsx]Book'!B283</f>
        <v/>
      </c>
      <c r="C283" s="2">
        <f>'[01_Entry.xlsx]Book'!D283</f>
        <v/>
      </c>
      <c r="D283" s="2">
        <f>'[01_Entry.xlsx]Book'!E283</f>
        <v/>
      </c>
      <c r="E283" s="2">
        <f>'[01_Entry.xlsx]Book'!O283</f>
        <v/>
      </c>
      <c r="F283" s="2">
        <f>'[01_Entry.xlsx]Book'!N283</f>
        <v/>
      </c>
      <c r="G283" s="3">
        <f>'[01_Entry.xlsx]Book'!L283</f>
        <v/>
      </c>
      <c r="H283" s="3">
        <f>'[01_Entry.xlsx]Book'!M283</f>
        <v/>
      </c>
      <c r="I283" s="3">
        <f>'[01_Entry.xlsx]Book'!K283</f>
        <v/>
      </c>
      <c r="J283" s="3">
        <f>'[01_Entry.xlsx]Book'!P283</f>
        <v/>
      </c>
      <c r="K283" s="3">
        <f>'[01_Entry.xlsx]Book'!F283</f>
        <v/>
      </c>
      <c r="L283" s="3">
        <f>'[01_Entry.xlsx]Book'!G283</f>
        <v/>
      </c>
      <c r="M283" s="3">
        <f>'[01_Entry.xlsx]Book'!I283</f>
        <v/>
      </c>
      <c r="N283" s="2">
        <f>IF($A283="","",MID($A283,6,2))</f>
        <v>0</v>
      </c>
      <c r="O283" s="2">
        <f>IF(OR($C283="",$C283&lt;&gt;'Inv'!$D$12),"",N(O$282)+1)</f>
        <v>0</v>
      </c>
    </row>
    <row r="284" spans="1:15">
      <c r="A284" s="2">
        <f>'[01_Entry.xlsx]Book'!A284</f>
        <v/>
      </c>
      <c r="B284" s="2">
        <f>'[01_Entry.xlsx]Book'!B284</f>
        <v/>
      </c>
      <c r="C284" s="2">
        <f>'[01_Entry.xlsx]Book'!D284</f>
        <v/>
      </c>
      <c r="D284" s="2">
        <f>'[01_Entry.xlsx]Book'!E284</f>
        <v/>
      </c>
      <c r="E284" s="2">
        <f>'[01_Entry.xlsx]Book'!O284</f>
        <v/>
      </c>
      <c r="F284" s="2">
        <f>'[01_Entry.xlsx]Book'!N284</f>
        <v/>
      </c>
      <c r="G284" s="3">
        <f>'[01_Entry.xlsx]Book'!L284</f>
        <v/>
      </c>
      <c r="H284" s="3">
        <f>'[01_Entry.xlsx]Book'!M284</f>
        <v/>
      </c>
      <c r="I284" s="3">
        <f>'[01_Entry.xlsx]Book'!K284</f>
        <v/>
      </c>
      <c r="J284" s="3">
        <f>'[01_Entry.xlsx]Book'!P284</f>
        <v/>
      </c>
      <c r="K284" s="3">
        <f>'[01_Entry.xlsx]Book'!F284</f>
        <v/>
      </c>
      <c r="L284" s="3">
        <f>'[01_Entry.xlsx]Book'!G284</f>
        <v/>
      </c>
      <c r="M284" s="3">
        <f>'[01_Entry.xlsx]Book'!I284</f>
        <v/>
      </c>
      <c r="N284" s="2">
        <f>IF($A284="","",MID($A284,6,2))</f>
        <v>0</v>
      </c>
      <c r="O284" s="2">
        <f>IF(OR($C284="",$C284&lt;&gt;'Inv'!$D$12),"",N(O$283)+1)</f>
        <v>0</v>
      </c>
    </row>
    <row r="285" spans="1:15">
      <c r="A285" s="2">
        <f>'[01_Entry.xlsx]Book'!A285</f>
        <v/>
      </c>
      <c r="B285" s="2">
        <f>'[01_Entry.xlsx]Book'!B285</f>
        <v/>
      </c>
      <c r="C285" s="2">
        <f>'[01_Entry.xlsx]Book'!D285</f>
        <v/>
      </c>
      <c r="D285" s="2">
        <f>'[01_Entry.xlsx]Book'!E285</f>
        <v/>
      </c>
      <c r="E285" s="2">
        <f>'[01_Entry.xlsx]Book'!O285</f>
        <v/>
      </c>
      <c r="F285" s="2">
        <f>'[01_Entry.xlsx]Book'!N285</f>
        <v/>
      </c>
      <c r="G285" s="3">
        <f>'[01_Entry.xlsx]Book'!L285</f>
        <v/>
      </c>
      <c r="H285" s="3">
        <f>'[01_Entry.xlsx]Book'!M285</f>
        <v/>
      </c>
      <c r="I285" s="3">
        <f>'[01_Entry.xlsx]Book'!K285</f>
        <v/>
      </c>
      <c r="J285" s="3">
        <f>'[01_Entry.xlsx]Book'!P285</f>
        <v/>
      </c>
      <c r="K285" s="3">
        <f>'[01_Entry.xlsx]Book'!F285</f>
        <v/>
      </c>
      <c r="L285" s="3">
        <f>'[01_Entry.xlsx]Book'!G285</f>
        <v/>
      </c>
      <c r="M285" s="3">
        <f>'[01_Entry.xlsx]Book'!I285</f>
        <v/>
      </c>
      <c r="N285" s="2">
        <f>IF($A285="","",MID($A285,6,2))</f>
        <v>0</v>
      </c>
      <c r="O285" s="2">
        <f>IF(OR($C285="",$C285&lt;&gt;'Inv'!$D$12),"",N(O$284)+1)</f>
        <v>0</v>
      </c>
    </row>
    <row r="286" spans="1:15">
      <c r="A286" s="2">
        <f>'[01_Entry.xlsx]Book'!A286</f>
        <v/>
      </c>
      <c r="B286" s="2">
        <f>'[01_Entry.xlsx]Book'!B286</f>
        <v/>
      </c>
      <c r="C286" s="2">
        <f>'[01_Entry.xlsx]Book'!D286</f>
        <v/>
      </c>
      <c r="D286" s="2">
        <f>'[01_Entry.xlsx]Book'!E286</f>
        <v/>
      </c>
      <c r="E286" s="2">
        <f>'[01_Entry.xlsx]Book'!O286</f>
        <v/>
      </c>
      <c r="F286" s="2">
        <f>'[01_Entry.xlsx]Book'!N286</f>
        <v/>
      </c>
      <c r="G286" s="3">
        <f>'[01_Entry.xlsx]Book'!L286</f>
        <v/>
      </c>
      <c r="H286" s="3">
        <f>'[01_Entry.xlsx]Book'!M286</f>
        <v/>
      </c>
      <c r="I286" s="3">
        <f>'[01_Entry.xlsx]Book'!K286</f>
        <v/>
      </c>
      <c r="J286" s="3">
        <f>'[01_Entry.xlsx]Book'!P286</f>
        <v/>
      </c>
      <c r="K286" s="3">
        <f>'[01_Entry.xlsx]Book'!F286</f>
        <v/>
      </c>
      <c r="L286" s="3">
        <f>'[01_Entry.xlsx]Book'!G286</f>
        <v/>
      </c>
      <c r="M286" s="3">
        <f>'[01_Entry.xlsx]Book'!I286</f>
        <v/>
      </c>
      <c r="N286" s="2">
        <f>IF($A286="","",MID($A286,6,2))</f>
        <v>0</v>
      </c>
      <c r="O286" s="2">
        <f>IF(OR($C286="",$C286&lt;&gt;'Inv'!$D$12),"",N(O$285)+1)</f>
        <v>0</v>
      </c>
    </row>
    <row r="287" spans="1:15">
      <c r="A287" s="2">
        <f>'[01_Entry.xlsx]Book'!A287</f>
        <v/>
      </c>
      <c r="B287" s="2">
        <f>'[01_Entry.xlsx]Book'!B287</f>
        <v/>
      </c>
      <c r="C287" s="2">
        <f>'[01_Entry.xlsx]Book'!D287</f>
        <v/>
      </c>
      <c r="D287" s="2">
        <f>'[01_Entry.xlsx]Book'!E287</f>
        <v/>
      </c>
      <c r="E287" s="2">
        <f>'[01_Entry.xlsx]Book'!O287</f>
        <v/>
      </c>
      <c r="F287" s="2">
        <f>'[01_Entry.xlsx]Book'!N287</f>
        <v/>
      </c>
      <c r="G287" s="3">
        <f>'[01_Entry.xlsx]Book'!L287</f>
        <v/>
      </c>
      <c r="H287" s="3">
        <f>'[01_Entry.xlsx]Book'!M287</f>
        <v/>
      </c>
      <c r="I287" s="3">
        <f>'[01_Entry.xlsx]Book'!K287</f>
        <v/>
      </c>
      <c r="J287" s="3">
        <f>'[01_Entry.xlsx]Book'!P287</f>
        <v/>
      </c>
      <c r="K287" s="3">
        <f>'[01_Entry.xlsx]Book'!F287</f>
        <v/>
      </c>
      <c r="L287" s="3">
        <f>'[01_Entry.xlsx]Book'!G287</f>
        <v/>
      </c>
      <c r="M287" s="3">
        <f>'[01_Entry.xlsx]Book'!I287</f>
        <v/>
      </c>
      <c r="N287" s="2">
        <f>IF($A287="","",MID($A287,6,2))</f>
        <v>0</v>
      </c>
      <c r="O287" s="2">
        <f>IF(OR($C287="",$C287&lt;&gt;'Inv'!$D$12),"",N(O$286)+1)</f>
        <v>0</v>
      </c>
    </row>
    <row r="288" spans="1:15">
      <c r="A288" s="2">
        <f>'[01_Entry.xlsx]Book'!A288</f>
        <v/>
      </c>
      <c r="B288" s="2">
        <f>'[01_Entry.xlsx]Book'!B288</f>
        <v/>
      </c>
      <c r="C288" s="2">
        <f>'[01_Entry.xlsx]Book'!D288</f>
        <v/>
      </c>
      <c r="D288" s="2">
        <f>'[01_Entry.xlsx]Book'!E288</f>
        <v/>
      </c>
      <c r="E288" s="2">
        <f>'[01_Entry.xlsx]Book'!O288</f>
        <v/>
      </c>
      <c r="F288" s="2">
        <f>'[01_Entry.xlsx]Book'!N288</f>
        <v/>
      </c>
      <c r="G288" s="3">
        <f>'[01_Entry.xlsx]Book'!L288</f>
        <v/>
      </c>
      <c r="H288" s="3">
        <f>'[01_Entry.xlsx]Book'!M288</f>
        <v/>
      </c>
      <c r="I288" s="3">
        <f>'[01_Entry.xlsx]Book'!K288</f>
        <v/>
      </c>
      <c r="J288" s="3">
        <f>'[01_Entry.xlsx]Book'!P288</f>
        <v/>
      </c>
      <c r="K288" s="3">
        <f>'[01_Entry.xlsx]Book'!F288</f>
        <v/>
      </c>
      <c r="L288" s="3">
        <f>'[01_Entry.xlsx]Book'!G288</f>
        <v/>
      </c>
      <c r="M288" s="3">
        <f>'[01_Entry.xlsx]Book'!I288</f>
        <v/>
      </c>
      <c r="N288" s="2">
        <f>IF($A288="","",MID($A288,6,2))</f>
        <v>0</v>
      </c>
      <c r="O288" s="2">
        <f>IF(OR($C288="",$C288&lt;&gt;'Inv'!$D$12),"",N(O$287)+1)</f>
        <v>0</v>
      </c>
    </row>
    <row r="289" spans="1:15">
      <c r="A289" s="2">
        <f>'[01_Entry.xlsx]Book'!A289</f>
        <v/>
      </c>
      <c r="B289" s="2">
        <f>'[01_Entry.xlsx]Book'!B289</f>
        <v/>
      </c>
      <c r="C289" s="2">
        <f>'[01_Entry.xlsx]Book'!D289</f>
        <v/>
      </c>
      <c r="D289" s="2">
        <f>'[01_Entry.xlsx]Book'!E289</f>
        <v/>
      </c>
      <c r="E289" s="2">
        <f>'[01_Entry.xlsx]Book'!O289</f>
        <v/>
      </c>
      <c r="F289" s="2">
        <f>'[01_Entry.xlsx]Book'!N289</f>
        <v/>
      </c>
      <c r="G289" s="3">
        <f>'[01_Entry.xlsx]Book'!L289</f>
        <v/>
      </c>
      <c r="H289" s="3">
        <f>'[01_Entry.xlsx]Book'!M289</f>
        <v/>
      </c>
      <c r="I289" s="3">
        <f>'[01_Entry.xlsx]Book'!K289</f>
        <v/>
      </c>
      <c r="J289" s="3">
        <f>'[01_Entry.xlsx]Book'!P289</f>
        <v/>
      </c>
      <c r="K289" s="3">
        <f>'[01_Entry.xlsx]Book'!F289</f>
        <v/>
      </c>
      <c r="L289" s="3">
        <f>'[01_Entry.xlsx]Book'!G289</f>
        <v/>
      </c>
      <c r="M289" s="3">
        <f>'[01_Entry.xlsx]Book'!I289</f>
        <v/>
      </c>
      <c r="N289" s="2">
        <f>IF($A289="","",MID($A289,6,2))</f>
        <v>0</v>
      </c>
      <c r="O289" s="2">
        <f>IF(OR($C289="",$C289&lt;&gt;'Inv'!$D$12),"",N(O$288)+1)</f>
        <v>0</v>
      </c>
    </row>
    <row r="290" spans="1:15">
      <c r="A290" s="2">
        <f>'[01_Entry.xlsx]Book'!A290</f>
        <v/>
      </c>
      <c r="B290" s="2">
        <f>'[01_Entry.xlsx]Book'!B290</f>
        <v/>
      </c>
      <c r="C290" s="2">
        <f>'[01_Entry.xlsx]Book'!D290</f>
        <v/>
      </c>
      <c r="D290" s="2">
        <f>'[01_Entry.xlsx]Book'!E290</f>
        <v/>
      </c>
      <c r="E290" s="2">
        <f>'[01_Entry.xlsx]Book'!O290</f>
        <v/>
      </c>
      <c r="F290" s="2">
        <f>'[01_Entry.xlsx]Book'!N290</f>
        <v/>
      </c>
      <c r="G290" s="3">
        <f>'[01_Entry.xlsx]Book'!L290</f>
        <v/>
      </c>
      <c r="H290" s="3">
        <f>'[01_Entry.xlsx]Book'!M290</f>
        <v/>
      </c>
      <c r="I290" s="3">
        <f>'[01_Entry.xlsx]Book'!K290</f>
        <v/>
      </c>
      <c r="J290" s="3">
        <f>'[01_Entry.xlsx]Book'!P290</f>
        <v/>
      </c>
      <c r="K290" s="3">
        <f>'[01_Entry.xlsx]Book'!F290</f>
        <v/>
      </c>
      <c r="L290" s="3">
        <f>'[01_Entry.xlsx]Book'!G290</f>
        <v/>
      </c>
      <c r="M290" s="3">
        <f>'[01_Entry.xlsx]Book'!I290</f>
        <v/>
      </c>
      <c r="N290" s="2">
        <f>IF($A290="","",MID($A290,6,2))</f>
        <v>0</v>
      </c>
      <c r="O290" s="2">
        <f>IF(OR($C290="",$C290&lt;&gt;'Inv'!$D$12),"",N(O$289)+1)</f>
        <v>0</v>
      </c>
    </row>
    <row r="291" spans="1:15">
      <c r="A291" s="2">
        <f>'[01_Entry.xlsx]Book'!A291</f>
        <v/>
      </c>
      <c r="B291" s="2">
        <f>'[01_Entry.xlsx]Book'!B291</f>
        <v/>
      </c>
      <c r="C291" s="2">
        <f>'[01_Entry.xlsx]Book'!D291</f>
        <v/>
      </c>
      <c r="D291" s="2">
        <f>'[01_Entry.xlsx]Book'!E291</f>
        <v/>
      </c>
      <c r="E291" s="2">
        <f>'[01_Entry.xlsx]Book'!O291</f>
        <v/>
      </c>
      <c r="F291" s="2">
        <f>'[01_Entry.xlsx]Book'!N291</f>
        <v/>
      </c>
      <c r="G291" s="3">
        <f>'[01_Entry.xlsx]Book'!L291</f>
        <v/>
      </c>
      <c r="H291" s="3">
        <f>'[01_Entry.xlsx]Book'!M291</f>
        <v/>
      </c>
      <c r="I291" s="3">
        <f>'[01_Entry.xlsx]Book'!K291</f>
        <v/>
      </c>
      <c r="J291" s="3">
        <f>'[01_Entry.xlsx]Book'!P291</f>
        <v/>
      </c>
      <c r="K291" s="3">
        <f>'[01_Entry.xlsx]Book'!F291</f>
        <v/>
      </c>
      <c r="L291" s="3">
        <f>'[01_Entry.xlsx]Book'!G291</f>
        <v/>
      </c>
      <c r="M291" s="3">
        <f>'[01_Entry.xlsx]Book'!I291</f>
        <v/>
      </c>
      <c r="N291" s="2">
        <f>IF($A291="","",MID($A291,6,2))</f>
        <v>0</v>
      </c>
      <c r="O291" s="2">
        <f>IF(OR($C291="",$C291&lt;&gt;'Inv'!$D$12),"",N(O$290)+1)</f>
        <v>0</v>
      </c>
    </row>
    <row r="292" spans="1:15">
      <c r="A292" s="2">
        <f>'[01_Entry.xlsx]Book'!A292</f>
        <v/>
      </c>
      <c r="B292" s="2">
        <f>'[01_Entry.xlsx]Book'!B292</f>
        <v/>
      </c>
      <c r="C292" s="2">
        <f>'[01_Entry.xlsx]Book'!D292</f>
        <v/>
      </c>
      <c r="D292" s="2">
        <f>'[01_Entry.xlsx]Book'!E292</f>
        <v/>
      </c>
      <c r="E292" s="2">
        <f>'[01_Entry.xlsx]Book'!O292</f>
        <v/>
      </c>
      <c r="F292" s="2">
        <f>'[01_Entry.xlsx]Book'!N292</f>
        <v/>
      </c>
      <c r="G292" s="3">
        <f>'[01_Entry.xlsx]Book'!L292</f>
        <v/>
      </c>
      <c r="H292" s="3">
        <f>'[01_Entry.xlsx]Book'!M292</f>
        <v/>
      </c>
      <c r="I292" s="3">
        <f>'[01_Entry.xlsx]Book'!K292</f>
        <v/>
      </c>
      <c r="J292" s="3">
        <f>'[01_Entry.xlsx]Book'!P292</f>
        <v/>
      </c>
      <c r="K292" s="3">
        <f>'[01_Entry.xlsx]Book'!F292</f>
        <v/>
      </c>
      <c r="L292" s="3">
        <f>'[01_Entry.xlsx]Book'!G292</f>
        <v/>
      </c>
      <c r="M292" s="3">
        <f>'[01_Entry.xlsx]Book'!I292</f>
        <v/>
      </c>
      <c r="N292" s="2">
        <f>IF($A292="","",MID($A292,6,2))</f>
        <v>0</v>
      </c>
      <c r="O292" s="2">
        <f>IF(OR($C292="",$C292&lt;&gt;'Inv'!$D$12),"",N(O$291)+1)</f>
        <v>0</v>
      </c>
    </row>
    <row r="293" spans="1:15">
      <c r="A293" s="2">
        <f>'[01_Entry.xlsx]Book'!A293</f>
        <v/>
      </c>
      <c r="B293" s="2">
        <f>'[01_Entry.xlsx]Book'!B293</f>
        <v/>
      </c>
      <c r="C293" s="2">
        <f>'[01_Entry.xlsx]Book'!D293</f>
        <v/>
      </c>
      <c r="D293" s="2">
        <f>'[01_Entry.xlsx]Book'!E293</f>
        <v/>
      </c>
      <c r="E293" s="2">
        <f>'[01_Entry.xlsx]Book'!O293</f>
        <v/>
      </c>
      <c r="F293" s="2">
        <f>'[01_Entry.xlsx]Book'!N293</f>
        <v/>
      </c>
      <c r="G293" s="3">
        <f>'[01_Entry.xlsx]Book'!L293</f>
        <v/>
      </c>
      <c r="H293" s="3">
        <f>'[01_Entry.xlsx]Book'!M293</f>
        <v/>
      </c>
      <c r="I293" s="3">
        <f>'[01_Entry.xlsx]Book'!K293</f>
        <v/>
      </c>
      <c r="J293" s="3">
        <f>'[01_Entry.xlsx]Book'!P293</f>
        <v/>
      </c>
      <c r="K293" s="3">
        <f>'[01_Entry.xlsx]Book'!F293</f>
        <v/>
      </c>
      <c r="L293" s="3">
        <f>'[01_Entry.xlsx]Book'!G293</f>
        <v/>
      </c>
      <c r="M293" s="3">
        <f>'[01_Entry.xlsx]Book'!I293</f>
        <v/>
      </c>
      <c r="N293" s="2">
        <f>IF($A293="","",MID($A293,6,2))</f>
        <v>0</v>
      </c>
      <c r="O293" s="2">
        <f>IF(OR($C293="",$C293&lt;&gt;'Inv'!$D$12),"",N(O$292)+1)</f>
        <v>0</v>
      </c>
    </row>
    <row r="294" spans="1:15">
      <c r="A294" s="2">
        <f>'[01_Entry.xlsx]Book'!A294</f>
        <v/>
      </c>
      <c r="B294" s="2">
        <f>'[01_Entry.xlsx]Book'!B294</f>
        <v/>
      </c>
      <c r="C294" s="2">
        <f>'[01_Entry.xlsx]Book'!D294</f>
        <v/>
      </c>
      <c r="D294" s="2">
        <f>'[01_Entry.xlsx]Book'!E294</f>
        <v/>
      </c>
      <c r="E294" s="2">
        <f>'[01_Entry.xlsx]Book'!O294</f>
        <v/>
      </c>
      <c r="F294" s="2">
        <f>'[01_Entry.xlsx]Book'!N294</f>
        <v/>
      </c>
      <c r="G294" s="3">
        <f>'[01_Entry.xlsx]Book'!L294</f>
        <v/>
      </c>
      <c r="H294" s="3">
        <f>'[01_Entry.xlsx]Book'!M294</f>
        <v/>
      </c>
      <c r="I294" s="3">
        <f>'[01_Entry.xlsx]Book'!K294</f>
        <v/>
      </c>
      <c r="J294" s="3">
        <f>'[01_Entry.xlsx]Book'!P294</f>
        <v/>
      </c>
      <c r="K294" s="3">
        <f>'[01_Entry.xlsx]Book'!F294</f>
        <v/>
      </c>
      <c r="L294" s="3">
        <f>'[01_Entry.xlsx]Book'!G294</f>
        <v/>
      </c>
      <c r="M294" s="3">
        <f>'[01_Entry.xlsx]Book'!I294</f>
        <v/>
      </c>
      <c r="N294" s="2">
        <f>IF($A294="","",MID($A294,6,2))</f>
        <v>0</v>
      </c>
      <c r="O294" s="2">
        <f>IF(OR($C294="",$C294&lt;&gt;'Inv'!$D$12),"",N(O$293)+1)</f>
        <v>0</v>
      </c>
    </row>
    <row r="295" spans="1:15">
      <c r="A295" s="2">
        <f>'[01_Entry.xlsx]Book'!A295</f>
        <v/>
      </c>
      <c r="B295" s="2">
        <f>'[01_Entry.xlsx]Book'!B295</f>
        <v/>
      </c>
      <c r="C295" s="2">
        <f>'[01_Entry.xlsx]Book'!D295</f>
        <v/>
      </c>
      <c r="D295" s="2">
        <f>'[01_Entry.xlsx]Book'!E295</f>
        <v/>
      </c>
      <c r="E295" s="2">
        <f>'[01_Entry.xlsx]Book'!O295</f>
        <v/>
      </c>
      <c r="F295" s="2">
        <f>'[01_Entry.xlsx]Book'!N295</f>
        <v/>
      </c>
      <c r="G295" s="3">
        <f>'[01_Entry.xlsx]Book'!L295</f>
        <v/>
      </c>
      <c r="H295" s="3">
        <f>'[01_Entry.xlsx]Book'!M295</f>
        <v/>
      </c>
      <c r="I295" s="3">
        <f>'[01_Entry.xlsx]Book'!K295</f>
        <v/>
      </c>
      <c r="J295" s="3">
        <f>'[01_Entry.xlsx]Book'!P295</f>
        <v/>
      </c>
      <c r="K295" s="3">
        <f>'[01_Entry.xlsx]Book'!F295</f>
        <v/>
      </c>
      <c r="L295" s="3">
        <f>'[01_Entry.xlsx]Book'!G295</f>
        <v/>
      </c>
      <c r="M295" s="3">
        <f>'[01_Entry.xlsx]Book'!I295</f>
        <v/>
      </c>
      <c r="N295" s="2">
        <f>IF($A295="","",MID($A295,6,2))</f>
        <v>0</v>
      </c>
      <c r="O295" s="2">
        <f>IF(OR($C295="",$C295&lt;&gt;'Inv'!$D$12),"",N(O$294)+1)</f>
        <v>0</v>
      </c>
    </row>
    <row r="296" spans="1:15">
      <c r="A296" s="2">
        <f>'[01_Entry.xlsx]Book'!A296</f>
        <v/>
      </c>
      <c r="B296" s="2">
        <f>'[01_Entry.xlsx]Book'!B296</f>
        <v/>
      </c>
      <c r="C296" s="2">
        <f>'[01_Entry.xlsx]Book'!D296</f>
        <v/>
      </c>
      <c r="D296" s="2">
        <f>'[01_Entry.xlsx]Book'!E296</f>
        <v/>
      </c>
      <c r="E296" s="2">
        <f>'[01_Entry.xlsx]Book'!O296</f>
        <v/>
      </c>
      <c r="F296" s="2">
        <f>'[01_Entry.xlsx]Book'!N296</f>
        <v/>
      </c>
      <c r="G296" s="3">
        <f>'[01_Entry.xlsx]Book'!L296</f>
        <v/>
      </c>
      <c r="H296" s="3">
        <f>'[01_Entry.xlsx]Book'!M296</f>
        <v/>
      </c>
      <c r="I296" s="3">
        <f>'[01_Entry.xlsx]Book'!K296</f>
        <v/>
      </c>
      <c r="J296" s="3">
        <f>'[01_Entry.xlsx]Book'!P296</f>
        <v/>
      </c>
      <c r="K296" s="3">
        <f>'[01_Entry.xlsx]Book'!F296</f>
        <v/>
      </c>
      <c r="L296" s="3">
        <f>'[01_Entry.xlsx]Book'!G296</f>
        <v/>
      </c>
      <c r="M296" s="3">
        <f>'[01_Entry.xlsx]Book'!I296</f>
        <v/>
      </c>
      <c r="N296" s="2">
        <f>IF($A296="","",MID($A296,6,2))</f>
        <v>0</v>
      </c>
      <c r="O296" s="2">
        <f>IF(OR($C296="",$C296&lt;&gt;'Inv'!$D$12),"",N(O$295)+1)</f>
        <v>0</v>
      </c>
    </row>
    <row r="297" spans="1:15">
      <c r="A297" s="2">
        <f>'[01_Entry.xlsx]Book'!A297</f>
        <v/>
      </c>
      <c r="B297" s="2">
        <f>'[01_Entry.xlsx]Book'!B297</f>
        <v/>
      </c>
      <c r="C297" s="2">
        <f>'[01_Entry.xlsx]Book'!D297</f>
        <v/>
      </c>
      <c r="D297" s="2">
        <f>'[01_Entry.xlsx]Book'!E297</f>
        <v/>
      </c>
      <c r="E297" s="2">
        <f>'[01_Entry.xlsx]Book'!O297</f>
        <v/>
      </c>
      <c r="F297" s="2">
        <f>'[01_Entry.xlsx]Book'!N297</f>
        <v/>
      </c>
      <c r="G297" s="3">
        <f>'[01_Entry.xlsx]Book'!L297</f>
        <v/>
      </c>
      <c r="H297" s="3">
        <f>'[01_Entry.xlsx]Book'!M297</f>
        <v/>
      </c>
      <c r="I297" s="3">
        <f>'[01_Entry.xlsx]Book'!K297</f>
        <v/>
      </c>
      <c r="J297" s="3">
        <f>'[01_Entry.xlsx]Book'!P297</f>
        <v/>
      </c>
      <c r="K297" s="3">
        <f>'[01_Entry.xlsx]Book'!F297</f>
        <v/>
      </c>
      <c r="L297" s="3">
        <f>'[01_Entry.xlsx]Book'!G297</f>
        <v/>
      </c>
      <c r="M297" s="3">
        <f>'[01_Entry.xlsx]Book'!I297</f>
        <v/>
      </c>
      <c r="N297" s="2">
        <f>IF($A297="","",MID($A297,6,2))</f>
        <v>0</v>
      </c>
      <c r="O297" s="2">
        <f>IF(OR($C297="",$C297&lt;&gt;'Inv'!$D$12),"",N(O$296)+1)</f>
        <v>0</v>
      </c>
    </row>
    <row r="298" spans="1:15">
      <c r="A298" s="2">
        <f>'[01_Entry.xlsx]Book'!A298</f>
        <v/>
      </c>
      <c r="B298" s="2">
        <f>'[01_Entry.xlsx]Book'!B298</f>
        <v/>
      </c>
      <c r="C298" s="2">
        <f>'[01_Entry.xlsx]Book'!D298</f>
        <v/>
      </c>
      <c r="D298" s="2">
        <f>'[01_Entry.xlsx]Book'!E298</f>
        <v/>
      </c>
      <c r="E298" s="2">
        <f>'[01_Entry.xlsx]Book'!O298</f>
        <v/>
      </c>
      <c r="F298" s="2">
        <f>'[01_Entry.xlsx]Book'!N298</f>
        <v/>
      </c>
      <c r="G298" s="3">
        <f>'[01_Entry.xlsx]Book'!L298</f>
        <v/>
      </c>
      <c r="H298" s="3">
        <f>'[01_Entry.xlsx]Book'!M298</f>
        <v/>
      </c>
      <c r="I298" s="3">
        <f>'[01_Entry.xlsx]Book'!K298</f>
        <v/>
      </c>
      <c r="J298" s="3">
        <f>'[01_Entry.xlsx]Book'!P298</f>
        <v/>
      </c>
      <c r="K298" s="3">
        <f>'[01_Entry.xlsx]Book'!F298</f>
        <v/>
      </c>
      <c r="L298" s="3">
        <f>'[01_Entry.xlsx]Book'!G298</f>
        <v/>
      </c>
      <c r="M298" s="3">
        <f>'[01_Entry.xlsx]Book'!I298</f>
        <v/>
      </c>
      <c r="N298" s="2">
        <f>IF($A298="","",MID($A298,6,2))</f>
        <v>0</v>
      </c>
      <c r="O298" s="2">
        <f>IF(OR($C298="",$C298&lt;&gt;'Inv'!$D$12),"",N(O$297)+1)</f>
        <v>0</v>
      </c>
    </row>
    <row r="299" spans="1:15">
      <c r="A299" s="2">
        <f>'[01_Entry.xlsx]Book'!A299</f>
        <v/>
      </c>
      <c r="B299" s="2">
        <f>'[01_Entry.xlsx]Book'!B299</f>
        <v/>
      </c>
      <c r="C299" s="2">
        <f>'[01_Entry.xlsx]Book'!D299</f>
        <v/>
      </c>
      <c r="D299" s="2">
        <f>'[01_Entry.xlsx]Book'!E299</f>
        <v/>
      </c>
      <c r="E299" s="2">
        <f>'[01_Entry.xlsx]Book'!O299</f>
        <v/>
      </c>
      <c r="F299" s="2">
        <f>'[01_Entry.xlsx]Book'!N299</f>
        <v/>
      </c>
      <c r="G299" s="3">
        <f>'[01_Entry.xlsx]Book'!L299</f>
        <v/>
      </c>
      <c r="H299" s="3">
        <f>'[01_Entry.xlsx]Book'!M299</f>
        <v/>
      </c>
      <c r="I299" s="3">
        <f>'[01_Entry.xlsx]Book'!K299</f>
        <v/>
      </c>
      <c r="J299" s="3">
        <f>'[01_Entry.xlsx]Book'!P299</f>
        <v/>
      </c>
      <c r="K299" s="3">
        <f>'[01_Entry.xlsx]Book'!F299</f>
        <v/>
      </c>
      <c r="L299" s="3">
        <f>'[01_Entry.xlsx]Book'!G299</f>
        <v/>
      </c>
      <c r="M299" s="3">
        <f>'[01_Entry.xlsx]Book'!I299</f>
        <v/>
      </c>
      <c r="N299" s="2">
        <f>IF($A299="","",MID($A299,6,2))</f>
        <v>0</v>
      </c>
      <c r="O299" s="2">
        <f>IF(OR($C299="",$C299&lt;&gt;'Inv'!$D$12),"",N(O$298)+1)</f>
        <v>0</v>
      </c>
    </row>
    <row r="300" spans="1:15">
      <c r="A300" s="2">
        <f>'[01_Entry.xlsx]Book'!A300</f>
        <v/>
      </c>
      <c r="B300" s="2">
        <f>'[01_Entry.xlsx]Book'!B300</f>
        <v/>
      </c>
      <c r="C300" s="2">
        <f>'[01_Entry.xlsx]Book'!D300</f>
        <v/>
      </c>
      <c r="D300" s="2">
        <f>'[01_Entry.xlsx]Book'!E300</f>
        <v/>
      </c>
      <c r="E300" s="2">
        <f>'[01_Entry.xlsx]Book'!O300</f>
        <v/>
      </c>
      <c r="F300" s="2">
        <f>'[01_Entry.xlsx]Book'!N300</f>
        <v/>
      </c>
      <c r="G300" s="3">
        <f>'[01_Entry.xlsx]Book'!L300</f>
        <v/>
      </c>
      <c r="H300" s="3">
        <f>'[01_Entry.xlsx]Book'!M300</f>
        <v/>
      </c>
      <c r="I300" s="3">
        <f>'[01_Entry.xlsx]Book'!K300</f>
        <v/>
      </c>
      <c r="J300" s="3">
        <f>'[01_Entry.xlsx]Book'!P300</f>
        <v/>
      </c>
      <c r="K300" s="3">
        <f>'[01_Entry.xlsx]Book'!F300</f>
        <v/>
      </c>
      <c r="L300" s="3">
        <f>'[01_Entry.xlsx]Book'!G300</f>
        <v/>
      </c>
      <c r="M300" s="3">
        <f>'[01_Entry.xlsx]Book'!I300</f>
        <v/>
      </c>
      <c r="N300" s="2">
        <f>IF($A300="","",MID($A300,6,2))</f>
        <v>0</v>
      </c>
      <c r="O300" s="2">
        <f>IF(OR($C300="",$C300&lt;&gt;'Inv'!$D$12),"",N(O$299)+1)</f>
        <v>0</v>
      </c>
    </row>
    <row r="301" spans="1:15">
      <c r="A301" s="2">
        <f>'[01_Entry.xlsx]Book'!A301</f>
        <v/>
      </c>
      <c r="B301" s="2">
        <f>'[01_Entry.xlsx]Book'!B301</f>
        <v/>
      </c>
      <c r="C301" s="2">
        <f>'[01_Entry.xlsx]Book'!D301</f>
        <v/>
      </c>
      <c r="D301" s="2">
        <f>'[01_Entry.xlsx]Book'!E301</f>
        <v/>
      </c>
      <c r="E301" s="2">
        <f>'[01_Entry.xlsx]Book'!O301</f>
        <v/>
      </c>
      <c r="F301" s="2">
        <f>'[01_Entry.xlsx]Book'!N301</f>
        <v/>
      </c>
      <c r="G301" s="3">
        <f>'[01_Entry.xlsx]Book'!L301</f>
        <v/>
      </c>
      <c r="H301" s="3">
        <f>'[01_Entry.xlsx]Book'!M301</f>
        <v/>
      </c>
      <c r="I301" s="3">
        <f>'[01_Entry.xlsx]Book'!K301</f>
        <v/>
      </c>
      <c r="J301" s="3">
        <f>'[01_Entry.xlsx]Book'!P301</f>
        <v/>
      </c>
      <c r="K301" s="3">
        <f>'[01_Entry.xlsx]Book'!F301</f>
        <v/>
      </c>
      <c r="L301" s="3">
        <f>'[01_Entry.xlsx]Book'!G301</f>
        <v/>
      </c>
      <c r="M301" s="3">
        <f>'[01_Entry.xlsx]Book'!I301</f>
        <v/>
      </c>
      <c r="N301" s="2">
        <f>IF($A301="","",MID($A301,6,2))</f>
        <v>0</v>
      </c>
      <c r="O301" s="2">
        <f>IF(OR($C301="",$C301&lt;&gt;'Inv'!$D$12),"",N(O$300)+1)</f>
        <v>0</v>
      </c>
    </row>
    <row r="302" spans="1:15">
      <c r="A302" s="2">
        <f>'[01_Entry.xlsx]Book'!A302</f>
        <v/>
      </c>
      <c r="B302" s="2">
        <f>'[01_Entry.xlsx]Book'!B302</f>
        <v/>
      </c>
      <c r="C302" s="2">
        <f>'[01_Entry.xlsx]Book'!D302</f>
        <v/>
      </c>
      <c r="D302" s="2">
        <f>'[01_Entry.xlsx]Book'!E302</f>
        <v/>
      </c>
      <c r="E302" s="2">
        <f>'[01_Entry.xlsx]Book'!O302</f>
        <v/>
      </c>
      <c r="F302" s="2">
        <f>'[01_Entry.xlsx]Book'!N302</f>
        <v/>
      </c>
      <c r="G302" s="3">
        <f>'[01_Entry.xlsx]Book'!L302</f>
        <v/>
      </c>
      <c r="H302" s="3">
        <f>'[01_Entry.xlsx]Book'!M302</f>
        <v/>
      </c>
      <c r="I302" s="3">
        <f>'[01_Entry.xlsx]Book'!K302</f>
        <v/>
      </c>
      <c r="J302" s="3">
        <f>'[01_Entry.xlsx]Book'!P302</f>
        <v/>
      </c>
      <c r="K302" s="3">
        <f>'[01_Entry.xlsx]Book'!F302</f>
        <v/>
      </c>
      <c r="L302" s="3">
        <f>'[01_Entry.xlsx]Book'!G302</f>
        <v/>
      </c>
      <c r="M302" s="3">
        <f>'[01_Entry.xlsx]Book'!I302</f>
        <v/>
      </c>
      <c r="N302" s="2">
        <f>IF($A302="","",MID($A302,6,2))</f>
        <v>0</v>
      </c>
      <c r="O302" s="2">
        <f>IF(OR($C302="",$C302&lt;&gt;'Inv'!$D$12),"",N(O$301)+1)</f>
        <v>0</v>
      </c>
    </row>
    <row r="303" spans="1:15">
      <c r="A303" s="2">
        <f>'[01_Entry.xlsx]Book'!A303</f>
        <v/>
      </c>
      <c r="B303" s="2">
        <f>'[01_Entry.xlsx]Book'!B303</f>
        <v/>
      </c>
      <c r="C303" s="2">
        <f>'[01_Entry.xlsx]Book'!D303</f>
        <v/>
      </c>
      <c r="D303" s="2">
        <f>'[01_Entry.xlsx]Book'!E303</f>
        <v/>
      </c>
      <c r="E303" s="2">
        <f>'[01_Entry.xlsx]Book'!O303</f>
        <v/>
      </c>
      <c r="F303" s="2">
        <f>'[01_Entry.xlsx]Book'!N303</f>
        <v/>
      </c>
      <c r="G303" s="3">
        <f>'[01_Entry.xlsx]Book'!L303</f>
        <v/>
      </c>
      <c r="H303" s="3">
        <f>'[01_Entry.xlsx]Book'!M303</f>
        <v/>
      </c>
      <c r="I303" s="3">
        <f>'[01_Entry.xlsx]Book'!K303</f>
        <v/>
      </c>
      <c r="J303" s="3">
        <f>'[01_Entry.xlsx]Book'!P303</f>
        <v/>
      </c>
      <c r="K303" s="3">
        <f>'[01_Entry.xlsx]Book'!F303</f>
        <v/>
      </c>
      <c r="L303" s="3">
        <f>'[01_Entry.xlsx]Book'!G303</f>
        <v/>
      </c>
      <c r="M303" s="3">
        <f>'[01_Entry.xlsx]Book'!I303</f>
        <v/>
      </c>
      <c r="N303" s="2">
        <f>IF($A303="","",MID($A303,6,2))</f>
        <v>0</v>
      </c>
      <c r="O303" s="2">
        <f>IF(OR($C303="",$C303&lt;&gt;'Inv'!$D$12),"",N(O$302)+1)</f>
        <v>0</v>
      </c>
    </row>
    <row r="304" spans="1:15">
      <c r="A304" s="2">
        <f>'[01_Entry.xlsx]Book'!A304</f>
        <v/>
      </c>
      <c r="B304" s="2">
        <f>'[01_Entry.xlsx]Book'!B304</f>
        <v/>
      </c>
      <c r="C304" s="2">
        <f>'[01_Entry.xlsx]Book'!D304</f>
        <v/>
      </c>
      <c r="D304" s="2">
        <f>'[01_Entry.xlsx]Book'!E304</f>
        <v/>
      </c>
      <c r="E304" s="2">
        <f>'[01_Entry.xlsx]Book'!O304</f>
        <v/>
      </c>
      <c r="F304" s="2">
        <f>'[01_Entry.xlsx]Book'!N304</f>
        <v/>
      </c>
      <c r="G304" s="3">
        <f>'[01_Entry.xlsx]Book'!L304</f>
        <v/>
      </c>
      <c r="H304" s="3">
        <f>'[01_Entry.xlsx]Book'!M304</f>
        <v/>
      </c>
      <c r="I304" s="3">
        <f>'[01_Entry.xlsx]Book'!K304</f>
        <v/>
      </c>
      <c r="J304" s="3">
        <f>'[01_Entry.xlsx]Book'!P304</f>
        <v/>
      </c>
      <c r="K304" s="3">
        <f>'[01_Entry.xlsx]Book'!F304</f>
        <v/>
      </c>
      <c r="L304" s="3">
        <f>'[01_Entry.xlsx]Book'!G304</f>
        <v/>
      </c>
      <c r="M304" s="3">
        <f>'[01_Entry.xlsx]Book'!I304</f>
        <v/>
      </c>
      <c r="N304" s="2">
        <f>IF($A304="","",MID($A304,6,2))</f>
        <v>0</v>
      </c>
      <c r="O304" s="2">
        <f>IF(OR($C304="",$C304&lt;&gt;'Inv'!$D$12),"",N(O$303)+1)</f>
        <v>0</v>
      </c>
    </row>
    <row r="305" spans="1:15">
      <c r="A305" s="2">
        <f>'[01_Entry.xlsx]Book'!A305</f>
        <v/>
      </c>
      <c r="B305" s="2">
        <f>'[01_Entry.xlsx]Book'!B305</f>
        <v/>
      </c>
      <c r="C305" s="2">
        <f>'[01_Entry.xlsx]Book'!D305</f>
        <v/>
      </c>
      <c r="D305" s="2">
        <f>'[01_Entry.xlsx]Book'!E305</f>
        <v/>
      </c>
      <c r="E305" s="2">
        <f>'[01_Entry.xlsx]Book'!O305</f>
        <v/>
      </c>
      <c r="F305" s="2">
        <f>'[01_Entry.xlsx]Book'!N305</f>
        <v/>
      </c>
      <c r="G305" s="3">
        <f>'[01_Entry.xlsx]Book'!L305</f>
        <v/>
      </c>
      <c r="H305" s="3">
        <f>'[01_Entry.xlsx]Book'!M305</f>
        <v/>
      </c>
      <c r="I305" s="3">
        <f>'[01_Entry.xlsx]Book'!K305</f>
        <v/>
      </c>
      <c r="J305" s="3">
        <f>'[01_Entry.xlsx]Book'!P305</f>
        <v/>
      </c>
      <c r="K305" s="3">
        <f>'[01_Entry.xlsx]Book'!F305</f>
        <v/>
      </c>
      <c r="L305" s="3">
        <f>'[01_Entry.xlsx]Book'!G305</f>
        <v/>
      </c>
      <c r="M305" s="3">
        <f>'[01_Entry.xlsx]Book'!I305</f>
        <v/>
      </c>
      <c r="N305" s="2">
        <f>IF($A305="","",MID($A305,6,2))</f>
        <v>0</v>
      </c>
      <c r="O305" s="2">
        <f>IF(OR($C305="",$C305&lt;&gt;'Inv'!$D$12),"",N(O$304)+1)</f>
        <v>0</v>
      </c>
    </row>
    <row r="306" spans="1:15">
      <c r="A306" s="2">
        <f>'[01_Entry.xlsx]Book'!A306</f>
        <v/>
      </c>
      <c r="B306" s="2">
        <f>'[01_Entry.xlsx]Book'!B306</f>
        <v/>
      </c>
      <c r="C306" s="2">
        <f>'[01_Entry.xlsx]Book'!D306</f>
        <v/>
      </c>
      <c r="D306" s="2">
        <f>'[01_Entry.xlsx]Book'!E306</f>
        <v/>
      </c>
      <c r="E306" s="2">
        <f>'[01_Entry.xlsx]Book'!O306</f>
        <v/>
      </c>
      <c r="F306" s="2">
        <f>'[01_Entry.xlsx]Book'!N306</f>
        <v/>
      </c>
      <c r="G306" s="3">
        <f>'[01_Entry.xlsx]Book'!L306</f>
        <v/>
      </c>
      <c r="H306" s="3">
        <f>'[01_Entry.xlsx]Book'!M306</f>
        <v/>
      </c>
      <c r="I306" s="3">
        <f>'[01_Entry.xlsx]Book'!K306</f>
        <v/>
      </c>
      <c r="J306" s="3">
        <f>'[01_Entry.xlsx]Book'!P306</f>
        <v/>
      </c>
      <c r="K306" s="3">
        <f>'[01_Entry.xlsx]Book'!F306</f>
        <v/>
      </c>
      <c r="L306" s="3">
        <f>'[01_Entry.xlsx]Book'!G306</f>
        <v/>
      </c>
      <c r="M306" s="3">
        <f>'[01_Entry.xlsx]Book'!I306</f>
        <v/>
      </c>
      <c r="N306" s="2">
        <f>IF($A306="","",MID($A306,6,2))</f>
        <v>0</v>
      </c>
      <c r="O306" s="2">
        <f>IF(OR($C306="",$C306&lt;&gt;'Inv'!$D$12),"",N(O$305)+1)</f>
        <v>0</v>
      </c>
    </row>
    <row r="307" spans="1:15">
      <c r="A307" s="2">
        <f>'[01_Entry.xlsx]Book'!A307</f>
        <v/>
      </c>
      <c r="B307" s="2">
        <f>'[01_Entry.xlsx]Book'!B307</f>
        <v/>
      </c>
      <c r="C307" s="2">
        <f>'[01_Entry.xlsx]Book'!D307</f>
        <v/>
      </c>
      <c r="D307" s="2">
        <f>'[01_Entry.xlsx]Book'!E307</f>
        <v/>
      </c>
      <c r="E307" s="2">
        <f>'[01_Entry.xlsx]Book'!O307</f>
        <v/>
      </c>
      <c r="F307" s="2">
        <f>'[01_Entry.xlsx]Book'!N307</f>
        <v/>
      </c>
      <c r="G307" s="3">
        <f>'[01_Entry.xlsx]Book'!L307</f>
        <v/>
      </c>
      <c r="H307" s="3">
        <f>'[01_Entry.xlsx]Book'!M307</f>
        <v/>
      </c>
      <c r="I307" s="3">
        <f>'[01_Entry.xlsx]Book'!K307</f>
        <v/>
      </c>
      <c r="J307" s="3">
        <f>'[01_Entry.xlsx]Book'!P307</f>
        <v/>
      </c>
      <c r="K307" s="3">
        <f>'[01_Entry.xlsx]Book'!F307</f>
        <v/>
      </c>
      <c r="L307" s="3">
        <f>'[01_Entry.xlsx]Book'!G307</f>
        <v/>
      </c>
      <c r="M307" s="3">
        <f>'[01_Entry.xlsx]Book'!I307</f>
        <v/>
      </c>
      <c r="N307" s="2">
        <f>IF($A307="","",MID($A307,6,2))</f>
        <v>0</v>
      </c>
      <c r="O307" s="2">
        <f>IF(OR($C307="",$C307&lt;&gt;'Inv'!$D$12),"",N(O$306)+1)</f>
        <v>0</v>
      </c>
    </row>
    <row r="308" spans="1:15">
      <c r="A308" s="2">
        <f>'[01_Entry.xlsx]Book'!A308</f>
        <v/>
      </c>
      <c r="B308" s="2">
        <f>'[01_Entry.xlsx]Book'!B308</f>
        <v/>
      </c>
      <c r="C308" s="2">
        <f>'[01_Entry.xlsx]Book'!D308</f>
        <v/>
      </c>
      <c r="D308" s="2">
        <f>'[01_Entry.xlsx]Book'!E308</f>
        <v/>
      </c>
      <c r="E308" s="2">
        <f>'[01_Entry.xlsx]Book'!O308</f>
        <v/>
      </c>
      <c r="F308" s="2">
        <f>'[01_Entry.xlsx]Book'!N308</f>
        <v/>
      </c>
      <c r="G308" s="3">
        <f>'[01_Entry.xlsx]Book'!L308</f>
        <v/>
      </c>
      <c r="H308" s="3">
        <f>'[01_Entry.xlsx]Book'!M308</f>
        <v/>
      </c>
      <c r="I308" s="3">
        <f>'[01_Entry.xlsx]Book'!K308</f>
        <v/>
      </c>
      <c r="J308" s="3">
        <f>'[01_Entry.xlsx]Book'!P308</f>
        <v/>
      </c>
      <c r="K308" s="3">
        <f>'[01_Entry.xlsx]Book'!F308</f>
        <v/>
      </c>
      <c r="L308" s="3">
        <f>'[01_Entry.xlsx]Book'!G308</f>
        <v/>
      </c>
      <c r="M308" s="3">
        <f>'[01_Entry.xlsx]Book'!I308</f>
        <v/>
      </c>
      <c r="N308" s="2">
        <f>IF($A308="","",MID($A308,6,2))</f>
        <v>0</v>
      </c>
      <c r="O308" s="2">
        <f>IF(OR($C308="",$C308&lt;&gt;'Inv'!$D$12),"",N(O$307)+1)</f>
        <v>0</v>
      </c>
    </row>
    <row r="309" spans="1:15">
      <c r="A309" s="2">
        <f>'[01_Entry.xlsx]Book'!A309</f>
        <v/>
      </c>
      <c r="B309" s="2">
        <f>'[01_Entry.xlsx]Book'!B309</f>
        <v/>
      </c>
      <c r="C309" s="2">
        <f>'[01_Entry.xlsx]Book'!D309</f>
        <v/>
      </c>
      <c r="D309" s="2">
        <f>'[01_Entry.xlsx]Book'!E309</f>
        <v/>
      </c>
      <c r="E309" s="2">
        <f>'[01_Entry.xlsx]Book'!O309</f>
        <v/>
      </c>
      <c r="F309" s="2">
        <f>'[01_Entry.xlsx]Book'!N309</f>
        <v/>
      </c>
      <c r="G309" s="3">
        <f>'[01_Entry.xlsx]Book'!L309</f>
        <v/>
      </c>
      <c r="H309" s="3">
        <f>'[01_Entry.xlsx]Book'!M309</f>
        <v/>
      </c>
      <c r="I309" s="3">
        <f>'[01_Entry.xlsx]Book'!K309</f>
        <v/>
      </c>
      <c r="J309" s="3">
        <f>'[01_Entry.xlsx]Book'!P309</f>
        <v/>
      </c>
      <c r="K309" s="3">
        <f>'[01_Entry.xlsx]Book'!F309</f>
        <v/>
      </c>
      <c r="L309" s="3">
        <f>'[01_Entry.xlsx]Book'!G309</f>
        <v/>
      </c>
      <c r="M309" s="3">
        <f>'[01_Entry.xlsx]Book'!I309</f>
        <v/>
      </c>
      <c r="N309" s="2">
        <f>IF($A309="","",MID($A309,6,2))</f>
        <v>0</v>
      </c>
      <c r="O309" s="2">
        <f>IF(OR($C309="",$C309&lt;&gt;'Inv'!$D$12),"",N(O$308)+1)</f>
        <v>0</v>
      </c>
    </row>
    <row r="310" spans="1:15">
      <c r="A310" s="2">
        <f>'[01_Entry.xlsx]Book'!A310</f>
        <v/>
      </c>
      <c r="B310" s="2">
        <f>'[01_Entry.xlsx]Book'!B310</f>
        <v/>
      </c>
      <c r="C310" s="2">
        <f>'[01_Entry.xlsx]Book'!D310</f>
        <v/>
      </c>
      <c r="D310" s="2">
        <f>'[01_Entry.xlsx]Book'!E310</f>
        <v/>
      </c>
      <c r="E310" s="2">
        <f>'[01_Entry.xlsx]Book'!O310</f>
        <v/>
      </c>
      <c r="F310" s="2">
        <f>'[01_Entry.xlsx]Book'!N310</f>
        <v/>
      </c>
      <c r="G310" s="3">
        <f>'[01_Entry.xlsx]Book'!L310</f>
        <v/>
      </c>
      <c r="H310" s="3">
        <f>'[01_Entry.xlsx]Book'!M310</f>
        <v/>
      </c>
      <c r="I310" s="3">
        <f>'[01_Entry.xlsx]Book'!K310</f>
        <v/>
      </c>
      <c r="J310" s="3">
        <f>'[01_Entry.xlsx]Book'!P310</f>
        <v/>
      </c>
      <c r="K310" s="3">
        <f>'[01_Entry.xlsx]Book'!F310</f>
        <v/>
      </c>
      <c r="L310" s="3">
        <f>'[01_Entry.xlsx]Book'!G310</f>
        <v/>
      </c>
      <c r="M310" s="3">
        <f>'[01_Entry.xlsx]Book'!I310</f>
        <v/>
      </c>
      <c r="N310" s="2">
        <f>IF($A310="","",MID($A310,6,2))</f>
        <v>0</v>
      </c>
      <c r="O310" s="2">
        <f>IF(OR($C310="",$C310&lt;&gt;'Inv'!$D$12),"",N(O$309)+1)</f>
        <v>0</v>
      </c>
    </row>
    <row r="311" spans="1:15">
      <c r="A311" s="2">
        <f>'[01_Entry.xlsx]Book'!A311</f>
        <v/>
      </c>
      <c r="B311" s="2">
        <f>'[01_Entry.xlsx]Book'!B311</f>
        <v/>
      </c>
      <c r="C311" s="2">
        <f>'[01_Entry.xlsx]Book'!D311</f>
        <v/>
      </c>
      <c r="D311" s="2">
        <f>'[01_Entry.xlsx]Book'!E311</f>
        <v/>
      </c>
      <c r="E311" s="2">
        <f>'[01_Entry.xlsx]Book'!O311</f>
        <v/>
      </c>
      <c r="F311" s="2">
        <f>'[01_Entry.xlsx]Book'!N311</f>
        <v/>
      </c>
      <c r="G311" s="3">
        <f>'[01_Entry.xlsx]Book'!L311</f>
        <v/>
      </c>
      <c r="H311" s="3">
        <f>'[01_Entry.xlsx]Book'!M311</f>
        <v/>
      </c>
      <c r="I311" s="3">
        <f>'[01_Entry.xlsx]Book'!K311</f>
        <v/>
      </c>
      <c r="J311" s="3">
        <f>'[01_Entry.xlsx]Book'!P311</f>
        <v/>
      </c>
      <c r="K311" s="3">
        <f>'[01_Entry.xlsx]Book'!F311</f>
        <v/>
      </c>
      <c r="L311" s="3">
        <f>'[01_Entry.xlsx]Book'!G311</f>
        <v/>
      </c>
      <c r="M311" s="3">
        <f>'[01_Entry.xlsx]Book'!I311</f>
        <v/>
      </c>
      <c r="N311" s="2">
        <f>IF($A311="","",MID($A311,6,2))</f>
        <v>0</v>
      </c>
      <c r="O311" s="2">
        <f>IF(OR($C311="",$C311&lt;&gt;'Inv'!$D$12),"",N(O$310)+1)</f>
        <v>0</v>
      </c>
    </row>
    <row r="312" spans="1:15">
      <c r="A312" s="2">
        <f>'[01_Entry.xlsx]Book'!A312</f>
        <v/>
      </c>
      <c r="B312" s="2">
        <f>'[01_Entry.xlsx]Book'!B312</f>
        <v/>
      </c>
      <c r="C312" s="2">
        <f>'[01_Entry.xlsx]Book'!D312</f>
        <v/>
      </c>
      <c r="D312" s="2">
        <f>'[01_Entry.xlsx]Book'!E312</f>
        <v/>
      </c>
      <c r="E312" s="2">
        <f>'[01_Entry.xlsx]Book'!O312</f>
        <v/>
      </c>
      <c r="F312" s="2">
        <f>'[01_Entry.xlsx]Book'!N312</f>
        <v/>
      </c>
      <c r="G312" s="3">
        <f>'[01_Entry.xlsx]Book'!L312</f>
        <v/>
      </c>
      <c r="H312" s="3">
        <f>'[01_Entry.xlsx]Book'!M312</f>
        <v/>
      </c>
      <c r="I312" s="3">
        <f>'[01_Entry.xlsx]Book'!K312</f>
        <v/>
      </c>
      <c r="J312" s="3">
        <f>'[01_Entry.xlsx]Book'!P312</f>
        <v/>
      </c>
      <c r="K312" s="3">
        <f>'[01_Entry.xlsx]Book'!F312</f>
        <v/>
      </c>
      <c r="L312" s="3">
        <f>'[01_Entry.xlsx]Book'!G312</f>
        <v/>
      </c>
      <c r="M312" s="3">
        <f>'[01_Entry.xlsx]Book'!I312</f>
        <v/>
      </c>
      <c r="N312" s="2">
        <f>IF($A312="","",MID($A312,6,2))</f>
        <v>0</v>
      </c>
      <c r="O312" s="2">
        <f>IF(OR($C312="",$C312&lt;&gt;'Inv'!$D$12),"",N(O$311)+1)</f>
        <v>0</v>
      </c>
    </row>
    <row r="313" spans="1:15">
      <c r="A313" s="2">
        <f>'[01_Entry.xlsx]Book'!A313</f>
        <v/>
      </c>
      <c r="B313" s="2">
        <f>'[01_Entry.xlsx]Book'!B313</f>
        <v/>
      </c>
      <c r="C313" s="2">
        <f>'[01_Entry.xlsx]Book'!D313</f>
        <v/>
      </c>
      <c r="D313" s="2">
        <f>'[01_Entry.xlsx]Book'!E313</f>
        <v/>
      </c>
      <c r="E313" s="2">
        <f>'[01_Entry.xlsx]Book'!O313</f>
        <v/>
      </c>
      <c r="F313" s="2">
        <f>'[01_Entry.xlsx]Book'!N313</f>
        <v/>
      </c>
      <c r="G313" s="3">
        <f>'[01_Entry.xlsx]Book'!L313</f>
        <v/>
      </c>
      <c r="H313" s="3">
        <f>'[01_Entry.xlsx]Book'!M313</f>
        <v/>
      </c>
      <c r="I313" s="3">
        <f>'[01_Entry.xlsx]Book'!K313</f>
        <v/>
      </c>
      <c r="J313" s="3">
        <f>'[01_Entry.xlsx]Book'!P313</f>
        <v/>
      </c>
      <c r="K313" s="3">
        <f>'[01_Entry.xlsx]Book'!F313</f>
        <v/>
      </c>
      <c r="L313" s="3">
        <f>'[01_Entry.xlsx]Book'!G313</f>
        <v/>
      </c>
      <c r="M313" s="3">
        <f>'[01_Entry.xlsx]Book'!I313</f>
        <v/>
      </c>
      <c r="N313" s="2">
        <f>IF($A313="","",MID($A313,6,2))</f>
        <v>0</v>
      </c>
      <c r="O313" s="2">
        <f>IF(OR($C313="",$C313&lt;&gt;'Inv'!$D$12),"",N(O$312)+1)</f>
        <v>0</v>
      </c>
    </row>
    <row r="314" spans="1:15">
      <c r="A314" s="2">
        <f>'[01_Entry.xlsx]Book'!A314</f>
        <v/>
      </c>
      <c r="B314" s="2">
        <f>'[01_Entry.xlsx]Book'!B314</f>
        <v/>
      </c>
      <c r="C314" s="2">
        <f>'[01_Entry.xlsx]Book'!D314</f>
        <v/>
      </c>
      <c r="D314" s="2">
        <f>'[01_Entry.xlsx]Book'!E314</f>
        <v/>
      </c>
      <c r="E314" s="2">
        <f>'[01_Entry.xlsx]Book'!O314</f>
        <v/>
      </c>
      <c r="F314" s="2">
        <f>'[01_Entry.xlsx]Book'!N314</f>
        <v/>
      </c>
      <c r="G314" s="3">
        <f>'[01_Entry.xlsx]Book'!L314</f>
        <v/>
      </c>
      <c r="H314" s="3">
        <f>'[01_Entry.xlsx]Book'!M314</f>
        <v/>
      </c>
      <c r="I314" s="3">
        <f>'[01_Entry.xlsx]Book'!K314</f>
        <v/>
      </c>
      <c r="J314" s="3">
        <f>'[01_Entry.xlsx]Book'!P314</f>
        <v/>
      </c>
      <c r="K314" s="3">
        <f>'[01_Entry.xlsx]Book'!F314</f>
        <v/>
      </c>
      <c r="L314" s="3">
        <f>'[01_Entry.xlsx]Book'!G314</f>
        <v/>
      </c>
      <c r="M314" s="3">
        <f>'[01_Entry.xlsx]Book'!I314</f>
        <v/>
      </c>
      <c r="N314" s="2">
        <f>IF($A314="","",MID($A314,6,2))</f>
        <v>0</v>
      </c>
      <c r="O314" s="2">
        <f>IF(OR($C314="",$C314&lt;&gt;'Inv'!$D$12),"",N(O$313)+1)</f>
        <v>0</v>
      </c>
    </row>
    <row r="315" spans="1:15">
      <c r="A315" s="2">
        <f>'[01_Entry.xlsx]Book'!A315</f>
        <v/>
      </c>
      <c r="B315" s="2">
        <f>'[01_Entry.xlsx]Book'!B315</f>
        <v/>
      </c>
      <c r="C315" s="2">
        <f>'[01_Entry.xlsx]Book'!D315</f>
        <v/>
      </c>
      <c r="D315" s="2">
        <f>'[01_Entry.xlsx]Book'!E315</f>
        <v/>
      </c>
      <c r="E315" s="2">
        <f>'[01_Entry.xlsx]Book'!O315</f>
        <v/>
      </c>
      <c r="F315" s="2">
        <f>'[01_Entry.xlsx]Book'!N315</f>
        <v/>
      </c>
      <c r="G315" s="3">
        <f>'[01_Entry.xlsx]Book'!L315</f>
        <v/>
      </c>
      <c r="H315" s="3">
        <f>'[01_Entry.xlsx]Book'!M315</f>
        <v/>
      </c>
      <c r="I315" s="3">
        <f>'[01_Entry.xlsx]Book'!K315</f>
        <v/>
      </c>
      <c r="J315" s="3">
        <f>'[01_Entry.xlsx]Book'!P315</f>
        <v/>
      </c>
      <c r="K315" s="3">
        <f>'[01_Entry.xlsx]Book'!F315</f>
        <v/>
      </c>
      <c r="L315" s="3">
        <f>'[01_Entry.xlsx]Book'!G315</f>
        <v/>
      </c>
      <c r="M315" s="3">
        <f>'[01_Entry.xlsx]Book'!I315</f>
        <v/>
      </c>
      <c r="N315" s="2">
        <f>IF($A315="","",MID($A315,6,2))</f>
        <v>0</v>
      </c>
      <c r="O315" s="2">
        <f>IF(OR($C315="",$C315&lt;&gt;'Inv'!$D$12),"",N(O$314)+1)</f>
        <v>0</v>
      </c>
    </row>
    <row r="316" spans="1:15">
      <c r="A316" s="2">
        <f>'[01_Entry.xlsx]Book'!A316</f>
        <v/>
      </c>
      <c r="B316" s="2">
        <f>'[01_Entry.xlsx]Book'!B316</f>
        <v/>
      </c>
      <c r="C316" s="2">
        <f>'[01_Entry.xlsx]Book'!D316</f>
        <v/>
      </c>
      <c r="D316" s="2">
        <f>'[01_Entry.xlsx]Book'!E316</f>
        <v/>
      </c>
      <c r="E316" s="2">
        <f>'[01_Entry.xlsx]Book'!O316</f>
        <v/>
      </c>
      <c r="F316" s="2">
        <f>'[01_Entry.xlsx]Book'!N316</f>
        <v/>
      </c>
      <c r="G316" s="3">
        <f>'[01_Entry.xlsx]Book'!L316</f>
        <v/>
      </c>
      <c r="H316" s="3">
        <f>'[01_Entry.xlsx]Book'!M316</f>
        <v/>
      </c>
      <c r="I316" s="3">
        <f>'[01_Entry.xlsx]Book'!K316</f>
        <v/>
      </c>
      <c r="J316" s="3">
        <f>'[01_Entry.xlsx]Book'!P316</f>
        <v/>
      </c>
      <c r="K316" s="3">
        <f>'[01_Entry.xlsx]Book'!F316</f>
        <v/>
      </c>
      <c r="L316" s="3">
        <f>'[01_Entry.xlsx]Book'!G316</f>
        <v/>
      </c>
      <c r="M316" s="3">
        <f>'[01_Entry.xlsx]Book'!I316</f>
        <v/>
      </c>
      <c r="N316" s="2">
        <f>IF($A316="","",MID($A316,6,2))</f>
        <v>0</v>
      </c>
      <c r="O316" s="2">
        <f>IF(OR($C316="",$C316&lt;&gt;'Inv'!$D$12),"",N(O$315)+1)</f>
        <v>0</v>
      </c>
    </row>
    <row r="317" spans="1:15">
      <c r="A317" s="2">
        <f>'[01_Entry.xlsx]Book'!A317</f>
        <v/>
      </c>
      <c r="B317" s="2">
        <f>'[01_Entry.xlsx]Book'!B317</f>
        <v/>
      </c>
      <c r="C317" s="2">
        <f>'[01_Entry.xlsx]Book'!D317</f>
        <v/>
      </c>
      <c r="D317" s="2">
        <f>'[01_Entry.xlsx]Book'!E317</f>
        <v/>
      </c>
      <c r="E317" s="2">
        <f>'[01_Entry.xlsx]Book'!O317</f>
        <v/>
      </c>
      <c r="F317" s="2">
        <f>'[01_Entry.xlsx]Book'!N317</f>
        <v/>
      </c>
      <c r="G317" s="3">
        <f>'[01_Entry.xlsx]Book'!L317</f>
        <v/>
      </c>
      <c r="H317" s="3">
        <f>'[01_Entry.xlsx]Book'!M317</f>
        <v/>
      </c>
      <c r="I317" s="3">
        <f>'[01_Entry.xlsx]Book'!K317</f>
        <v/>
      </c>
      <c r="J317" s="3">
        <f>'[01_Entry.xlsx]Book'!P317</f>
        <v/>
      </c>
      <c r="K317" s="3">
        <f>'[01_Entry.xlsx]Book'!F317</f>
        <v/>
      </c>
      <c r="L317" s="3">
        <f>'[01_Entry.xlsx]Book'!G317</f>
        <v/>
      </c>
      <c r="M317" s="3">
        <f>'[01_Entry.xlsx]Book'!I317</f>
        <v/>
      </c>
      <c r="N317" s="2">
        <f>IF($A317="","",MID($A317,6,2))</f>
        <v>0</v>
      </c>
      <c r="O317" s="2">
        <f>IF(OR($C317="",$C317&lt;&gt;'Inv'!$D$12),"",N(O$316)+1)</f>
        <v>0</v>
      </c>
    </row>
    <row r="318" spans="1:15">
      <c r="A318" s="2">
        <f>'[01_Entry.xlsx]Book'!A318</f>
        <v/>
      </c>
      <c r="B318" s="2">
        <f>'[01_Entry.xlsx]Book'!B318</f>
        <v/>
      </c>
      <c r="C318" s="2">
        <f>'[01_Entry.xlsx]Book'!D318</f>
        <v/>
      </c>
      <c r="D318" s="2">
        <f>'[01_Entry.xlsx]Book'!E318</f>
        <v/>
      </c>
      <c r="E318" s="2">
        <f>'[01_Entry.xlsx]Book'!O318</f>
        <v/>
      </c>
      <c r="F318" s="2">
        <f>'[01_Entry.xlsx]Book'!N318</f>
        <v/>
      </c>
      <c r="G318" s="3">
        <f>'[01_Entry.xlsx]Book'!L318</f>
        <v/>
      </c>
      <c r="H318" s="3">
        <f>'[01_Entry.xlsx]Book'!M318</f>
        <v/>
      </c>
      <c r="I318" s="3">
        <f>'[01_Entry.xlsx]Book'!K318</f>
        <v/>
      </c>
      <c r="J318" s="3">
        <f>'[01_Entry.xlsx]Book'!P318</f>
        <v/>
      </c>
      <c r="K318" s="3">
        <f>'[01_Entry.xlsx]Book'!F318</f>
        <v/>
      </c>
      <c r="L318" s="3">
        <f>'[01_Entry.xlsx]Book'!G318</f>
        <v/>
      </c>
      <c r="M318" s="3">
        <f>'[01_Entry.xlsx]Book'!I318</f>
        <v/>
      </c>
      <c r="N318" s="2">
        <f>IF($A318="","",MID($A318,6,2))</f>
        <v>0</v>
      </c>
      <c r="O318" s="2">
        <f>IF(OR($C318="",$C318&lt;&gt;'Inv'!$D$12),"",N(O$317)+1)</f>
        <v>0</v>
      </c>
    </row>
    <row r="319" spans="1:15">
      <c r="A319" s="2">
        <f>'[01_Entry.xlsx]Book'!A319</f>
        <v/>
      </c>
      <c r="B319" s="2">
        <f>'[01_Entry.xlsx]Book'!B319</f>
        <v/>
      </c>
      <c r="C319" s="2">
        <f>'[01_Entry.xlsx]Book'!D319</f>
        <v/>
      </c>
      <c r="D319" s="2">
        <f>'[01_Entry.xlsx]Book'!E319</f>
        <v/>
      </c>
      <c r="E319" s="2">
        <f>'[01_Entry.xlsx]Book'!O319</f>
        <v/>
      </c>
      <c r="F319" s="2">
        <f>'[01_Entry.xlsx]Book'!N319</f>
        <v/>
      </c>
      <c r="G319" s="3">
        <f>'[01_Entry.xlsx]Book'!L319</f>
        <v/>
      </c>
      <c r="H319" s="3">
        <f>'[01_Entry.xlsx]Book'!M319</f>
        <v/>
      </c>
      <c r="I319" s="3">
        <f>'[01_Entry.xlsx]Book'!K319</f>
        <v/>
      </c>
      <c r="J319" s="3">
        <f>'[01_Entry.xlsx]Book'!P319</f>
        <v/>
      </c>
      <c r="K319" s="3">
        <f>'[01_Entry.xlsx]Book'!F319</f>
        <v/>
      </c>
      <c r="L319" s="3">
        <f>'[01_Entry.xlsx]Book'!G319</f>
        <v/>
      </c>
      <c r="M319" s="3">
        <f>'[01_Entry.xlsx]Book'!I319</f>
        <v/>
      </c>
      <c r="N319" s="2">
        <f>IF($A319="","",MID($A319,6,2))</f>
        <v>0</v>
      </c>
      <c r="O319" s="2">
        <f>IF(OR($C319="",$C319&lt;&gt;'Inv'!$D$12),"",N(O$318)+1)</f>
        <v>0</v>
      </c>
    </row>
    <row r="320" spans="1:15">
      <c r="A320" s="2">
        <f>'[01_Entry.xlsx]Book'!A320</f>
        <v/>
      </c>
      <c r="B320" s="2">
        <f>'[01_Entry.xlsx]Book'!B320</f>
        <v/>
      </c>
      <c r="C320" s="2">
        <f>'[01_Entry.xlsx]Book'!D320</f>
        <v/>
      </c>
      <c r="D320" s="2">
        <f>'[01_Entry.xlsx]Book'!E320</f>
        <v/>
      </c>
      <c r="E320" s="2">
        <f>'[01_Entry.xlsx]Book'!O320</f>
        <v/>
      </c>
      <c r="F320" s="2">
        <f>'[01_Entry.xlsx]Book'!N320</f>
        <v/>
      </c>
      <c r="G320" s="3">
        <f>'[01_Entry.xlsx]Book'!L320</f>
        <v/>
      </c>
      <c r="H320" s="3">
        <f>'[01_Entry.xlsx]Book'!M320</f>
        <v/>
      </c>
      <c r="I320" s="3">
        <f>'[01_Entry.xlsx]Book'!K320</f>
        <v/>
      </c>
      <c r="J320" s="3">
        <f>'[01_Entry.xlsx]Book'!P320</f>
        <v/>
      </c>
      <c r="K320" s="3">
        <f>'[01_Entry.xlsx]Book'!F320</f>
        <v/>
      </c>
      <c r="L320" s="3">
        <f>'[01_Entry.xlsx]Book'!G320</f>
        <v/>
      </c>
      <c r="M320" s="3">
        <f>'[01_Entry.xlsx]Book'!I320</f>
        <v/>
      </c>
      <c r="N320" s="2">
        <f>IF($A320="","",MID($A320,6,2))</f>
        <v>0</v>
      </c>
      <c r="O320" s="2">
        <f>IF(OR($C320="",$C320&lt;&gt;'Inv'!$D$12),"",N(O$319)+1)</f>
        <v>0</v>
      </c>
    </row>
    <row r="321" spans="1:15">
      <c r="A321" s="2">
        <f>'[01_Entry.xlsx]Book'!A321</f>
        <v/>
      </c>
      <c r="B321" s="2">
        <f>'[01_Entry.xlsx]Book'!B321</f>
        <v/>
      </c>
      <c r="C321" s="2">
        <f>'[01_Entry.xlsx]Book'!D321</f>
        <v/>
      </c>
      <c r="D321" s="2">
        <f>'[01_Entry.xlsx]Book'!E321</f>
        <v/>
      </c>
      <c r="E321" s="2">
        <f>'[01_Entry.xlsx]Book'!O321</f>
        <v/>
      </c>
      <c r="F321" s="2">
        <f>'[01_Entry.xlsx]Book'!N321</f>
        <v/>
      </c>
      <c r="G321" s="3">
        <f>'[01_Entry.xlsx]Book'!L321</f>
        <v/>
      </c>
      <c r="H321" s="3">
        <f>'[01_Entry.xlsx]Book'!M321</f>
        <v/>
      </c>
      <c r="I321" s="3">
        <f>'[01_Entry.xlsx]Book'!K321</f>
        <v/>
      </c>
      <c r="J321" s="3">
        <f>'[01_Entry.xlsx]Book'!P321</f>
        <v/>
      </c>
      <c r="K321" s="3">
        <f>'[01_Entry.xlsx]Book'!F321</f>
        <v/>
      </c>
      <c r="L321" s="3">
        <f>'[01_Entry.xlsx]Book'!G321</f>
        <v/>
      </c>
      <c r="M321" s="3">
        <f>'[01_Entry.xlsx]Book'!I321</f>
        <v/>
      </c>
      <c r="N321" s="2">
        <f>IF($A321="","",MID($A321,6,2))</f>
        <v>0</v>
      </c>
      <c r="O321" s="2">
        <f>IF(OR($C321="",$C321&lt;&gt;'Inv'!$D$12),"",N(O$320)+1)</f>
        <v>0</v>
      </c>
    </row>
    <row r="322" spans="1:15">
      <c r="A322" s="2">
        <f>'[01_Entry.xlsx]Book'!A322</f>
        <v/>
      </c>
      <c r="B322" s="2">
        <f>'[01_Entry.xlsx]Book'!B322</f>
        <v/>
      </c>
      <c r="C322" s="2">
        <f>'[01_Entry.xlsx]Book'!D322</f>
        <v/>
      </c>
      <c r="D322" s="2">
        <f>'[01_Entry.xlsx]Book'!E322</f>
        <v/>
      </c>
      <c r="E322" s="2">
        <f>'[01_Entry.xlsx]Book'!O322</f>
        <v/>
      </c>
      <c r="F322" s="2">
        <f>'[01_Entry.xlsx]Book'!N322</f>
        <v/>
      </c>
      <c r="G322" s="3">
        <f>'[01_Entry.xlsx]Book'!L322</f>
        <v/>
      </c>
      <c r="H322" s="3">
        <f>'[01_Entry.xlsx]Book'!M322</f>
        <v/>
      </c>
      <c r="I322" s="3">
        <f>'[01_Entry.xlsx]Book'!K322</f>
        <v/>
      </c>
      <c r="J322" s="3">
        <f>'[01_Entry.xlsx]Book'!P322</f>
        <v/>
      </c>
      <c r="K322" s="3">
        <f>'[01_Entry.xlsx]Book'!F322</f>
        <v/>
      </c>
      <c r="L322" s="3">
        <f>'[01_Entry.xlsx]Book'!G322</f>
        <v/>
      </c>
      <c r="M322" s="3">
        <f>'[01_Entry.xlsx]Book'!I322</f>
        <v/>
      </c>
      <c r="N322" s="2">
        <f>IF($A322="","",MID($A322,6,2))</f>
        <v>0</v>
      </c>
      <c r="O322" s="2">
        <f>IF(OR($C322="",$C322&lt;&gt;'Inv'!$D$12),"",N(O$321)+1)</f>
        <v>0</v>
      </c>
    </row>
    <row r="323" spans="1:15">
      <c r="A323" s="2">
        <f>'[01_Entry.xlsx]Book'!A323</f>
        <v/>
      </c>
      <c r="B323" s="2">
        <f>'[01_Entry.xlsx]Book'!B323</f>
        <v/>
      </c>
      <c r="C323" s="2">
        <f>'[01_Entry.xlsx]Book'!D323</f>
        <v/>
      </c>
      <c r="D323" s="2">
        <f>'[01_Entry.xlsx]Book'!E323</f>
        <v/>
      </c>
      <c r="E323" s="2">
        <f>'[01_Entry.xlsx]Book'!O323</f>
        <v/>
      </c>
      <c r="F323" s="2">
        <f>'[01_Entry.xlsx]Book'!N323</f>
        <v/>
      </c>
      <c r="G323" s="3">
        <f>'[01_Entry.xlsx]Book'!L323</f>
        <v/>
      </c>
      <c r="H323" s="3">
        <f>'[01_Entry.xlsx]Book'!M323</f>
        <v/>
      </c>
      <c r="I323" s="3">
        <f>'[01_Entry.xlsx]Book'!K323</f>
        <v/>
      </c>
      <c r="J323" s="3">
        <f>'[01_Entry.xlsx]Book'!P323</f>
        <v/>
      </c>
      <c r="K323" s="3">
        <f>'[01_Entry.xlsx]Book'!F323</f>
        <v/>
      </c>
      <c r="L323" s="3">
        <f>'[01_Entry.xlsx]Book'!G323</f>
        <v/>
      </c>
      <c r="M323" s="3">
        <f>'[01_Entry.xlsx]Book'!I323</f>
        <v/>
      </c>
      <c r="N323" s="2">
        <f>IF($A323="","",MID($A323,6,2))</f>
        <v>0</v>
      </c>
      <c r="O323" s="2">
        <f>IF(OR($C323="",$C323&lt;&gt;'Inv'!$D$12),"",N(O$322)+1)</f>
        <v>0</v>
      </c>
    </row>
    <row r="324" spans="1:15">
      <c r="A324" s="2">
        <f>'[01_Entry.xlsx]Book'!A324</f>
        <v/>
      </c>
      <c r="B324" s="2">
        <f>'[01_Entry.xlsx]Book'!B324</f>
        <v/>
      </c>
      <c r="C324" s="2">
        <f>'[01_Entry.xlsx]Book'!D324</f>
        <v/>
      </c>
      <c r="D324" s="2">
        <f>'[01_Entry.xlsx]Book'!E324</f>
        <v/>
      </c>
      <c r="E324" s="2">
        <f>'[01_Entry.xlsx]Book'!O324</f>
        <v/>
      </c>
      <c r="F324" s="2">
        <f>'[01_Entry.xlsx]Book'!N324</f>
        <v/>
      </c>
      <c r="G324" s="3">
        <f>'[01_Entry.xlsx]Book'!L324</f>
        <v/>
      </c>
      <c r="H324" s="3">
        <f>'[01_Entry.xlsx]Book'!M324</f>
        <v/>
      </c>
      <c r="I324" s="3">
        <f>'[01_Entry.xlsx]Book'!K324</f>
        <v/>
      </c>
      <c r="J324" s="3">
        <f>'[01_Entry.xlsx]Book'!P324</f>
        <v/>
      </c>
      <c r="K324" s="3">
        <f>'[01_Entry.xlsx]Book'!F324</f>
        <v/>
      </c>
      <c r="L324" s="3">
        <f>'[01_Entry.xlsx]Book'!G324</f>
        <v/>
      </c>
      <c r="M324" s="3">
        <f>'[01_Entry.xlsx]Book'!I324</f>
        <v/>
      </c>
      <c r="N324" s="2">
        <f>IF($A324="","",MID($A324,6,2))</f>
        <v>0</v>
      </c>
      <c r="O324" s="2">
        <f>IF(OR($C324="",$C324&lt;&gt;'Inv'!$D$12),"",N(O$323)+1)</f>
        <v>0</v>
      </c>
    </row>
    <row r="325" spans="1:15">
      <c r="A325" s="2">
        <f>'[01_Entry.xlsx]Book'!A325</f>
        <v/>
      </c>
      <c r="B325" s="2">
        <f>'[01_Entry.xlsx]Book'!B325</f>
        <v/>
      </c>
      <c r="C325" s="2">
        <f>'[01_Entry.xlsx]Book'!D325</f>
        <v/>
      </c>
      <c r="D325" s="2">
        <f>'[01_Entry.xlsx]Book'!E325</f>
        <v/>
      </c>
      <c r="E325" s="2">
        <f>'[01_Entry.xlsx]Book'!O325</f>
        <v/>
      </c>
      <c r="F325" s="2">
        <f>'[01_Entry.xlsx]Book'!N325</f>
        <v/>
      </c>
      <c r="G325" s="3">
        <f>'[01_Entry.xlsx]Book'!L325</f>
        <v/>
      </c>
      <c r="H325" s="3">
        <f>'[01_Entry.xlsx]Book'!M325</f>
        <v/>
      </c>
      <c r="I325" s="3">
        <f>'[01_Entry.xlsx]Book'!K325</f>
        <v/>
      </c>
      <c r="J325" s="3">
        <f>'[01_Entry.xlsx]Book'!P325</f>
        <v/>
      </c>
      <c r="K325" s="3">
        <f>'[01_Entry.xlsx]Book'!F325</f>
        <v/>
      </c>
      <c r="L325" s="3">
        <f>'[01_Entry.xlsx]Book'!G325</f>
        <v/>
      </c>
      <c r="M325" s="3">
        <f>'[01_Entry.xlsx]Book'!I325</f>
        <v/>
      </c>
      <c r="N325" s="2">
        <f>IF($A325="","",MID($A325,6,2))</f>
        <v>0</v>
      </c>
      <c r="O325" s="2">
        <f>IF(OR($C325="",$C325&lt;&gt;'Inv'!$D$12),"",N(O$324)+1)</f>
        <v>0</v>
      </c>
    </row>
    <row r="326" spans="1:15">
      <c r="A326" s="2">
        <f>'[01_Entry.xlsx]Book'!A326</f>
        <v/>
      </c>
      <c r="B326" s="2">
        <f>'[01_Entry.xlsx]Book'!B326</f>
        <v/>
      </c>
      <c r="C326" s="2">
        <f>'[01_Entry.xlsx]Book'!D326</f>
        <v/>
      </c>
      <c r="D326" s="2">
        <f>'[01_Entry.xlsx]Book'!E326</f>
        <v/>
      </c>
      <c r="E326" s="2">
        <f>'[01_Entry.xlsx]Book'!O326</f>
        <v/>
      </c>
      <c r="F326" s="2">
        <f>'[01_Entry.xlsx]Book'!N326</f>
        <v/>
      </c>
      <c r="G326" s="3">
        <f>'[01_Entry.xlsx]Book'!L326</f>
        <v/>
      </c>
      <c r="H326" s="3">
        <f>'[01_Entry.xlsx]Book'!M326</f>
        <v/>
      </c>
      <c r="I326" s="3">
        <f>'[01_Entry.xlsx]Book'!K326</f>
        <v/>
      </c>
      <c r="J326" s="3">
        <f>'[01_Entry.xlsx]Book'!P326</f>
        <v/>
      </c>
      <c r="K326" s="3">
        <f>'[01_Entry.xlsx]Book'!F326</f>
        <v/>
      </c>
      <c r="L326" s="3">
        <f>'[01_Entry.xlsx]Book'!G326</f>
        <v/>
      </c>
      <c r="M326" s="3">
        <f>'[01_Entry.xlsx]Book'!I326</f>
        <v/>
      </c>
      <c r="N326" s="2">
        <f>IF($A326="","",MID($A326,6,2))</f>
        <v>0</v>
      </c>
      <c r="O326" s="2">
        <f>IF(OR($C326="",$C326&lt;&gt;'Inv'!$D$12),"",N(O$325)+1)</f>
        <v>0</v>
      </c>
    </row>
    <row r="327" spans="1:15">
      <c r="A327" s="2">
        <f>'[01_Entry.xlsx]Book'!A327</f>
        <v/>
      </c>
      <c r="B327" s="2">
        <f>'[01_Entry.xlsx]Book'!B327</f>
        <v/>
      </c>
      <c r="C327" s="2">
        <f>'[01_Entry.xlsx]Book'!D327</f>
        <v/>
      </c>
      <c r="D327" s="2">
        <f>'[01_Entry.xlsx]Book'!E327</f>
        <v/>
      </c>
      <c r="E327" s="2">
        <f>'[01_Entry.xlsx]Book'!O327</f>
        <v/>
      </c>
      <c r="F327" s="2">
        <f>'[01_Entry.xlsx]Book'!N327</f>
        <v/>
      </c>
      <c r="G327" s="3">
        <f>'[01_Entry.xlsx]Book'!L327</f>
        <v/>
      </c>
      <c r="H327" s="3">
        <f>'[01_Entry.xlsx]Book'!M327</f>
        <v/>
      </c>
      <c r="I327" s="3">
        <f>'[01_Entry.xlsx]Book'!K327</f>
        <v/>
      </c>
      <c r="J327" s="3">
        <f>'[01_Entry.xlsx]Book'!P327</f>
        <v/>
      </c>
      <c r="K327" s="3">
        <f>'[01_Entry.xlsx]Book'!F327</f>
        <v/>
      </c>
      <c r="L327" s="3">
        <f>'[01_Entry.xlsx]Book'!G327</f>
        <v/>
      </c>
      <c r="M327" s="3">
        <f>'[01_Entry.xlsx]Book'!I327</f>
        <v/>
      </c>
      <c r="N327" s="2">
        <f>IF($A327="","",MID($A327,6,2))</f>
        <v>0</v>
      </c>
      <c r="O327" s="2">
        <f>IF(OR($C327="",$C327&lt;&gt;'Inv'!$D$12),"",N(O$326)+1)</f>
        <v>0</v>
      </c>
    </row>
    <row r="328" spans="1:15">
      <c r="A328" s="2">
        <f>'[01_Entry.xlsx]Book'!A328</f>
        <v/>
      </c>
      <c r="B328" s="2">
        <f>'[01_Entry.xlsx]Book'!B328</f>
        <v/>
      </c>
      <c r="C328" s="2">
        <f>'[01_Entry.xlsx]Book'!D328</f>
        <v/>
      </c>
      <c r="D328" s="2">
        <f>'[01_Entry.xlsx]Book'!E328</f>
        <v/>
      </c>
      <c r="E328" s="2">
        <f>'[01_Entry.xlsx]Book'!O328</f>
        <v/>
      </c>
      <c r="F328" s="2">
        <f>'[01_Entry.xlsx]Book'!N328</f>
        <v/>
      </c>
      <c r="G328" s="3">
        <f>'[01_Entry.xlsx]Book'!L328</f>
        <v/>
      </c>
      <c r="H328" s="3">
        <f>'[01_Entry.xlsx]Book'!M328</f>
        <v/>
      </c>
      <c r="I328" s="3">
        <f>'[01_Entry.xlsx]Book'!K328</f>
        <v/>
      </c>
      <c r="J328" s="3">
        <f>'[01_Entry.xlsx]Book'!P328</f>
        <v/>
      </c>
      <c r="K328" s="3">
        <f>'[01_Entry.xlsx]Book'!F328</f>
        <v/>
      </c>
      <c r="L328" s="3">
        <f>'[01_Entry.xlsx]Book'!G328</f>
        <v/>
      </c>
      <c r="M328" s="3">
        <f>'[01_Entry.xlsx]Book'!I328</f>
        <v/>
      </c>
      <c r="N328" s="2">
        <f>IF($A328="","",MID($A328,6,2))</f>
        <v>0</v>
      </c>
      <c r="O328" s="2">
        <f>IF(OR($C328="",$C328&lt;&gt;'Inv'!$D$12),"",N(O$327)+1)</f>
        <v>0</v>
      </c>
    </row>
    <row r="329" spans="1:15">
      <c r="A329" s="2">
        <f>'[01_Entry.xlsx]Book'!A329</f>
        <v/>
      </c>
      <c r="B329" s="2">
        <f>'[01_Entry.xlsx]Book'!B329</f>
        <v/>
      </c>
      <c r="C329" s="2">
        <f>'[01_Entry.xlsx]Book'!D329</f>
        <v/>
      </c>
      <c r="D329" s="2">
        <f>'[01_Entry.xlsx]Book'!E329</f>
        <v/>
      </c>
      <c r="E329" s="2">
        <f>'[01_Entry.xlsx]Book'!O329</f>
        <v/>
      </c>
      <c r="F329" s="2">
        <f>'[01_Entry.xlsx]Book'!N329</f>
        <v/>
      </c>
      <c r="G329" s="3">
        <f>'[01_Entry.xlsx]Book'!L329</f>
        <v/>
      </c>
      <c r="H329" s="3">
        <f>'[01_Entry.xlsx]Book'!M329</f>
        <v/>
      </c>
      <c r="I329" s="3">
        <f>'[01_Entry.xlsx]Book'!K329</f>
        <v/>
      </c>
      <c r="J329" s="3">
        <f>'[01_Entry.xlsx]Book'!P329</f>
        <v/>
      </c>
      <c r="K329" s="3">
        <f>'[01_Entry.xlsx]Book'!F329</f>
        <v/>
      </c>
      <c r="L329" s="3">
        <f>'[01_Entry.xlsx]Book'!G329</f>
        <v/>
      </c>
      <c r="M329" s="3">
        <f>'[01_Entry.xlsx]Book'!I329</f>
        <v/>
      </c>
      <c r="N329" s="2">
        <f>IF($A329="","",MID($A329,6,2))</f>
        <v>0</v>
      </c>
      <c r="O329" s="2">
        <f>IF(OR($C329="",$C329&lt;&gt;'Inv'!$D$12),"",N(O$328)+1)</f>
        <v>0</v>
      </c>
    </row>
    <row r="330" spans="1:15">
      <c r="A330" s="2">
        <f>'[01_Entry.xlsx]Book'!A330</f>
        <v/>
      </c>
      <c r="B330" s="2">
        <f>'[01_Entry.xlsx]Book'!B330</f>
        <v/>
      </c>
      <c r="C330" s="2">
        <f>'[01_Entry.xlsx]Book'!D330</f>
        <v/>
      </c>
      <c r="D330" s="2">
        <f>'[01_Entry.xlsx]Book'!E330</f>
        <v/>
      </c>
      <c r="E330" s="2">
        <f>'[01_Entry.xlsx]Book'!O330</f>
        <v/>
      </c>
      <c r="F330" s="2">
        <f>'[01_Entry.xlsx]Book'!N330</f>
        <v/>
      </c>
      <c r="G330" s="3">
        <f>'[01_Entry.xlsx]Book'!L330</f>
        <v/>
      </c>
      <c r="H330" s="3">
        <f>'[01_Entry.xlsx]Book'!M330</f>
        <v/>
      </c>
      <c r="I330" s="3">
        <f>'[01_Entry.xlsx]Book'!K330</f>
        <v/>
      </c>
      <c r="J330" s="3">
        <f>'[01_Entry.xlsx]Book'!P330</f>
        <v/>
      </c>
      <c r="K330" s="3">
        <f>'[01_Entry.xlsx]Book'!F330</f>
        <v/>
      </c>
      <c r="L330" s="3">
        <f>'[01_Entry.xlsx]Book'!G330</f>
        <v/>
      </c>
      <c r="M330" s="3">
        <f>'[01_Entry.xlsx]Book'!I330</f>
        <v/>
      </c>
      <c r="N330" s="2">
        <f>IF($A330="","",MID($A330,6,2))</f>
        <v>0</v>
      </c>
      <c r="O330" s="2">
        <f>IF(OR($C330="",$C330&lt;&gt;'Inv'!$D$12),"",N(O$329)+1)</f>
        <v>0</v>
      </c>
    </row>
    <row r="331" spans="1:15">
      <c r="A331" s="2">
        <f>'[01_Entry.xlsx]Book'!A331</f>
        <v/>
      </c>
      <c r="B331" s="2">
        <f>'[01_Entry.xlsx]Book'!B331</f>
        <v/>
      </c>
      <c r="C331" s="2">
        <f>'[01_Entry.xlsx]Book'!D331</f>
        <v/>
      </c>
      <c r="D331" s="2">
        <f>'[01_Entry.xlsx]Book'!E331</f>
        <v/>
      </c>
      <c r="E331" s="2">
        <f>'[01_Entry.xlsx]Book'!O331</f>
        <v/>
      </c>
      <c r="F331" s="2">
        <f>'[01_Entry.xlsx]Book'!N331</f>
        <v/>
      </c>
      <c r="G331" s="3">
        <f>'[01_Entry.xlsx]Book'!L331</f>
        <v/>
      </c>
      <c r="H331" s="3">
        <f>'[01_Entry.xlsx]Book'!M331</f>
        <v/>
      </c>
      <c r="I331" s="3">
        <f>'[01_Entry.xlsx]Book'!K331</f>
        <v/>
      </c>
      <c r="J331" s="3">
        <f>'[01_Entry.xlsx]Book'!P331</f>
        <v/>
      </c>
      <c r="K331" s="3">
        <f>'[01_Entry.xlsx]Book'!F331</f>
        <v/>
      </c>
      <c r="L331" s="3">
        <f>'[01_Entry.xlsx]Book'!G331</f>
        <v/>
      </c>
      <c r="M331" s="3">
        <f>'[01_Entry.xlsx]Book'!I331</f>
        <v/>
      </c>
      <c r="N331" s="2">
        <f>IF($A331="","",MID($A331,6,2))</f>
        <v>0</v>
      </c>
      <c r="O331" s="2">
        <f>IF(OR($C331="",$C331&lt;&gt;'Inv'!$D$12),"",N(O$330)+1)</f>
        <v>0</v>
      </c>
    </row>
    <row r="332" spans="1:15">
      <c r="A332" s="2">
        <f>'[01_Entry.xlsx]Book'!A332</f>
        <v/>
      </c>
      <c r="B332" s="2">
        <f>'[01_Entry.xlsx]Book'!B332</f>
        <v/>
      </c>
      <c r="C332" s="2">
        <f>'[01_Entry.xlsx]Book'!D332</f>
        <v/>
      </c>
      <c r="D332" s="2">
        <f>'[01_Entry.xlsx]Book'!E332</f>
        <v/>
      </c>
      <c r="E332" s="2">
        <f>'[01_Entry.xlsx]Book'!O332</f>
        <v/>
      </c>
      <c r="F332" s="2">
        <f>'[01_Entry.xlsx]Book'!N332</f>
        <v/>
      </c>
      <c r="G332" s="3">
        <f>'[01_Entry.xlsx]Book'!L332</f>
        <v/>
      </c>
      <c r="H332" s="3">
        <f>'[01_Entry.xlsx]Book'!M332</f>
        <v/>
      </c>
      <c r="I332" s="3">
        <f>'[01_Entry.xlsx]Book'!K332</f>
        <v/>
      </c>
      <c r="J332" s="3">
        <f>'[01_Entry.xlsx]Book'!P332</f>
        <v/>
      </c>
      <c r="K332" s="3">
        <f>'[01_Entry.xlsx]Book'!F332</f>
        <v/>
      </c>
      <c r="L332" s="3">
        <f>'[01_Entry.xlsx]Book'!G332</f>
        <v/>
      </c>
      <c r="M332" s="3">
        <f>'[01_Entry.xlsx]Book'!I332</f>
        <v/>
      </c>
      <c r="N332" s="2">
        <f>IF($A332="","",MID($A332,6,2))</f>
        <v>0</v>
      </c>
      <c r="O332" s="2">
        <f>IF(OR($C332="",$C332&lt;&gt;'Inv'!$D$12),"",N(O$331)+1)</f>
        <v>0</v>
      </c>
    </row>
    <row r="333" spans="1:15">
      <c r="A333" s="2">
        <f>'[01_Entry.xlsx]Book'!A333</f>
        <v/>
      </c>
      <c r="B333" s="2">
        <f>'[01_Entry.xlsx]Book'!B333</f>
        <v/>
      </c>
      <c r="C333" s="2">
        <f>'[01_Entry.xlsx]Book'!D333</f>
        <v/>
      </c>
      <c r="D333" s="2">
        <f>'[01_Entry.xlsx]Book'!E333</f>
        <v/>
      </c>
      <c r="E333" s="2">
        <f>'[01_Entry.xlsx]Book'!O333</f>
        <v/>
      </c>
      <c r="F333" s="2">
        <f>'[01_Entry.xlsx]Book'!N333</f>
        <v/>
      </c>
      <c r="G333" s="3">
        <f>'[01_Entry.xlsx]Book'!L333</f>
        <v/>
      </c>
      <c r="H333" s="3">
        <f>'[01_Entry.xlsx]Book'!M333</f>
        <v/>
      </c>
      <c r="I333" s="3">
        <f>'[01_Entry.xlsx]Book'!K333</f>
        <v/>
      </c>
      <c r="J333" s="3">
        <f>'[01_Entry.xlsx]Book'!P333</f>
        <v/>
      </c>
      <c r="K333" s="3">
        <f>'[01_Entry.xlsx]Book'!F333</f>
        <v/>
      </c>
      <c r="L333" s="3">
        <f>'[01_Entry.xlsx]Book'!G333</f>
        <v/>
      </c>
      <c r="M333" s="3">
        <f>'[01_Entry.xlsx]Book'!I333</f>
        <v/>
      </c>
      <c r="N333" s="2">
        <f>IF($A333="","",MID($A333,6,2))</f>
        <v>0</v>
      </c>
      <c r="O333" s="2">
        <f>IF(OR($C333="",$C333&lt;&gt;'Inv'!$D$12),"",N(O$332)+1)</f>
        <v>0</v>
      </c>
    </row>
    <row r="334" spans="1:15">
      <c r="A334" s="2">
        <f>'[01_Entry.xlsx]Book'!A334</f>
        <v/>
      </c>
      <c r="B334" s="2">
        <f>'[01_Entry.xlsx]Book'!B334</f>
        <v/>
      </c>
      <c r="C334" s="2">
        <f>'[01_Entry.xlsx]Book'!D334</f>
        <v/>
      </c>
      <c r="D334" s="2">
        <f>'[01_Entry.xlsx]Book'!E334</f>
        <v/>
      </c>
      <c r="E334" s="2">
        <f>'[01_Entry.xlsx]Book'!O334</f>
        <v/>
      </c>
      <c r="F334" s="2">
        <f>'[01_Entry.xlsx]Book'!N334</f>
        <v/>
      </c>
      <c r="G334" s="3">
        <f>'[01_Entry.xlsx]Book'!L334</f>
        <v/>
      </c>
      <c r="H334" s="3">
        <f>'[01_Entry.xlsx]Book'!M334</f>
        <v/>
      </c>
      <c r="I334" s="3">
        <f>'[01_Entry.xlsx]Book'!K334</f>
        <v/>
      </c>
      <c r="J334" s="3">
        <f>'[01_Entry.xlsx]Book'!P334</f>
        <v/>
      </c>
      <c r="K334" s="3">
        <f>'[01_Entry.xlsx]Book'!F334</f>
        <v/>
      </c>
      <c r="L334" s="3">
        <f>'[01_Entry.xlsx]Book'!G334</f>
        <v/>
      </c>
      <c r="M334" s="3">
        <f>'[01_Entry.xlsx]Book'!I334</f>
        <v/>
      </c>
      <c r="N334" s="2">
        <f>IF($A334="","",MID($A334,6,2))</f>
        <v>0</v>
      </c>
      <c r="O334" s="2">
        <f>IF(OR($C334="",$C334&lt;&gt;'Inv'!$D$12),"",N(O$333)+1)</f>
        <v>0</v>
      </c>
    </row>
    <row r="335" spans="1:15">
      <c r="A335" s="2">
        <f>'[01_Entry.xlsx]Book'!A335</f>
        <v/>
      </c>
      <c r="B335" s="2">
        <f>'[01_Entry.xlsx]Book'!B335</f>
        <v/>
      </c>
      <c r="C335" s="2">
        <f>'[01_Entry.xlsx]Book'!D335</f>
        <v/>
      </c>
      <c r="D335" s="2">
        <f>'[01_Entry.xlsx]Book'!E335</f>
        <v/>
      </c>
      <c r="E335" s="2">
        <f>'[01_Entry.xlsx]Book'!O335</f>
        <v/>
      </c>
      <c r="F335" s="2">
        <f>'[01_Entry.xlsx]Book'!N335</f>
        <v/>
      </c>
      <c r="G335" s="3">
        <f>'[01_Entry.xlsx]Book'!L335</f>
        <v/>
      </c>
      <c r="H335" s="3">
        <f>'[01_Entry.xlsx]Book'!M335</f>
        <v/>
      </c>
      <c r="I335" s="3">
        <f>'[01_Entry.xlsx]Book'!K335</f>
        <v/>
      </c>
      <c r="J335" s="3">
        <f>'[01_Entry.xlsx]Book'!P335</f>
        <v/>
      </c>
      <c r="K335" s="3">
        <f>'[01_Entry.xlsx]Book'!F335</f>
        <v/>
      </c>
      <c r="L335" s="3">
        <f>'[01_Entry.xlsx]Book'!G335</f>
        <v/>
      </c>
      <c r="M335" s="3">
        <f>'[01_Entry.xlsx]Book'!I335</f>
        <v/>
      </c>
      <c r="N335" s="2">
        <f>IF($A335="","",MID($A335,6,2))</f>
        <v>0</v>
      </c>
      <c r="O335" s="2">
        <f>IF(OR($C335="",$C335&lt;&gt;'Inv'!$D$12),"",N(O$334)+1)</f>
        <v>0</v>
      </c>
    </row>
    <row r="336" spans="1:15">
      <c r="A336" s="2">
        <f>'[01_Entry.xlsx]Book'!A336</f>
        <v/>
      </c>
      <c r="B336" s="2">
        <f>'[01_Entry.xlsx]Book'!B336</f>
        <v/>
      </c>
      <c r="C336" s="2">
        <f>'[01_Entry.xlsx]Book'!D336</f>
        <v/>
      </c>
      <c r="D336" s="2">
        <f>'[01_Entry.xlsx]Book'!E336</f>
        <v/>
      </c>
      <c r="E336" s="2">
        <f>'[01_Entry.xlsx]Book'!O336</f>
        <v/>
      </c>
      <c r="F336" s="2">
        <f>'[01_Entry.xlsx]Book'!N336</f>
        <v/>
      </c>
      <c r="G336" s="3">
        <f>'[01_Entry.xlsx]Book'!L336</f>
        <v/>
      </c>
      <c r="H336" s="3">
        <f>'[01_Entry.xlsx]Book'!M336</f>
        <v/>
      </c>
      <c r="I336" s="3">
        <f>'[01_Entry.xlsx]Book'!K336</f>
        <v/>
      </c>
      <c r="J336" s="3">
        <f>'[01_Entry.xlsx]Book'!P336</f>
        <v/>
      </c>
      <c r="K336" s="3">
        <f>'[01_Entry.xlsx]Book'!F336</f>
        <v/>
      </c>
      <c r="L336" s="3">
        <f>'[01_Entry.xlsx]Book'!G336</f>
        <v/>
      </c>
      <c r="M336" s="3">
        <f>'[01_Entry.xlsx]Book'!I336</f>
        <v/>
      </c>
      <c r="N336" s="2">
        <f>IF($A336="","",MID($A336,6,2))</f>
        <v>0</v>
      </c>
      <c r="O336" s="2">
        <f>IF(OR($C336="",$C336&lt;&gt;'Inv'!$D$12),"",N(O$335)+1)</f>
        <v>0</v>
      </c>
    </row>
    <row r="337" spans="1:15">
      <c r="A337" s="2">
        <f>'[01_Entry.xlsx]Book'!A337</f>
        <v/>
      </c>
      <c r="B337" s="2">
        <f>'[01_Entry.xlsx]Book'!B337</f>
        <v/>
      </c>
      <c r="C337" s="2">
        <f>'[01_Entry.xlsx]Book'!D337</f>
        <v/>
      </c>
      <c r="D337" s="2">
        <f>'[01_Entry.xlsx]Book'!E337</f>
        <v/>
      </c>
      <c r="E337" s="2">
        <f>'[01_Entry.xlsx]Book'!O337</f>
        <v/>
      </c>
      <c r="F337" s="2">
        <f>'[01_Entry.xlsx]Book'!N337</f>
        <v/>
      </c>
      <c r="G337" s="3">
        <f>'[01_Entry.xlsx]Book'!L337</f>
        <v/>
      </c>
      <c r="H337" s="3">
        <f>'[01_Entry.xlsx]Book'!M337</f>
        <v/>
      </c>
      <c r="I337" s="3">
        <f>'[01_Entry.xlsx]Book'!K337</f>
        <v/>
      </c>
      <c r="J337" s="3">
        <f>'[01_Entry.xlsx]Book'!P337</f>
        <v/>
      </c>
      <c r="K337" s="3">
        <f>'[01_Entry.xlsx]Book'!F337</f>
        <v/>
      </c>
      <c r="L337" s="3">
        <f>'[01_Entry.xlsx]Book'!G337</f>
        <v/>
      </c>
      <c r="M337" s="3">
        <f>'[01_Entry.xlsx]Book'!I337</f>
        <v/>
      </c>
      <c r="N337" s="2">
        <f>IF($A337="","",MID($A337,6,2))</f>
        <v>0</v>
      </c>
      <c r="O337" s="2">
        <f>IF(OR($C337="",$C337&lt;&gt;'Inv'!$D$12),"",N(O$336)+1)</f>
        <v>0</v>
      </c>
    </row>
    <row r="338" spans="1:15">
      <c r="A338" s="2">
        <f>'[01_Entry.xlsx]Book'!A338</f>
        <v/>
      </c>
      <c r="B338" s="2">
        <f>'[01_Entry.xlsx]Book'!B338</f>
        <v/>
      </c>
      <c r="C338" s="2">
        <f>'[01_Entry.xlsx]Book'!D338</f>
        <v/>
      </c>
      <c r="D338" s="2">
        <f>'[01_Entry.xlsx]Book'!E338</f>
        <v/>
      </c>
      <c r="E338" s="2">
        <f>'[01_Entry.xlsx]Book'!O338</f>
        <v/>
      </c>
      <c r="F338" s="2">
        <f>'[01_Entry.xlsx]Book'!N338</f>
        <v/>
      </c>
      <c r="G338" s="3">
        <f>'[01_Entry.xlsx]Book'!L338</f>
        <v/>
      </c>
      <c r="H338" s="3">
        <f>'[01_Entry.xlsx]Book'!M338</f>
        <v/>
      </c>
      <c r="I338" s="3">
        <f>'[01_Entry.xlsx]Book'!K338</f>
        <v/>
      </c>
      <c r="J338" s="3">
        <f>'[01_Entry.xlsx]Book'!P338</f>
        <v/>
      </c>
      <c r="K338" s="3">
        <f>'[01_Entry.xlsx]Book'!F338</f>
        <v/>
      </c>
      <c r="L338" s="3">
        <f>'[01_Entry.xlsx]Book'!G338</f>
        <v/>
      </c>
      <c r="M338" s="3">
        <f>'[01_Entry.xlsx]Book'!I338</f>
        <v/>
      </c>
      <c r="N338" s="2">
        <f>IF($A338="","",MID($A338,6,2))</f>
        <v>0</v>
      </c>
      <c r="O338" s="2">
        <f>IF(OR($C338="",$C338&lt;&gt;'Inv'!$D$12),"",N(O$337)+1)</f>
        <v>0</v>
      </c>
    </row>
    <row r="339" spans="1:15">
      <c r="A339" s="2">
        <f>'[01_Entry.xlsx]Book'!A339</f>
        <v/>
      </c>
      <c r="B339" s="2">
        <f>'[01_Entry.xlsx]Book'!B339</f>
        <v/>
      </c>
      <c r="C339" s="2">
        <f>'[01_Entry.xlsx]Book'!D339</f>
        <v/>
      </c>
      <c r="D339" s="2">
        <f>'[01_Entry.xlsx]Book'!E339</f>
        <v/>
      </c>
      <c r="E339" s="2">
        <f>'[01_Entry.xlsx]Book'!O339</f>
        <v/>
      </c>
      <c r="F339" s="2">
        <f>'[01_Entry.xlsx]Book'!N339</f>
        <v/>
      </c>
      <c r="G339" s="3">
        <f>'[01_Entry.xlsx]Book'!L339</f>
        <v/>
      </c>
      <c r="H339" s="3">
        <f>'[01_Entry.xlsx]Book'!M339</f>
        <v/>
      </c>
      <c r="I339" s="3">
        <f>'[01_Entry.xlsx]Book'!K339</f>
        <v/>
      </c>
      <c r="J339" s="3">
        <f>'[01_Entry.xlsx]Book'!P339</f>
        <v/>
      </c>
      <c r="K339" s="3">
        <f>'[01_Entry.xlsx]Book'!F339</f>
        <v/>
      </c>
      <c r="L339" s="3">
        <f>'[01_Entry.xlsx]Book'!G339</f>
        <v/>
      </c>
      <c r="M339" s="3">
        <f>'[01_Entry.xlsx]Book'!I339</f>
        <v/>
      </c>
      <c r="N339" s="2">
        <f>IF($A339="","",MID($A339,6,2))</f>
        <v>0</v>
      </c>
      <c r="O339" s="2">
        <f>IF(OR($C339="",$C339&lt;&gt;'Inv'!$D$12),"",N(O$338)+1)</f>
        <v>0</v>
      </c>
    </row>
    <row r="340" spans="1:15">
      <c r="A340" s="2">
        <f>'[01_Entry.xlsx]Book'!A340</f>
        <v/>
      </c>
      <c r="B340" s="2">
        <f>'[01_Entry.xlsx]Book'!B340</f>
        <v/>
      </c>
      <c r="C340" s="2">
        <f>'[01_Entry.xlsx]Book'!D340</f>
        <v/>
      </c>
      <c r="D340" s="2">
        <f>'[01_Entry.xlsx]Book'!E340</f>
        <v/>
      </c>
      <c r="E340" s="2">
        <f>'[01_Entry.xlsx]Book'!O340</f>
        <v/>
      </c>
      <c r="F340" s="2">
        <f>'[01_Entry.xlsx]Book'!N340</f>
        <v/>
      </c>
      <c r="G340" s="3">
        <f>'[01_Entry.xlsx]Book'!L340</f>
        <v/>
      </c>
      <c r="H340" s="3">
        <f>'[01_Entry.xlsx]Book'!M340</f>
        <v/>
      </c>
      <c r="I340" s="3">
        <f>'[01_Entry.xlsx]Book'!K340</f>
        <v/>
      </c>
      <c r="J340" s="3">
        <f>'[01_Entry.xlsx]Book'!P340</f>
        <v/>
      </c>
      <c r="K340" s="3">
        <f>'[01_Entry.xlsx]Book'!F340</f>
        <v/>
      </c>
      <c r="L340" s="3">
        <f>'[01_Entry.xlsx]Book'!G340</f>
        <v/>
      </c>
      <c r="M340" s="3">
        <f>'[01_Entry.xlsx]Book'!I340</f>
        <v/>
      </c>
      <c r="N340" s="2">
        <f>IF($A340="","",MID($A340,6,2))</f>
        <v>0</v>
      </c>
      <c r="O340" s="2">
        <f>IF(OR($C340="",$C340&lt;&gt;'Inv'!$D$12),"",N(O$339)+1)</f>
        <v>0</v>
      </c>
    </row>
    <row r="341" spans="1:15">
      <c r="A341" s="2">
        <f>'[01_Entry.xlsx]Book'!A341</f>
        <v/>
      </c>
      <c r="B341" s="2">
        <f>'[01_Entry.xlsx]Book'!B341</f>
        <v/>
      </c>
      <c r="C341" s="2">
        <f>'[01_Entry.xlsx]Book'!D341</f>
        <v/>
      </c>
      <c r="D341" s="2">
        <f>'[01_Entry.xlsx]Book'!E341</f>
        <v/>
      </c>
      <c r="E341" s="2">
        <f>'[01_Entry.xlsx]Book'!O341</f>
        <v/>
      </c>
      <c r="F341" s="2">
        <f>'[01_Entry.xlsx]Book'!N341</f>
        <v/>
      </c>
      <c r="G341" s="3">
        <f>'[01_Entry.xlsx]Book'!L341</f>
        <v/>
      </c>
      <c r="H341" s="3">
        <f>'[01_Entry.xlsx]Book'!M341</f>
        <v/>
      </c>
      <c r="I341" s="3">
        <f>'[01_Entry.xlsx]Book'!K341</f>
        <v/>
      </c>
      <c r="J341" s="3">
        <f>'[01_Entry.xlsx]Book'!P341</f>
        <v/>
      </c>
      <c r="K341" s="3">
        <f>'[01_Entry.xlsx]Book'!F341</f>
        <v/>
      </c>
      <c r="L341" s="3">
        <f>'[01_Entry.xlsx]Book'!G341</f>
        <v/>
      </c>
      <c r="M341" s="3">
        <f>'[01_Entry.xlsx]Book'!I341</f>
        <v/>
      </c>
      <c r="N341" s="2">
        <f>IF($A341="","",MID($A341,6,2))</f>
        <v>0</v>
      </c>
      <c r="O341" s="2">
        <f>IF(OR($C341="",$C341&lt;&gt;'Inv'!$D$12),"",N(O$340)+1)</f>
        <v>0</v>
      </c>
    </row>
    <row r="342" spans="1:15">
      <c r="A342" s="2">
        <f>'[01_Entry.xlsx]Book'!A342</f>
        <v/>
      </c>
      <c r="B342" s="2">
        <f>'[01_Entry.xlsx]Book'!B342</f>
        <v/>
      </c>
      <c r="C342" s="2">
        <f>'[01_Entry.xlsx]Book'!D342</f>
        <v/>
      </c>
      <c r="D342" s="2">
        <f>'[01_Entry.xlsx]Book'!E342</f>
        <v/>
      </c>
      <c r="E342" s="2">
        <f>'[01_Entry.xlsx]Book'!O342</f>
        <v/>
      </c>
      <c r="F342" s="2">
        <f>'[01_Entry.xlsx]Book'!N342</f>
        <v/>
      </c>
      <c r="G342" s="3">
        <f>'[01_Entry.xlsx]Book'!L342</f>
        <v/>
      </c>
      <c r="H342" s="3">
        <f>'[01_Entry.xlsx]Book'!M342</f>
        <v/>
      </c>
      <c r="I342" s="3">
        <f>'[01_Entry.xlsx]Book'!K342</f>
        <v/>
      </c>
      <c r="J342" s="3">
        <f>'[01_Entry.xlsx]Book'!P342</f>
        <v/>
      </c>
      <c r="K342" s="3">
        <f>'[01_Entry.xlsx]Book'!F342</f>
        <v/>
      </c>
      <c r="L342" s="3">
        <f>'[01_Entry.xlsx]Book'!G342</f>
        <v/>
      </c>
      <c r="M342" s="3">
        <f>'[01_Entry.xlsx]Book'!I342</f>
        <v/>
      </c>
      <c r="N342" s="2">
        <f>IF($A342="","",MID($A342,6,2))</f>
        <v>0</v>
      </c>
      <c r="O342" s="2">
        <f>IF(OR($C342="",$C342&lt;&gt;'Inv'!$D$12),"",N(O$341)+1)</f>
        <v>0</v>
      </c>
    </row>
    <row r="343" spans="1:15">
      <c r="A343" s="2">
        <f>'[01_Entry.xlsx]Book'!A343</f>
        <v/>
      </c>
      <c r="B343" s="2">
        <f>'[01_Entry.xlsx]Book'!B343</f>
        <v/>
      </c>
      <c r="C343" s="2">
        <f>'[01_Entry.xlsx]Book'!D343</f>
        <v/>
      </c>
      <c r="D343" s="2">
        <f>'[01_Entry.xlsx]Book'!E343</f>
        <v/>
      </c>
      <c r="E343" s="2">
        <f>'[01_Entry.xlsx]Book'!O343</f>
        <v/>
      </c>
      <c r="F343" s="2">
        <f>'[01_Entry.xlsx]Book'!N343</f>
        <v/>
      </c>
      <c r="G343" s="3">
        <f>'[01_Entry.xlsx]Book'!L343</f>
        <v/>
      </c>
      <c r="H343" s="3">
        <f>'[01_Entry.xlsx]Book'!M343</f>
        <v/>
      </c>
      <c r="I343" s="3">
        <f>'[01_Entry.xlsx]Book'!K343</f>
        <v/>
      </c>
      <c r="J343" s="3">
        <f>'[01_Entry.xlsx]Book'!P343</f>
        <v/>
      </c>
      <c r="K343" s="3">
        <f>'[01_Entry.xlsx]Book'!F343</f>
        <v/>
      </c>
      <c r="L343" s="3">
        <f>'[01_Entry.xlsx]Book'!G343</f>
        <v/>
      </c>
      <c r="M343" s="3">
        <f>'[01_Entry.xlsx]Book'!I343</f>
        <v/>
      </c>
      <c r="N343" s="2">
        <f>IF($A343="","",MID($A343,6,2))</f>
        <v>0</v>
      </c>
      <c r="O343" s="2">
        <f>IF(OR($C343="",$C343&lt;&gt;'Inv'!$D$12),"",N(O$342)+1)</f>
        <v>0</v>
      </c>
    </row>
    <row r="344" spans="1:15">
      <c r="A344" s="2">
        <f>'[01_Entry.xlsx]Book'!A344</f>
        <v/>
      </c>
      <c r="B344" s="2">
        <f>'[01_Entry.xlsx]Book'!B344</f>
        <v/>
      </c>
      <c r="C344" s="2">
        <f>'[01_Entry.xlsx]Book'!D344</f>
        <v/>
      </c>
      <c r="D344" s="2">
        <f>'[01_Entry.xlsx]Book'!E344</f>
        <v/>
      </c>
      <c r="E344" s="2">
        <f>'[01_Entry.xlsx]Book'!O344</f>
        <v/>
      </c>
      <c r="F344" s="2">
        <f>'[01_Entry.xlsx]Book'!N344</f>
        <v/>
      </c>
      <c r="G344" s="3">
        <f>'[01_Entry.xlsx]Book'!L344</f>
        <v/>
      </c>
      <c r="H344" s="3">
        <f>'[01_Entry.xlsx]Book'!M344</f>
        <v/>
      </c>
      <c r="I344" s="3">
        <f>'[01_Entry.xlsx]Book'!K344</f>
        <v/>
      </c>
      <c r="J344" s="3">
        <f>'[01_Entry.xlsx]Book'!P344</f>
        <v/>
      </c>
      <c r="K344" s="3">
        <f>'[01_Entry.xlsx]Book'!F344</f>
        <v/>
      </c>
      <c r="L344" s="3">
        <f>'[01_Entry.xlsx]Book'!G344</f>
        <v/>
      </c>
      <c r="M344" s="3">
        <f>'[01_Entry.xlsx]Book'!I344</f>
        <v/>
      </c>
      <c r="N344" s="2">
        <f>IF($A344="","",MID($A344,6,2))</f>
        <v>0</v>
      </c>
      <c r="O344" s="2">
        <f>IF(OR($C344="",$C344&lt;&gt;'Inv'!$D$12),"",N(O$343)+1)</f>
        <v>0</v>
      </c>
    </row>
    <row r="345" spans="1:15">
      <c r="A345" s="2">
        <f>'[01_Entry.xlsx]Book'!A345</f>
        <v/>
      </c>
      <c r="B345" s="2">
        <f>'[01_Entry.xlsx]Book'!B345</f>
        <v/>
      </c>
      <c r="C345" s="2">
        <f>'[01_Entry.xlsx]Book'!D345</f>
        <v/>
      </c>
      <c r="D345" s="2">
        <f>'[01_Entry.xlsx]Book'!E345</f>
        <v/>
      </c>
      <c r="E345" s="2">
        <f>'[01_Entry.xlsx]Book'!O345</f>
        <v/>
      </c>
      <c r="F345" s="2">
        <f>'[01_Entry.xlsx]Book'!N345</f>
        <v/>
      </c>
      <c r="G345" s="3">
        <f>'[01_Entry.xlsx]Book'!L345</f>
        <v/>
      </c>
      <c r="H345" s="3">
        <f>'[01_Entry.xlsx]Book'!M345</f>
        <v/>
      </c>
      <c r="I345" s="3">
        <f>'[01_Entry.xlsx]Book'!K345</f>
        <v/>
      </c>
      <c r="J345" s="3">
        <f>'[01_Entry.xlsx]Book'!P345</f>
        <v/>
      </c>
      <c r="K345" s="3">
        <f>'[01_Entry.xlsx]Book'!F345</f>
        <v/>
      </c>
      <c r="L345" s="3">
        <f>'[01_Entry.xlsx]Book'!G345</f>
        <v/>
      </c>
      <c r="M345" s="3">
        <f>'[01_Entry.xlsx]Book'!I345</f>
        <v/>
      </c>
      <c r="N345" s="2">
        <f>IF($A345="","",MID($A345,6,2))</f>
        <v>0</v>
      </c>
      <c r="O345" s="2">
        <f>IF(OR($C345="",$C345&lt;&gt;'Inv'!$D$12),"",N(O$344)+1)</f>
        <v>0</v>
      </c>
    </row>
    <row r="346" spans="1:15">
      <c r="A346" s="2">
        <f>'[01_Entry.xlsx]Book'!A346</f>
        <v/>
      </c>
      <c r="B346" s="2">
        <f>'[01_Entry.xlsx]Book'!B346</f>
        <v/>
      </c>
      <c r="C346" s="2">
        <f>'[01_Entry.xlsx]Book'!D346</f>
        <v/>
      </c>
      <c r="D346" s="2">
        <f>'[01_Entry.xlsx]Book'!E346</f>
        <v/>
      </c>
      <c r="E346" s="2">
        <f>'[01_Entry.xlsx]Book'!O346</f>
        <v/>
      </c>
      <c r="F346" s="2">
        <f>'[01_Entry.xlsx]Book'!N346</f>
        <v/>
      </c>
      <c r="G346" s="3">
        <f>'[01_Entry.xlsx]Book'!L346</f>
        <v/>
      </c>
      <c r="H346" s="3">
        <f>'[01_Entry.xlsx]Book'!M346</f>
        <v/>
      </c>
      <c r="I346" s="3">
        <f>'[01_Entry.xlsx]Book'!K346</f>
        <v/>
      </c>
      <c r="J346" s="3">
        <f>'[01_Entry.xlsx]Book'!P346</f>
        <v/>
      </c>
      <c r="K346" s="3">
        <f>'[01_Entry.xlsx]Book'!F346</f>
        <v/>
      </c>
      <c r="L346" s="3">
        <f>'[01_Entry.xlsx]Book'!G346</f>
        <v/>
      </c>
      <c r="M346" s="3">
        <f>'[01_Entry.xlsx]Book'!I346</f>
        <v/>
      </c>
      <c r="N346" s="2">
        <f>IF($A346="","",MID($A346,6,2))</f>
        <v>0</v>
      </c>
      <c r="O346" s="2">
        <f>IF(OR($C346="",$C346&lt;&gt;'Inv'!$D$12),"",N(O$345)+1)</f>
        <v>0</v>
      </c>
    </row>
    <row r="347" spans="1:15">
      <c r="A347" s="2">
        <f>'[01_Entry.xlsx]Book'!A347</f>
        <v/>
      </c>
      <c r="B347" s="2">
        <f>'[01_Entry.xlsx]Book'!B347</f>
        <v/>
      </c>
      <c r="C347" s="2">
        <f>'[01_Entry.xlsx]Book'!D347</f>
        <v/>
      </c>
      <c r="D347" s="2">
        <f>'[01_Entry.xlsx]Book'!E347</f>
        <v/>
      </c>
      <c r="E347" s="2">
        <f>'[01_Entry.xlsx]Book'!O347</f>
        <v/>
      </c>
      <c r="F347" s="2">
        <f>'[01_Entry.xlsx]Book'!N347</f>
        <v/>
      </c>
      <c r="G347" s="3">
        <f>'[01_Entry.xlsx]Book'!L347</f>
        <v/>
      </c>
      <c r="H347" s="3">
        <f>'[01_Entry.xlsx]Book'!M347</f>
        <v/>
      </c>
      <c r="I347" s="3">
        <f>'[01_Entry.xlsx]Book'!K347</f>
        <v/>
      </c>
      <c r="J347" s="3">
        <f>'[01_Entry.xlsx]Book'!P347</f>
        <v/>
      </c>
      <c r="K347" s="3">
        <f>'[01_Entry.xlsx]Book'!F347</f>
        <v/>
      </c>
      <c r="L347" s="3">
        <f>'[01_Entry.xlsx]Book'!G347</f>
        <v/>
      </c>
      <c r="M347" s="3">
        <f>'[01_Entry.xlsx]Book'!I347</f>
        <v/>
      </c>
      <c r="N347" s="2">
        <f>IF($A347="","",MID($A347,6,2))</f>
        <v>0</v>
      </c>
      <c r="O347" s="2">
        <f>IF(OR($C347="",$C347&lt;&gt;'Inv'!$D$12),"",N(O$346)+1)</f>
        <v>0</v>
      </c>
    </row>
    <row r="348" spans="1:15">
      <c r="A348" s="2">
        <f>'[01_Entry.xlsx]Book'!A348</f>
        <v/>
      </c>
      <c r="B348" s="2">
        <f>'[01_Entry.xlsx]Book'!B348</f>
        <v/>
      </c>
      <c r="C348" s="2">
        <f>'[01_Entry.xlsx]Book'!D348</f>
        <v/>
      </c>
      <c r="D348" s="2">
        <f>'[01_Entry.xlsx]Book'!E348</f>
        <v/>
      </c>
      <c r="E348" s="2">
        <f>'[01_Entry.xlsx]Book'!O348</f>
        <v/>
      </c>
      <c r="F348" s="2">
        <f>'[01_Entry.xlsx]Book'!N348</f>
        <v/>
      </c>
      <c r="G348" s="3">
        <f>'[01_Entry.xlsx]Book'!L348</f>
        <v/>
      </c>
      <c r="H348" s="3">
        <f>'[01_Entry.xlsx]Book'!M348</f>
        <v/>
      </c>
      <c r="I348" s="3">
        <f>'[01_Entry.xlsx]Book'!K348</f>
        <v/>
      </c>
      <c r="J348" s="3">
        <f>'[01_Entry.xlsx]Book'!P348</f>
        <v/>
      </c>
      <c r="K348" s="3">
        <f>'[01_Entry.xlsx]Book'!F348</f>
        <v/>
      </c>
      <c r="L348" s="3">
        <f>'[01_Entry.xlsx]Book'!G348</f>
        <v/>
      </c>
      <c r="M348" s="3">
        <f>'[01_Entry.xlsx]Book'!I348</f>
        <v/>
      </c>
      <c r="N348" s="2">
        <f>IF($A348="","",MID($A348,6,2))</f>
        <v>0</v>
      </c>
      <c r="O348" s="2">
        <f>IF(OR($C348="",$C348&lt;&gt;'Inv'!$D$12),"",N(O$347)+1)</f>
        <v>0</v>
      </c>
    </row>
    <row r="349" spans="1:15">
      <c r="A349" s="2">
        <f>'[01_Entry.xlsx]Book'!A349</f>
        <v/>
      </c>
      <c r="B349" s="2">
        <f>'[01_Entry.xlsx]Book'!B349</f>
        <v/>
      </c>
      <c r="C349" s="2">
        <f>'[01_Entry.xlsx]Book'!D349</f>
        <v/>
      </c>
      <c r="D349" s="2">
        <f>'[01_Entry.xlsx]Book'!E349</f>
        <v/>
      </c>
      <c r="E349" s="2">
        <f>'[01_Entry.xlsx]Book'!O349</f>
        <v/>
      </c>
      <c r="F349" s="2">
        <f>'[01_Entry.xlsx]Book'!N349</f>
        <v/>
      </c>
      <c r="G349" s="3">
        <f>'[01_Entry.xlsx]Book'!L349</f>
        <v/>
      </c>
      <c r="H349" s="3">
        <f>'[01_Entry.xlsx]Book'!M349</f>
        <v/>
      </c>
      <c r="I349" s="3">
        <f>'[01_Entry.xlsx]Book'!K349</f>
        <v/>
      </c>
      <c r="J349" s="3">
        <f>'[01_Entry.xlsx]Book'!P349</f>
        <v/>
      </c>
      <c r="K349" s="3">
        <f>'[01_Entry.xlsx]Book'!F349</f>
        <v/>
      </c>
      <c r="L349" s="3">
        <f>'[01_Entry.xlsx]Book'!G349</f>
        <v/>
      </c>
      <c r="M349" s="3">
        <f>'[01_Entry.xlsx]Book'!I349</f>
        <v/>
      </c>
      <c r="N349" s="2">
        <f>IF($A349="","",MID($A349,6,2))</f>
        <v>0</v>
      </c>
      <c r="O349" s="2">
        <f>IF(OR($C349="",$C349&lt;&gt;'Inv'!$D$12),"",N(O$348)+1)</f>
        <v>0</v>
      </c>
    </row>
    <row r="350" spans="1:15">
      <c r="A350" s="2">
        <f>'[01_Entry.xlsx]Book'!A350</f>
        <v/>
      </c>
      <c r="B350" s="2">
        <f>'[01_Entry.xlsx]Book'!B350</f>
        <v/>
      </c>
      <c r="C350" s="2">
        <f>'[01_Entry.xlsx]Book'!D350</f>
        <v/>
      </c>
      <c r="D350" s="2">
        <f>'[01_Entry.xlsx]Book'!E350</f>
        <v/>
      </c>
      <c r="E350" s="2">
        <f>'[01_Entry.xlsx]Book'!O350</f>
        <v/>
      </c>
      <c r="F350" s="2">
        <f>'[01_Entry.xlsx]Book'!N350</f>
        <v/>
      </c>
      <c r="G350" s="3">
        <f>'[01_Entry.xlsx]Book'!L350</f>
        <v/>
      </c>
      <c r="H350" s="3">
        <f>'[01_Entry.xlsx]Book'!M350</f>
        <v/>
      </c>
      <c r="I350" s="3">
        <f>'[01_Entry.xlsx]Book'!K350</f>
        <v/>
      </c>
      <c r="J350" s="3">
        <f>'[01_Entry.xlsx]Book'!P350</f>
        <v/>
      </c>
      <c r="K350" s="3">
        <f>'[01_Entry.xlsx]Book'!F350</f>
        <v/>
      </c>
      <c r="L350" s="3">
        <f>'[01_Entry.xlsx]Book'!G350</f>
        <v/>
      </c>
      <c r="M350" s="3">
        <f>'[01_Entry.xlsx]Book'!I350</f>
        <v/>
      </c>
      <c r="N350" s="2">
        <f>IF($A350="","",MID($A350,6,2))</f>
        <v>0</v>
      </c>
      <c r="O350" s="2">
        <f>IF(OR($C350="",$C350&lt;&gt;'Inv'!$D$12),"",N(O$349)+1)</f>
        <v>0</v>
      </c>
    </row>
    <row r="351" spans="1:15">
      <c r="A351" s="2">
        <f>'[01_Entry.xlsx]Book'!A351</f>
        <v/>
      </c>
      <c r="B351" s="2">
        <f>'[01_Entry.xlsx]Book'!B351</f>
        <v/>
      </c>
      <c r="C351" s="2">
        <f>'[01_Entry.xlsx]Book'!D351</f>
        <v/>
      </c>
      <c r="D351" s="2">
        <f>'[01_Entry.xlsx]Book'!E351</f>
        <v/>
      </c>
      <c r="E351" s="2">
        <f>'[01_Entry.xlsx]Book'!O351</f>
        <v/>
      </c>
      <c r="F351" s="2">
        <f>'[01_Entry.xlsx]Book'!N351</f>
        <v/>
      </c>
      <c r="G351" s="3">
        <f>'[01_Entry.xlsx]Book'!L351</f>
        <v/>
      </c>
      <c r="H351" s="3">
        <f>'[01_Entry.xlsx]Book'!M351</f>
        <v/>
      </c>
      <c r="I351" s="3">
        <f>'[01_Entry.xlsx]Book'!K351</f>
        <v/>
      </c>
      <c r="J351" s="3">
        <f>'[01_Entry.xlsx]Book'!P351</f>
        <v/>
      </c>
      <c r="K351" s="3">
        <f>'[01_Entry.xlsx]Book'!F351</f>
        <v/>
      </c>
      <c r="L351" s="3">
        <f>'[01_Entry.xlsx]Book'!G351</f>
        <v/>
      </c>
      <c r="M351" s="3">
        <f>'[01_Entry.xlsx]Book'!I351</f>
        <v/>
      </c>
      <c r="N351" s="2">
        <f>IF($A351="","",MID($A351,6,2))</f>
        <v>0</v>
      </c>
      <c r="O351" s="2">
        <f>IF(OR($C351="",$C351&lt;&gt;'Inv'!$D$12),"",N(O$350)+1)</f>
        <v>0</v>
      </c>
    </row>
    <row r="352" spans="1:15">
      <c r="A352" s="2">
        <f>'[01_Entry.xlsx]Book'!A352</f>
        <v/>
      </c>
      <c r="B352" s="2">
        <f>'[01_Entry.xlsx]Book'!B352</f>
        <v/>
      </c>
      <c r="C352" s="2">
        <f>'[01_Entry.xlsx]Book'!D352</f>
        <v/>
      </c>
      <c r="D352" s="2">
        <f>'[01_Entry.xlsx]Book'!E352</f>
        <v/>
      </c>
      <c r="E352" s="2">
        <f>'[01_Entry.xlsx]Book'!O352</f>
        <v/>
      </c>
      <c r="F352" s="2">
        <f>'[01_Entry.xlsx]Book'!N352</f>
        <v/>
      </c>
      <c r="G352" s="3">
        <f>'[01_Entry.xlsx]Book'!L352</f>
        <v/>
      </c>
      <c r="H352" s="3">
        <f>'[01_Entry.xlsx]Book'!M352</f>
        <v/>
      </c>
      <c r="I352" s="3">
        <f>'[01_Entry.xlsx]Book'!K352</f>
        <v/>
      </c>
      <c r="J352" s="3">
        <f>'[01_Entry.xlsx]Book'!P352</f>
        <v/>
      </c>
      <c r="K352" s="3">
        <f>'[01_Entry.xlsx]Book'!F352</f>
        <v/>
      </c>
      <c r="L352" s="3">
        <f>'[01_Entry.xlsx]Book'!G352</f>
        <v/>
      </c>
      <c r="M352" s="3">
        <f>'[01_Entry.xlsx]Book'!I352</f>
        <v/>
      </c>
      <c r="N352" s="2">
        <f>IF($A352="","",MID($A352,6,2))</f>
        <v>0</v>
      </c>
      <c r="O352" s="2">
        <f>IF(OR($C352="",$C352&lt;&gt;'Inv'!$D$12),"",N(O$351)+1)</f>
        <v>0</v>
      </c>
    </row>
    <row r="353" spans="1:15">
      <c r="A353" s="2">
        <f>'[01_Entry.xlsx]Book'!A353</f>
        <v/>
      </c>
      <c r="B353" s="2">
        <f>'[01_Entry.xlsx]Book'!B353</f>
        <v/>
      </c>
      <c r="C353" s="2">
        <f>'[01_Entry.xlsx]Book'!D353</f>
        <v/>
      </c>
      <c r="D353" s="2">
        <f>'[01_Entry.xlsx]Book'!E353</f>
        <v/>
      </c>
      <c r="E353" s="2">
        <f>'[01_Entry.xlsx]Book'!O353</f>
        <v/>
      </c>
      <c r="F353" s="2">
        <f>'[01_Entry.xlsx]Book'!N353</f>
        <v/>
      </c>
      <c r="G353" s="3">
        <f>'[01_Entry.xlsx]Book'!L353</f>
        <v/>
      </c>
      <c r="H353" s="3">
        <f>'[01_Entry.xlsx]Book'!M353</f>
        <v/>
      </c>
      <c r="I353" s="3">
        <f>'[01_Entry.xlsx]Book'!K353</f>
        <v/>
      </c>
      <c r="J353" s="3">
        <f>'[01_Entry.xlsx]Book'!P353</f>
        <v/>
      </c>
      <c r="K353" s="3">
        <f>'[01_Entry.xlsx]Book'!F353</f>
        <v/>
      </c>
      <c r="L353" s="3">
        <f>'[01_Entry.xlsx]Book'!G353</f>
        <v/>
      </c>
      <c r="M353" s="3">
        <f>'[01_Entry.xlsx]Book'!I353</f>
        <v/>
      </c>
      <c r="N353" s="2">
        <f>IF($A353="","",MID($A353,6,2))</f>
        <v>0</v>
      </c>
      <c r="O353" s="2">
        <f>IF(OR($C353="",$C353&lt;&gt;'Inv'!$D$12),"",N(O$352)+1)</f>
        <v>0</v>
      </c>
    </row>
    <row r="354" spans="1:15">
      <c r="A354" s="2">
        <f>'[01_Entry.xlsx]Book'!A354</f>
        <v/>
      </c>
      <c r="B354" s="2">
        <f>'[01_Entry.xlsx]Book'!B354</f>
        <v/>
      </c>
      <c r="C354" s="2">
        <f>'[01_Entry.xlsx]Book'!D354</f>
        <v/>
      </c>
      <c r="D354" s="2">
        <f>'[01_Entry.xlsx]Book'!E354</f>
        <v/>
      </c>
      <c r="E354" s="2">
        <f>'[01_Entry.xlsx]Book'!O354</f>
        <v/>
      </c>
      <c r="F354" s="2">
        <f>'[01_Entry.xlsx]Book'!N354</f>
        <v/>
      </c>
      <c r="G354" s="3">
        <f>'[01_Entry.xlsx]Book'!L354</f>
        <v/>
      </c>
      <c r="H354" s="3">
        <f>'[01_Entry.xlsx]Book'!M354</f>
        <v/>
      </c>
      <c r="I354" s="3">
        <f>'[01_Entry.xlsx]Book'!K354</f>
        <v/>
      </c>
      <c r="J354" s="3">
        <f>'[01_Entry.xlsx]Book'!P354</f>
        <v/>
      </c>
      <c r="K354" s="3">
        <f>'[01_Entry.xlsx]Book'!F354</f>
        <v/>
      </c>
      <c r="L354" s="3">
        <f>'[01_Entry.xlsx]Book'!G354</f>
        <v/>
      </c>
      <c r="M354" s="3">
        <f>'[01_Entry.xlsx]Book'!I354</f>
        <v/>
      </c>
      <c r="N354" s="2">
        <f>IF($A354="","",MID($A354,6,2))</f>
        <v>0</v>
      </c>
      <c r="O354" s="2">
        <f>IF(OR($C354="",$C354&lt;&gt;'Inv'!$D$12),"",N(O$353)+1)</f>
        <v>0</v>
      </c>
    </row>
    <row r="355" spans="1:15">
      <c r="A355" s="2">
        <f>'[01_Entry.xlsx]Book'!A355</f>
        <v/>
      </c>
      <c r="B355" s="2">
        <f>'[01_Entry.xlsx]Book'!B355</f>
        <v/>
      </c>
      <c r="C355" s="2">
        <f>'[01_Entry.xlsx]Book'!D355</f>
        <v/>
      </c>
      <c r="D355" s="2">
        <f>'[01_Entry.xlsx]Book'!E355</f>
        <v/>
      </c>
      <c r="E355" s="2">
        <f>'[01_Entry.xlsx]Book'!O355</f>
        <v/>
      </c>
      <c r="F355" s="2">
        <f>'[01_Entry.xlsx]Book'!N355</f>
        <v/>
      </c>
      <c r="G355" s="3">
        <f>'[01_Entry.xlsx]Book'!L355</f>
        <v/>
      </c>
      <c r="H355" s="3">
        <f>'[01_Entry.xlsx]Book'!M355</f>
        <v/>
      </c>
      <c r="I355" s="3">
        <f>'[01_Entry.xlsx]Book'!K355</f>
        <v/>
      </c>
      <c r="J355" s="3">
        <f>'[01_Entry.xlsx]Book'!P355</f>
        <v/>
      </c>
      <c r="K355" s="3">
        <f>'[01_Entry.xlsx]Book'!F355</f>
        <v/>
      </c>
      <c r="L355" s="3">
        <f>'[01_Entry.xlsx]Book'!G355</f>
        <v/>
      </c>
      <c r="M355" s="3">
        <f>'[01_Entry.xlsx]Book'!I355</f>
        <v/>
      </c>
      <c r="N355" s="2">
        <f>IF($A355="","",MID($A355,6,2))</f>
        <v>0</v>
      </c>
      <c r="O355" s="2">
        <f>IF(OR($C355="",$C355&lt;&gt;'Inv'!$D$12),"",N(O$354)+1)</f>
        <v>0</v>
      </c>
    </row>
    <row r="356" spans="1:15">
      <c r="A356" s="2">
        <f>'[01_Entry.xlsx]Book'!A356</f>
        <v/>
      </c>
      <c r="B356" s="2">
        <f>'[01_Entry.xlsx]Book'!B356</f>
        <v/>
      </c>
      <c r="C356" s="2">
        <f>'[01_Entry.xlsx]Book'!D356</f>
        <v/>
      </c>
      <c r="D356" s="2">
        <f>'[01_Entry.xlsx]Book'!E356</f>
        <v/>
      </c>
      <c r="E356" s="2">
        <f>'[01_Entry.xlsx]Book'!O356</f>
        <v/>
      </c>
      <c r="F356" s="2">
        <f>'[01_Entry.xlsx]Book'!N356</f>
        <v/>
      </c>
      <c r="G356" s="3">
        <f>'[01_Entry.xlsx]Book'!L356</f>
        <v/>
      </c>
      <c r="H356" s="3">
        <f>'[01_Entry.xlsx]Book'!M356</f>
        <v/>
      </c>
      <c r="I356" s="3">
        <f>'[01_Entry.xlsx]Book'!K356</f>
        <v/>
      </c>
      <c r="J356" s="3">
        <f>'[01_Entry.xlsx]Book'!P356</f>
        <v/>
      </c>
      <c r="K356" s="3">
        <f>'[01_Entry.xlsx]Book'!F356</f>
        <v/>
      </c>
      <c r="L356" s="3">
        <f>'[01_Entry.xlsx]Book'!G356</f>
        <v/>
      </c>
      <c r="M356" s="3">
        <f>'[01_Entry.xlsx]Book'!I356</f>
        <v/>
      </c>
      <c r="N356" s="2">
        <f>IF($A356="","",MID($A356,6,2))</f>
        <v>0</v>
      </c>
      <c r="O356" s="2">
        <f>IF(OR($C356="",$C356&lt;&gt;'Inv'!$D$12),"",N(O$355)+1)</f>
        <v>0</v>
      </c>
    </row>
    <row r="357" spans="1:15">
      <c r="A357" s="2">
        <f>'[01_Entry.xlsx]Book'!A357</f>
        <v/>
      </c>
      <c r="B357" s="2">
        <f>'[01_Entry.xlsx]Book'!B357</f>
        <v/>
      </c>
      <c r="C357" s="2">
        <f>'[01_Entry.xlsx]Book'!D357</f>
        <v/>
      </c>
      <c r="D357" s="2">
        <f>'[01_Entry.xlsx]Book'!E357</f>
        <v/>
      </c>
      <c r="E357" s="2">
        <f>'[01_Entry.xlsx]Book'!O357</f>
        <v/>
      </c>
      <c r="F357" s="2">
        <f>'[01_Entry.xlsx]Book'!N357</f>
        <v/>
      </c>
      <c r="G357" s="3">
        <f>'[01_Entry.xlsx]Book'!L357</f>
        <v/>
      </c>
      <c r="H357" s="3">
        <f>'[01_Entry.xlsx]Book'!M357</f>
        <v/>
      </c>
      <c r="I357" s="3">
        <f>'[01_Entry.xlsx]Book'!K357</f>
        <v/>
      </c>
      <c r="J357" s="3">
        <f>'[01_Entry.xlsx]Book'!P357</f>
        <v/>
      </c>
      <c r="K357" s="3">
        <f>'[01_Entry.xlsx]Book'!F357</f>
        <v/>
      </c>
      <c r="L357" s="3">
        <f>'[01_Entry.xlsx]Book'!G357</f>
        <v/>
      </c>
      <c r="M357" s="3">
        <f>'[01_Entry.xlsx]Book'!I357</f>
        <v/>
      </c>
      <c r="N357" s="2">
        <f>IF($A357="","",MID($A357,6,2))</f>
        <v>0</v>
      </c>
      <c r="O357" s="2">
        <f>IF(OR($C357="",$C357&lt;&gt;'Inv'!$D$12),"",N(O$356)+1)</f>
        <v>0</v>
      </c>
    </row>
    <row r="358" spans="1:15">
      <c r="A358" s="2">
        <f>'[01_Entry.xlsx]Book'!A358</f>
        <v/>
      </c>
      <c r="B358" s="2">
        <f>'[01_Entry.xlsx]Book'!B358</f>
        <v/>
      </c>
      <c r="C358" s="2">
        <f>'[01_Entry.xlsx]Book'!D358</f>
        <v/>
      </c>
      <c r="D358" s="2">
        <f>'[01_Entry.xlsx]Book'!E358</f>
        <v/>
      </c>
      <c r="E358" s="2">
        <f>'[01_Entry.xlsx]Book'!O358</f>
        <v/>
      </c>
      <c r="F358" s="2">
        <f>'[01_Entry.xlsx]Book'!N358</f>
        <v/>
      </c>
      <c r="G358" s="3">
        <f>'[01_Entry.xlsx]Book'!L358</f>
        <v/>
      </c>
      <c r="H358" s="3">
        <f>'[01_Entry.xlsx]Book'!M358</f>
        <v/>
      </c>
      <c r="I358" s="3">
        <f>'[01_Entry.xlsx]Book'!K358</f>
        <v/>
      </c>
      <c r="J358" s="3">
        <f>'[01_Entry.xlsx]Book'!P358</f>
        <v/>
      </c>
      <c r="K358" s="3">
        <f>'[01_Entry.xlsx]Book'!F358</f>
        <v/>
      </c>
      <c r="L358" s="3">
        <f>'[01_Entry.xlsx]Book'!G358</f>
        <v/>
      </c>
      <c r="M358" s="3">
        <f>'[01_Entry.xlsx]Book'!I358</f>
        <v/>
      </c>
      <c r="N358" s="2">
        <f>IF($A358="","",MID($A358,6,2))</f>
        <v>0</v>
      </c>
      <c r="O358" s="2">
        <f>IF(OR($C358="",$C358&lt;&gt;'Inv'!$D$12),"",N(O$357)+1)</f>
        <v>0</v>
      </c>
    </row>
    <row r="359" spans="1:15">
      <c r="A359" s="2">
        <f>'[01_Entry.xlsx]Book'!A359</f>
        <v/>
      </c>
      <c r="B359" s="2">
        <f>'[01_Entry.xlsx]Book'!B359</f>
        <v/>
      </c>
      <c r="C359" s="2">
        <f>'[01_Entry.xlsx]Book'!D359</f>
        <v/>
      </c>
      <c r="D359" s="2">
        <f>'[01_Entry.xlsx]Book'!E359</f>
        <v/>
      </c>
      <c r="E359" s="2">
        <f>'[01_Entry.xlsx]Book'!O359</f>
        <v/>
      </c>
      <c r="F359" s="2">
        <f>'[01_Entry.xlsx]Book'!N359</f>
        <v/>
      </c>
      <c r="G359" s="3">
        <f>'[01_Entry.xlsx]Book'!L359</f>
        <v/>
      </c>
      <c r="H359" s="3">
        <f>'[01_Entry.xlsx]Book'!M359</f>
        <v/>
      </c>
      <c r="I359" s="3">
        <f>'[01_Entry.xlsx]Book'!K359</f>
        <v/>
      </c>
      <c r="J359" s="3">
        <f>'[01_Entry.xlsx]Book'!P359</f>
        <v/>
      </c>
      <c r="K359" s="3">
        <f>'[01_Entry.xlsx]Book'!F359</f>
        <v/>
      </c>
      <c r="L359" s="3">
        <f>'[01_Entry.xlsx]Book'!G359</f>
        <v/>
      </c>
      <c r="M359" s="3">
        <f>'[01_Entry.xlsx]Book'!I359</f>
        <v/>
      </c>
      <c r="N359" s="2">
        <f>IF($A359="","",MID($A359,6,2))</f>
        <v>0</v>
      </c>
      <c r="O359" s="2">
        <f>IF(OR($C359="",$C359&lt;&gt;'Inv'!$D$12),"",N(O$358)+1)</f>
        <v>0</v>
      </c>
    </row>
    <row r="360" spans="1:15">
      <c r="A360" s="2">
        <f>'[01_Entry.xlsx]Book'!A360</f>
        <v/>
      </c>
      <c r="B360" s="2">
        <f>'[01_Entry.xlsx]Book'!B360</f>
        <v/>
      </c>
      <c r="C360" s="2">
        <f>'[01_Entry.xlsx]Book'!D360</f>
        <v/>
      </c>
      <c r="D360" s="2">
        <f>'[01_Entry.xlsx]Book'!E360</f>
        <v/>
      </c>
      <c r="E360" s="2">
        <f>'[01_Entry.xlsx]Book'!O360</f>
        <v/>
      </c>
      <c r="F360" s="2">
        <f>'[01_Entry.xlsx]Book'!N360</f>
        <v/>
      </c>
      <c r="G360" s="3">
        <f>'[01_Entry.xlsx]Book'!L360</f>
        <v/>
      </c>
      <c r="H360" s="3">
        <f>'[01_Entry.xlsx]Book'!M360</f>
        <v/>
      </c>
      <c r="I360" s="3">
        <f>'[01_Entry.xlsx]Book'!K360</f>
        <v/>
      </c>
      <c r="J360" s="3">
        <f>'[01_Entry.xlsx]Book'!P360</f>
        <v/>
      </c>
      <c r="K360" s="3">
        <f>'[01_Entry.xlsx]Book'!F360</f>
        <v/>
      </c>
      <c r="L360" s="3">
        <f>'[01_Entry.xlsx]Book'!G360</f>
        <v/>
      </c>
      <c r="M360" s="3">
        <f>'[01_Entry.xlsx]Book'!I360</f>
        <v/>
      </c>
      <c r="N360" s="2">
        <f>IF($A360="","",MID($A360,6,2))</f>
        <v>0</v>
      </c>
      <c r="O360" s="2">
        <f>IF(OR($C360="",$C360&lt;&gt;'Inv'!$D$12),"",N(O$359)+1)</f>
        <v>0</v>
      </c>
    </row>
    <row r="361" spans="1:15">
      <c r="A361" s="2">
        <f>'[01_Entry.xlsx]Book'!A361</f>
        <v/>
      </c>
      <c r="B361" s="2">
        <f>'[01_Entry.xlsx]Book'!B361</f>
        <v/>
      </c>
      <c r="C361" s="2">
        <f>'[01_Entry.xlsx]Book'!D361</f>
        <v/>
      </c>
      <c r="D361" s="2">
        <f>'[01_Entry.xlsx]Book'!E361</f>
        <v/>
      </c>
      <c r="E361" s="2">
        <f>'[01_Entry.xlsx]Book'!O361</f>
        <v/>
      </c>
      <c r="F361" s="2">
        <f>'[01_Entry.xlsx]Book'!N361</f>
        <v/>
      </c>
      <c r="G361" s="3">
        <f>'[01_Entry.xlsx]Book'!L361</f>
        <v/>
      </c>
      <c r="H361" s="3">
        <f>'[01_Entry.xlsx]Book'!M361</f>
        <v/>
      </c>
      <c r="I361" s="3">
        <f>'[01_Entry.xlsx]Book'!K361</f>
        <v/>
      </c>
      <c r="J361" s="3">
        <f>'[01_Entry.xlsx]Book'!P361</f>
        <v/>
      </c>
      <c r="K361" s="3">
        <f>'[01_Entry.xlsx]Book'!F361</f>
        <v/>
      </c>
      <c r="L361" s="3">
        <f>'[01_Entry.xlsx]Book'!G361</f>
        <v/>
      </c>
      <c r="M361" s="3">
        <f>'[01_Entry.xlsx]Book'!I361</f>
        <v/>
      </c>
      <c r="N361" s="2">
        <f>IF($A361="","",MID($A361,6,2))</f>
        <v>0</v>
      </c>
      <c r="O361" s="2">
        <f>IF(OR($C361="",$C361&lt;&gt;'Inv'!$D$12),"",N(O$360)+1)</f>
        <v>0</v>
      </c>
    </row>
    <row r="362" spans="1:15">
      <c r="A362" s="2">
        <f>'[01_Entry.xlsx]Book'!A362</f>
        <v/>
      </c>
      <c r="B362" s="2">
        <f>'[01_Entry.xlsx]Book'!B362</f>
        <v/>
      </c>
      <c r="C362" s="2">
        <f>'[01_Entry.xlsx]Book'!D362</f>
        <v/>
      </c>
      <c r="D362" s="2">
        <f>'[01_Entry.xlsx]Book'!E362</f>
        <v/>
      </c>
      <c r="E362" s="2">
        <f>'[01_Entry.xlsx]Book'!O362</f>
        <v/>
      </c>
      <c r="F362" s="2">
        <f>'[01_Entry.xlsx]Book'!N362</f>
        <v/>
      </c>
      <c r="G362" s="3">
        <f>'[01_Entry.xlsx]Book'!L362</f>
        <v/>
      </c>
      <c r="H362" s="3">
        <f>'[01_Entry.xlsx]Book'!M362</f>
        <v/>
      </c>
      <c r="I362" s="3">
        <f>'[01_Entry.xlsx]Book'!K362</f>
        <v/>
      </c>
      <c r="J362" s="3">
        <f>'[01_Entry.xlsx]Book'!P362</f>
        <v/>
      </c>
      <c r="K362" s="3">
        <f>'[01_Entry.xlsx]Book'!F362</f>
        <v/>
      </c>
      <c r="L362" s="3">
        <f>'[01_Entry.xlsx]Book'!G362</f>
        <v/>
      </c>
      <c r="M362" s="3">
        <f>'[01_Entry.xlsx]Book'!I362</f>
        <v/>
      </c>
      <c r="N362" s="2">
        <f>IF($A362="","",MID($A362,6,2))</f>
        <v>0</v>
      </c>
      <c r="O362" s="2">
        <f>IF(OR($C362="",$C362&lt;&gt;'Inv'!$D$12),"",N(O$361)+1)</f>
        <v>0</v>
      </c>
    </row>
    <row r="363" spans="1:15">
      <c r="A363" s="2">
        <f>'[01_Entry.xlsx]Book'!A363</f>
        <v/>
      </c>
      <c r="B363" s="2">
        <f>'[01_Entry.xlsx]Book'!B363</f>
        <v/>
      </c>
      <c r="C363" s="2">
        <f>'[01_Entry.xlsx]Book'!D363</f>
        <v/>
      </c>
      <c r="D363" s="2">
        <f>'[01_Entry.xlsx]Book'!E363</f>
        <v/>
      </c>
      <c r="E363" s="2">
        <f>'[01_Entry.xlsx]Book'!O363</f>
        <v/>
      </c>
      <c r="F363" s="2">
        <f>'[01_Entry.xlsx]Book'!N363</f>
        <v/>
      </c>
      <c r="G363" s="3">
        <f>'[01_Entry.xlsx]Book'!L363</f>
        <v/>
      </c>
      <c r="H363" s="3">
        <f>'[01_Entry.xlsx]Book'!M363</f>
        <v/>
      </c>
      <c r="I363" s="3">
        <f>'[01_Entry.xlsx]Book'!K363</f>
        <v/>
      </c>
      <c r="J363" s="3">
        <f>'[01_Entry.xlsx]Book'!P363</f>
        <v/>
      </c>
      <c r="K363" s="3">
        <f>'[01_Entry.xlsx]Book'!F363</f>
        <v/>
      </c>
      <c r="L363" s="3">
        <f>'[01_Entry.xlsx]Book'!G363</f>
        <v/>
      </c>
      <c r="M363" s="3">
        <f>'[01_Entry.xlsx]Book'!I363</f>
        <v/>
      </c>
      <c r="N363" s="2">
        <f>IF($A363="","",MID($A363,6,2))</f>
        <v>0</v>
      </c>
      <c r="O363" s="2">
        <f>IF(OR($C363="",$C363&lt;&gt;'Inv'!$D$12),"",N(O$362)+1)</f>
        <v>0</v>
      </c>
    </row>
    <row r="364" spans="1:15">
      <c r="A364" s="2">
        <f>'[01_Entry.xlsx]Book'!A364</f>
        <v/>
      </c>
      <c r="B364" s="2">
        <f>'[01_Entry.xlsx]Book'!B364</f>
        <v/>
      </c>
      <c r="C364" s="2">
        <f>'[01_Entry.xlsx]Book'!D364</f>
        <v/>
      </c>
      <c r="D364" s="2">
        <f>'[01_Entry.xlsx]Book'!E364</f>
        <v/>
      </c>
      <c r="E364" s="2">
        <f>'[01_Entry.xlsx]Book'!O364</f>
        <v/>
      </c>
      <c r="F364" s="2">
        <f>'[01_Entry.xlsx]Book'!N364</f>
        <v/>
      </c>
      <c r="G364" s="3">
        <f>'[01_Entry.xlsx]Book'!L364</f>
        <v/>
      </c>
      <c r="H364" s="3">
        <f>'[01_Entry.xlsx]Book'!M364</f>
        <v/>
      </c>
      <c r="I364" s="3">
        <f>'[01_Entry.xlsx]Book'!K364</f>
        <v/>
      </c>
      <c r="J364" s="3">
        <f>'[01_Entry.xlsx]Book'!P364</f>
        <v/>
      </c>
      <c r="K364" s="3">
        <f>'[01_Entry.xlsx]Book'!F364</f>
        <v/>
      </c>
      <c r="L364" s="3">
        <f>'[01_Entry.xlsx]Book'!G364</f>
        <v/>
      </c>
      <c r="M364" s="3">
        <f>'[01_Entry.xlsx]Book'!I364</f>
        <v/>
      </c>
      <c r="N364" s="2">
        <f>IF($A364="","",MID($A364,6,2))</f>
        <v>0</v>
      </c>
      <c r="O364" s="2">
        <f>IF(OR($C364="",$C364&lt;&gt;'Inv'!$D$12),"",N(O$363)+1)</f>
        <v>0</v>
      </c>
    </row>
    <row r="365" spans="1:15">
      <c r="A365" s="2">
        <f>'[01_Entry.xlsx]Book'!A365</f>
        <v/>
      </c>
      <c r="B365" s="2">
        <f>'[01_Entry.xlsx]Book'!B365</f>
        <v/>
      </c>
      <c r="C365" s="2">
        <f>'[01_Entry.xlsx]Book'!D365</f>
        <v/>
      </c>
      <c r="D365" s="2">
        <f>'[01_Entry.xlsx]Book'!E365</f>
        <v/>
      </c>
      <c r="E365" s="2">
        <f>'[01_Entry.xlsx]Book'!O365</f>
        <v/>
      </c>
      <c r="F365" s="2">
        <f>'[01_Entry.xlsx]Book'!N365</f>
        <v/>
      </c>
      <c r="G365" s="3">
        <f>'[01_Entry.xlsx]Book'!L365</f>
        <v/>
      </c>
      <c r="H365" s="3">
        <f>'[01_Entry.xlsx]Book'!M365</f>
        <v/>
      </c>
      <c r="I365" s="3">
        <f>'[01_Entry.xlsx]Book'!K365</f>
        <v/>
      </c>
      <c r="J365" s="3">
        <f>'[01_Entry.xlsx]Book'!P365</f>
        <v/>
      </c>
      <c r="K365" s="3">
        <f>'[01_Entry.xlsx]Book'!F365</f>
        <v/>
      </c>
      <c r="L365" s="3">
        <f>'[01_Entry.xlsx]Book'!G365</f>
        <v/>
      </c>
      <c r="M365" s="3">
        <f>'[01_Entry.xlsx]Book'!I365</f>
        <v/>
      </c>
      <c r="N365" s="2">
        <f>IF($A365="","",MID($A365,6,2))</f>
        <v>0</v>
      </c>
      <c r="O365" s="2">
        <f>IF(OR($C365="",$C365&lt;&gt;'Inv'!$D$12),"",N(O$364)+1)</f>
        <v>0</v>
      </c>
    </row>
    <row r="366" spans="1:15">
      <c r="A366" s="2">
        <f>'[01_Entry.xlsx]Book'!A366</f>
        <v/>
      </c>
      <c r="B366" s="2">
        <f>'[01_Entry.xlsx]Book'!B366</f>
        <v/>
      </c>
      <c r="C366" s="2">
        <f>'[01_Entry.xlsx]Book'!D366</f>
        <v/>
      </c>
      <c r="D366" s="2">
        <f>'[01_Entry.xlsx]Book'!E366</f>
        <v/>
      </c>
      <c r="E366" s="2">
        <f>'[01_Entry.xlsx]Book'!O366</f>
        <v/>
      </c>
      <c r="F366" s="2">
        <f>'[01_Entry.xlsx]Book'!N366</f>
        <v/>
      </c>
      <c r="G366" s="3">
        <f>'[01_Entry.xlsx]Book'!L366</f>
        <v/>
      </c>
      <c r="H366" s="3">
        <f>'[01_Entry.xlsx]Book'!M366</f>
        <v/>
      </c>
      <c r="I366" s="3">
        <f>'[01_Entry.xlsx]Book'!K366</f>
        <v/>
      </c>
      <c r="J366" s="3">
        <f>'[01_Entry.xlsx]Book'!P366</f>
        <v/>
      </c>
      <c r="K366" s="3">
        <f>'[01_Entry.xlsx]Book'!F366</f>
        <v/>
      </c>
      <c r="L366" s="3">
        <f>'[01_Entry.xlsx]Book'!G366</f>
        <v/>
      </c>
      <c r="M366" s="3">
        <f>'[01_Entry.xlsx]Book'!I366</f>
        <v/>
      </c>
      <c r="N366" s="2">
        <f>IF($A366="","",MID($A366,6,2))</f>
        <v>0</v>
      </c>
      <c r="O366" s="2">
        <f>IF(OR($C366="",$C366&lt;&gt;'Inv'!$D$12),"",N(O$365)+1)</f>
        <v>0</v>
      </c>
    </row>
    <row r="367" spans="1:15">
      <c r="A367" s="2">
        <f>'[01_Entry.xlsx]Book'!A367</f>
        <v/>
      </c>
      <c r="B367" s="2">
        <f>'[01_Entry.xlsx]Book'!B367</f>
        <v/>
      </c>
      <c r="C367" s="2">
        <f>'[01_Entry.xlsx]Book'!D367</f>
        <v/>
      </c>
      <c r="D367" s="2">
        <f>'[01_Entry.xlsx]Book'!E367</f>
        <v/>
      </c>
      <c r="E367" s="2">
        <f>'[01_Entry.xlsx]Book'!O367</f>
        <v/>
      </c>
      <c r="F367" s="2">
        <f>'[01_Entry.xlsx]Book'!N367</f>
        <v/>
      </c>
      <c r="G367" s="3">
        <f>'[01_Entry.xlsx]Book'!L367</f>
        <v/>
      </c>
      <c r="H367" s="3">
        <f>'[01_Entry.xlsx]Book'!M367</f>
        <v/>
      </c>
      <c r="I367" s="3">
        <f>'[01_Entry.xlsx]Book'!K367</f>
        <v/>
      </c>
      <c r="J367" s="3">
        <f>'[01_Entry.xlsx]Book'!P367</f>
        <v/>
      </c>
      <c r="K367" s="3">
        <f>'[01_Entry.xlsx]Book'!F367</f>
        <v/>
      </c>
      <c r="L367" s="3">
        <f>'[01_Entry.xlsx]Book'!G367</f>
        <v/>
      </c>
      <c r="M367" s="3">
        <f>'[01_Entry.xlsx]Book'!I367</f>
        <v/>
      </c>
      <c r="N367" s="2">
        <f>IF($A367="","",MID($A367,6,2))</f>
        <v>0</v>
      </c>
      <c r="O367" s="2">
        <f>IF(OR($C367="",$C367&lt;&gt;'Inv'!$D$12),"",N(O$366)+1)</f>
        <v>0</v>
      </c>
    </row>
    <row r="368" spans="1:15">
      <c r="A368" s="2">
        <f>'[01_Entry.xlsx]Book'!A368</f>
        <v/>
      </c>
      <c r="B368" s="2">
        <f>'[01_Entry.xlsx]Book'!B368</f>
        <v/>
      </c>
      <c r="C368" s="2">
        <f>'[01_Entry.xlsx]Book'!D368</f>
        <v/>
      </c>
      <c r="D368" s="2">
        <f>'[01_Entry.xlsx]Book'!E368</f>
        <v/>
      </c>
      <c r="E368" s="2">
        <f>'[01_Entry.xlsx]Book'!O368</f>
        <v/>
      </c>
      <c r="F368" s="2">
        <f>'[01_Entry.xlsx]Book'!N368</f>
        <v/>
      </c>
      <c r="G368" s="3">
        <f>'[01_Entry.xlsx]Book'!L368</f>
        <v/>
      </c>
      <c r="H368" s="3">
        <f>'[01_Entry.xlsx]Book'!M368</f>
        <v/>
      </c>
      <c r="I368" s="3">
        <f>'[01_Entry.xlsx]Book'!K368</f>
        <v/>
      </c>
      <c r="J368" s="3">
        <f>'[01_Entry.xlsx]Book'!P368</f>
        <v/>
      </c>
      <c r="K368" s="3">
        <f>'[01_Entry.xlsx]Book'!F368</f>
        <v/>
      </c>
      <c r="L368" s="3">
        <f>'[01_Entry.xlsx]Book'!G368</f>
        <v/>
      </c>
      <c r="M368" s="3">
        <f>'[01_Entry.xlsx]Book'!I368</f>
        <v/>
      </c>
      <c r="N368" s="2">
        <f>IF($A368="","",MID($A368,6,2))</f>
        <v>0</v>
      </c>
      <c r="O368" s="2">
        <f>IF(OR($C368="",$C368&lt;&gt;'Inv'!$D$12),"",N(O$367)+1)</f>
        <v>0</v>
      </c>
    </row>
    <row r="369" spans="1:15">
      <c r="A369" s="2">
        <f>'[01_Entry.xlsx]Book'!A369</f>
        <v/>
      </c>
      <c r="B369" s="2">
        <f>'[01_Entry.xlsx]Book'!B369</f>
        <v/>
      </c>
      <c r="C369" s="2">
        <f>'[01_Entry.xlsx]Book'!D369</f>
        <v/>
      </c>
      <c r="D369" s="2">
        <f>'[01_Entry.xlsx]Book'!E369</f>
        <v/>
      </c>
      <c r="E369" s="2">
        <f>'[01_Entry.xlsx]Book'!O369</f>
        <v/>
      </c>
      <c r="F369" s="2">
        <f>'[01_Entry.xlsx]Book'!N369</f>
        <v/>
      </c>
      <c r="G369" s="3">
        <f>'[01_Entry.xlsx]Book'!L369</f>
        <v/>
      </c>
      <c r="H369" s="3">
        <f>'[01_Entry.xlsx]Book'!M369</f>
        <v/>
      </c>
      <c r="I369" s="3">
        <f>'[01_Entry.xlsx]Book'!K369</f>
        <v/>
      </c>
      <c r="J369" s="3">
        <f>'[01_Entry.xlsx]Book'!P369</f>
        <v/>
      </c>
      <c r="K369" s="3">
        <f>'[01_Entry.xlsx]Book'!F369</f>
        <v/>
      </c>
      <c r="L369" s="3">
        <f>'[01_Entry.xlsx]Book'!G369</f>
        <v/>
      </c>
      <c r="M369" s="3">
        <f>'[01_Entry.xlsx]Book'!I369</f>
        <v/>
      </c>
      <c r="N369" s="2">
        <f>IF($A369="","",MID($A369,6,2))</f>
        <v>0</v>
      </c>
      <c r="O369" s="2">
        <f>IF(OR($C369="",$C369&lt;&gt;'Inv'!$D$12),"",N(O$368)+1)</f>
        <v>0</v>
      </c>
    </row>
    <row r="370" spans="1:15">
      <c r="A370" s="2">
        <f>'[01_Entry.xlsx]Book'!A370</f>
        <v/>
      </c>
      <c r="B370" s="2">
        <f>'[01_Entry.xlsx]Book'!B370</f>
        <v/>
      </c>
      <c r="C370" s="2">
        <f>'[01_Entry.xlsx]Book'!D370</f>
        <v/>
      </c>
      <c r="D370" s="2">
        <f>'[01_Entry.xlsx]Book'!E370</f>
        <v/>
      </c>
      <c r="E370" s="2">
        <f>'[01_Entry.xlsx]Book'!O370</f>
        <v/>
      </c>
      <c r="F370" s="2">
        <f>'[01_Entry.xlsx]Book'!N370</f>
        <v/>
      </c>
      <c r="G370" s="3">
        <f>'[01_Entry.xlsx]Book'!L370</f>
        <v/>
      </c>
      <c r="H370" s="3">
        <f>'[01_Entry.xlsx]Book'!M370</f>
        <v/>
      </c>
      <c r="I370" s="3">
        <f>'[01_Entry.xlsx]Book'!K370</f>
        <v/>
      </c>
      <c r="J370" s="3">
        <f>'[01_Entry.xlsx]Book'!P370</f>
        <v/>
      </c>
      <c r="K370" s="3">
        <f>'[01_Entry.xlsx]Book'!F370</f>
        <v/>
      </c>
      <c r="L370" s="3">
        <f>'[01_Entry.xlsx]Book'!G370</f>
        <v/>
      </c>
      <c r="M370" s="3">
        <f>'[01_Entry.xlsx]Book'!I370</f>
        <v/>
      </c>
      <c r="N370" s="2">
        <f>IF($A370="","",MID($A370,6,2))</f>
        <v>0</v>
      </c>
      <c r="O370" s="2">
        <f>IF(OR($C370="",$C370&lt;&gt;'Inv'!$D$12),"",N(O$369)+1)</f>
        <v>0</v>
      </c>
    </row>
    <row r="371" spans="1:15">
      <c r="A371" s="2">
        <f>'[01_Entry.xlsx]Book'!A371</f>
        <v/>
      </c>
      <c r="B371" s="2">
        <f>'[01_Entry.xlsx]Book'!B371</f>
        <v/>
      </c>
      <c r="C371" s="2">
        <f>'[01_Entry.xlsx]Book'!D371</f>
        <v/>
      </c>
      <c r="D371" s="2">
        <f>'[01_Entry.xlsx]Book'!E371</f>
        <v/>
      </c>
      <c r="E371" s="2">
        <f>'[01_Entry.xlsx]Book'!O371</f>
        <v/>
      </c>
      <c r="F371" s="2">
        <f>'[01_Entry.xlsx]Book'!N371</f>
        <v/>
      </c>
      <c r="G371" s="3">
        <f>'[01_Entry.xlsx]Book'!L371</f>
        <v/>
      </c>
      <c r="H371" s="3">
        <f>'[01_Entry.xlsx]Book'!M371</f>
        <v/>
      </c>
      <c r="I371" s="3">
        <f>'[01_Entry.xlsx]Book'!K371</f>
        <v/>
      </c>
      <c r="J371" s="3">
        <f>'[01_Entry.xlsx]Book'!P371</f>
        <v/>
      </c>
      <c r="K371" s="3">
        <f>'[01_Entry.xlsx]Book'!F371</f>
        <v/>
      </c>
      <c r="L371" s="3">
        <f>'[01_Entry.xlsx]Book'!G371</f>
        <v/>
      </c>
      <c r="M371" s="3">
        <f>'[01_Entry.xlsx]Book'!I371</f>
        <v/>
      </c>
      <c r="N371" s="2">
        <f>IF($A371="","",MID($A371,6,2))</f>
        <v>0</v>
      </c>
      <c r="O371" s="2">
        <f>IF(OR($C371="",$C371&lt;&gt;'Inv'!$D$12),"",N(O$370)+1)</f>
        <v>0</v>
      </c>
    </row>
    <row r="372" spans="1:15">
      <c r="A372" s="2">
        <f>'[01_Entry.xlsx]Book'!A372</f>
        <v/>
      </c>
      <c r="B372" s="2">
        <f>'[01_Entry.xlsx]Book'!B372</f>
        <v/>
      </c>
      <c r="C372" s="2">
        <f>'[01_Entry.xlsx]Book'!D372</f>
        <v/>
      </c>
      <c r="D372" s="2">
        <f>'[01_Entry.xlsx]Book'!E372</f>
        <v/>
      </c>
      <c r="E372" s="2">
        <f>'[01_Entry.xlsx]Book'!O372</f>
        <v/>
      </c>
      <c r="F372" s="2">
        <f>'[01_Entry.xlsx]Book'!N372</f>
        <v/>
      </c>
      <c r="G372" s="3">
        <f>'[01_Entry.xlsx]Book'!L372</f>
        <v/>
      </c>
      <c r="H372" s="3">
        <f>'[01_Entry.xlsx]Book'!M372</f>
        <v/>
      </c>
      <c r="I372" s="3">
        <f>'[01_Entry.xlsx]Book'!K372</f>
        <v/>
      </c>
      <c r="J372" s="3">
        <f>'[01_Entry.xlsx]Book'!P372</f>
        <v/>
      </c>
      <c r="K372" s="3">
        <f>'[01_Entry.xlsx]Book'!F372</f>
        <v/>
      </c>
      <c r="L372" s="3">
        <f>'[01_Entry.xlsx]Book'!G372</f>
        <v/>
      </c>
      <c r="M372" s="3">
        <f>'[01_Entry.xlsx]Book'!I372</f>
        <v/>
      </c>
      <c r="N372" s="2">
        <f>IF($A372="","",MID($A372,6,2))</f>
        <v>0</v>
      </c>
      <c r="O372" s="2">
        <f>IF(OR($C372="",$C372&lt;&gt;'Inv'!$D$12),"",N(O$371)+1)</f>
        <v>0</v>
      </c>
    </row>
    <row r="373" spans="1:15">
      <c r="A373" s="2">
        <f>'[01_Entry.xlsx]Book'!A373</f>
        <v/>
      </c>
      <c r="B373" s="2">
        <f>'[01_Entry.xlsx]Book'!B373</f>
        <v/>
      </c>
      <c r="C373" s="2">
        <f>'[01_Entry.xlsx]Book'!D373</f>
        <v/>
      </c>
      <c r="D373" s="2">
        <f>'[01_Entry.xlsx]Book'!E373</f>
        <v/>
      </c>
      <c r="E373" s="2">
        <f>'[01_Entry.xlsx]Book'!O373</f>
        <v/>
      </c>
      <c r="F373" s="2">
        <f>'[01_Entry.xlsx]Book'!N373</f>
        <v/>
      </c>
      <c r="G373" s="3">
        <f>'[01_Entry.xlsx]Book'!L373</f>
        <v/>
      </c>
      <c r="H373" s="3">
        <f>'[01_Entry.xlsx]Book'!M373</f>
        <v/>
      </c>
      <c r="I373" s="3">
        <f>'[01_Entry.xlsx]Book'!K373</f>
        <v/>
      </c>
      <c r="J373" s="3">
        <f>'[01_Entry.xlsx]Book'!P373</f>
        <v/>
      </c>
      <c r="K373" s="3">
        <f>'[01_Entry.xlsx]Book'!F373</f>
        <v/>
      </c>
      <c r="L373" s="3">
        <f>'[01_Entry.xlsx]Book'!G373</f>
        <v/>
      </c>
      <c r="M373" s="3">
        <f>'[01_Entry.xlsx]Book'!I373</f>
        <v/>
      </c>
      <c r="N373" s="2">
        <f>IF($A373="","",MID($A373,6,2))</f>
        <v>0</v>
      </c>
      <c r="O373" s="2">
        <f>IF(OR($C373="",$C373&lt;&gt;'Inv'!$D$12),"",N(O$372)+1)</f>
        <v>0</v>
      </c>
    </row>
    <row r="374" spans="1:15">
      <c r="A374" s="2">
        <f>'[01_Entry.xlsx]Book'!A374</f>
        <v/>
      </c>
      <c r="B374" s="2">
        <f>'[01_Entry.xlsx]Book'!B374</f>
        <v/>
      </c>
      <c r="C374" s="2">
        <f>'[01_Entry.xlsx]Book'!D374</f>
        <v/>
      </c>
      <c r="D374" s="2">
        <f>'[01_Entry.xlsx]Book'!E374</f>
        <v/>
      </c>
      <c r="E374" s="2">
        <f>'[01_Entry.xlsx]Book'!O374</f>
        <v/>
      </c>
      <c r="F374" s="2">
        <f>'[01_Entry.xlsx]Book'!N374</f>
        <v/>
      </c>
      <c r="G374" s="3">
        <f>'[01_Entry.xlsx]Book'!L374</f>
        <v/>
      </c>
      <c r="H374" s="3">
        <f>'[01_Entry.xlsx]Book'!M374</f>
        <v/>
      </c>
      <c r="I374" s="3">
        <f>'[01_Entry.xlsx]Book'!K374</f>
        <v/>
      </c>
      <c r="J374" s="3">
        <f>'[01_Entry.xlsx]Book'!P374</f>
        <v/>
      </c>
      <c r="K374" s="3">
        <f>'[01_Entry.xlsx]Book'!F374</f>
        <v/>
      </c>
      <c r="L374" s="3">
        <f>'[01_Entry.xlsx]Book'!G374</f>
        <v/>
      </c>
      <c r="M374" s="3">
        <f>'[01_Entry.xlsx]Book'!I374</f>
        <v/>
      </c>
      <c r="N374" s="2">
        <f>IF($A374="","",MID($A374,6,2))</f>
        <v>0</v>
      </c>
      <c r="O374" s="2">
        <f>IF(OR($C374="",$C374&lt;&gt;'Inv'!$D$12),"",N(O$373)+1)</f>
        <v>0</v>
      </c>
    </row>
    <row r="375" spans="1:15">
      <c r="A375" s="2">
        <f>'[01_Entry.xlsx]Book'!A375</f>
        <v/>
      </c>
      <c r="B375" s="2">
        <f>'[01_Entry.xlsx]Book'!B375</f>
        <v/>
      </c>
      <c r="C375" s="2">
        <f>'[01_Entry.xlsx]Book'!D375</f>
        <v/>
      </c>
      <c r="D375" s="2">
        <f>'[01_Entry.xlsx]Book'!E375</f>
        <v/>
      </c>
      <c r="E375" s="2">
        <f>'[01_Entry.xlsx]Book'!O375</f>
        <v/>
      </c>
      <c r="F375" s="2">
        <f>'[01_Entry.xlsx]Book'!N375</f>
        <v/>
      </c>
      <c r="G375" s="3">
        <f>'[01_Entry.xlsx]Book'!L375</f>
        <v/>
      </c>
      <c r="H375" s="3">
        <f>'[01_Entry.xlsx]Book'!M375</f>
        <v/>
      </c>
      <c r="I375" s="3">
        <f>'[01_Entry.xlsx]Book'!K375</f>
        <v/>
      </c>
      <c r="J375" s="3">
        <f>'[01_Entry.xlsx]Book'!P375</f>
        <v/>
      </c>
      <c r="K375" s="3">
        <f>'[01_Entry.xlsx]Book'!F375</f>
        <v/>
      </c>
      <c r="L375" s="3">
        <f>'[01_Entry.xlsx]Book'!G375</f>
        <v/>
      </c>
      <c r="M375" s="3">
        <f>'[01_Entry.xlsx]Book'!I375</f>
        <v/>
      </c>
      <c r="N375" s="2">
        <f>IF($A375="","",MID($A375,6,2))</f>
        <v>0</v>
      </c>
      <c r="O375" s="2">
        <f>IF(OR($C375="",$C375&lt;&gt;'Inv'!$D$12),"",N(O$374)+1)</f>
        <v>0</v>
      </c>
    </row>
    <row r="376" spans="1:15">
      <c r="A376" s="2">
        <f>'[01_Entry.xlsx]Book'!A376</f>
        <v/>
      </c>
      <c r="B376" s="2">
        <f>'[01_Entry.xlsx]Book'!B376</f>
        <v/>
      </c>
      <c r="C376" s="2">
        <f>'[01_Entry.xlsx]Book'!D376</f>
        <v/>
      </c>
      <c r="D376" s="2">
        <f>'[01_Entry.xlsx]Book'!E376</f>
        <v/>
      </c>
      <c r="E376" s="2">
        <f>'[01_Entry.xlsx]Book'!O376</f>
        <v/>
      </c>
      <c r="F376" s="2">
        <f>'[01_Entry.xlsx]Book'!N376</f>
        <v/>
      </c>
      <c r="G376" s="3">
        <f>'[01_Entry.xlsx]Book'!L376</f>
        <v/>
      </c>
      <c r="H376" s="3">
        <f>'[01_Entry.xlsx]Book'!M376</f>
        <v/>
      </c>
      <c r="I376" s="3">
        <f>'[01_Entry.xlsx]Book'!K376</f>
        <v/>
      </c>
      <c r="J376" s="3">
        <f>'[01_Entry.xlsx]Book'!P376</f>
        <v/>
      </c>
      <c r="K376" s="3">
        <f>'[01_Entry.xlsx]Book'!F376</f>
        <v/>
      </c>
      <c r="L376" s="3">
        <f>'[01_Entry.xlsx]Book'!G376</f>
        <v/>
      </c>
      <c r="M376" s="3">
        <f>'[01_Entry.xlsx]Book'!I376</f>
        <v/>
      </c>
      <c r="N376" s="2">
        <f>IF($A376="","",MID($A376,6,2))</f>
        <v>0</v>
      </c>
      <c r="O376" s="2">
        <f>IF(OR($C376="",$C376&lt;&gt;'Inv'!$D$12),"",N(O$375)+1)</f>
        <v>0</v>
      </c>
    </row>
    <row r="377" spans="1:15">
      <c r="A377" s="2">
        <f>'[01_Entry.xlsx]Book'!A377</f>
        <v/>
      </c>
      <c r="B377" s="2">
        <f>'[01_Entry.xlsx]Book'!B377</f>
        <v/>
      </c>
      <c r="C377" s="2">
        <f>'[01_Entry.xlsx]Book'!D377</f>
        <v/>
      </c>
      <c r="D377" s="2">
        <f>'[01_Entry.xlsx]Book'!E377</f>
        <v/>
      </c>
      <c r="E377" s="2">
        <f>'[01_Entry.xlsx]Book'!O377</f>
        <v/>
      </c>
      <c r="F377" s="2">
        <f>'[01_Entry.xlsx]Book'!N377</f>
        <v/>
      </c>
      <c r="G377" s="3">
        <f>'[01_Entry.xlsx]Book'!L377</f>
        <v/>
      </c>
      <c r="H377" s="3">
        <f>'[01_Entry.xlsx]Book'!M377</f>
        <v/>
      </c>
      <c r="I377" s="3">
        <f>'[01_Entry.xlsx]Book'!K377</f>
        <v/>
      </c>
      <c r="J377" s="3">
        <f>'[01_Entry.xlsx]Book'!P377</f>
        <v/>
      </c>
      <c r="K377" s="3">
        <f>'[01_Entry.xlsx]Book'!F377</f>
        <v/>
      </c>
      <c r="L377" s="3">
        <f>'[01_Entry.xlsx]Book'!G377</f>
        <v/>
      </c>
      <c r="M377" s="3">
        <f>'[01_Entry.xlsx]Book'!I377</f>
        <v/>
      </c>
      <c r="N377" s="2">
        <f>IF($A377="","",MID($A377,6,2))</f>
        <v>0</v>
      </c>
      <c r="O377" s="2">
        <f>IF(OR($C377="",$C377&lt;&gt;'Inv'!$D$12),"",N(O$376)+1)</f>
        <v>0</v>
      </c>
    </row>
    <row r="378" spans="1:15">
      <c r="A378" s="2">
        <f>'[01_Entry.xlsx]Book'!A378</f>
        <v/>
      </c>
      <c r="B378" s="2">
        <f>'[01_Entry.xlsx]Book'!B378</f>
        <v/>
      </c>
      <c r="C378" s="2">
        <f>'[01_Entry.xlsx]Book'!D378</f>
        <v/>
      </c>
      <c r="D378" s="2">
        <f>'[01_Entry.xlsx]Book'!E378</f>
        <v/>
      </c>
      <c r="E378" s="2">
        <f>'[01_Entry.xlsx]Book'!O378</f>
        <v/>
      </c>
      <c r="F378" s="2">
        <f>'[01_Entry.xlsx]Book'!N378</f>
        <v/>
      </c>
      <c r="G378" s="3">
        <f>'[01_Entry.xlsx]Book'!L378</f>
        <v/>
      </c>
      <c r="H378" s="3">
        <f>'[01_Entry.xlsx]Book'!M378</f>
        <v/>
      </c>
      <c r="I378" s="3">
        <f>'[01_Entry.xlsx]Book'!K378</f>
        <v/>
      </c>
      <c r="J378" s="3">
        <f>'[01_Entry.xlsx]Book'!P378</f>
        <v/>
      </c>
      <c r="K378" s="3">
        <f>'[01_Entry.xlsx]Book'!F378</f>
        <v/>
      </c>
      <c r="L378" s="3">
        <f>'[01_Entry.xlsx]Book'!G378</f>
        <v/>
      </c>
      <c r="M378" s="3">
        <f>'[01_Entry.xlsx]Book'!I378</f>
        <v/>
      </c>
      <c r="N378" s="2">
        <f>IF($A378="","",MID($A378,6,2))</f>
        <v>0</v>
      </c>
      <c r="O378" s="2">
        <f>IF(OR($C378="",$C378&lt;&gt;'Inv'!$D$12),"",N(O$377)+1)</f>
        <v>0</v>
      </c>
    </row>
    <row r="379" spans="1:15">
      <c r="A379" s="2">
        <f>'[01_Entry.xlsx]Book'!A379</f>
        <v/>
      </c>
      <c r="B379" s="2">
        <f>'[01_Entry.xlsx]Book'!B379</f>
        <v/>
      </c>
      <c r="C379" s="2">
        <f>'[01_Entry.xlsx]Book'!D379</f>
        <v/>
      </c>
      <c r="D379" s="2">
        <f>'[01_Entry.xlsx]Book'!E379</f>
        <v/>
      </c>
      <c r="E379" s="2">
        <f>'[01_Entry.xlsx]Book'!O379</f>
        <v/>
      </c>
      <c r="F379" s="2">
        <f>'[01_Entry.xlsx]Book'!N379</f>
        <v/>
      </c>
      <c r="G379" s="3">
        <f>'[01_Entry.xlsx]Book'!L379</f>
        <v/>
      </c>
      <c r="H379" s="3">
        <f>'[01_Entry.xlsx]Book'!M379</f>
        <v/>
      </c>
      <c r="I379" s="3">
        <f>'[01_Entry.xlsx]Book'!K379</f>
        <v/>
      </c>
      <c r="J379" s="3">
        <f>'[01_Entry.xlsx]Book'!P379</f>
        <v/>
      </c>
      <c r="K379" s="3">
        <f>'[01_Entry.xlsx]Book'!F379</f>
        <v/>
      </c>
      <c r="L379" s="3">
        <f>'[01_Entry.xlsx]Book'!G379</f>
        <v/>
      </c>
      <c r="M379" s="3">
        <f>'[01_Entry.xlsx]Book'!I379</f>
        <v/>
      </c>
      <c r="N379" s="2">
        <f>IF($A379="","",MID($A379,6,2))</f>
        <v>0</v>
      </c>
      <c r="O379" s="2">
        <f>IF(OR($C379="",$C379&lt;&gt;'Inv'!$D$12),"",N(O$378)+1)</f>
        <v>0</v>
      </c>
    </row>
    <row r="380" spans="1:15">
      <c r="A380" s="2">
        <f>'[01_Entry.xlsx]Book'!A380</f>
        <v/>
      </c>
      <c r="B380" s="2">
        <f>'[01_Entry.xlsx]Book'!B380</f>
        <v/>
      </c>
      <c r="C380" s="2">
        <f>'[01_Entry.xlsx]Book'!D380</f>
        <v/>
      </c>
      <c r="D380" s="2">
        <f>'[01_Entry.xlsx]Book'!E380</f>
        <v/>
      </c>
      <c r="E380" s="2">
        <f>'[01_Entry.xlsx]Book'!O380</f>
        <v/>
      </c>
      <c r="F380" s="2">
        <f>'[01_Entry.xlsx]Book'!N380</f>
        <v/>
      </c>
      <c r="G380" s="3">
        <f>'[01_Entry.xlsx]Book'!L380</f>
        <v/>
      </c>
      <c r="H380" s="3">
        <f>'[01_Entry.xlsx]Book'!M380</f>
        <v/>
      </c>
      <c r="I380" s="3">
        <f>'[01_Entry.xlsx]Book'!K380</f>
        <v/>
      </c>
      <c r="J380" s="3">
        <f>'[01_Entry.xlsx]Book'!P380</f>
        <v/>
      </c>
      <c r="K380" s="3">
        <f>'[01_Entry.xlsx]Book'!F380</f>
        <v/>
      </c>
      <c r="L380" s="3">
        <f>'[01_Entry.xlsx]Book'!G380</f>
        <v/>
      </c>
      <c r="M380" s="3">
        <f>'[01_Entry.xlsx]Book'!I380</f>
        <v/>
      </c>
      <c r="N380" s="2">
        <f>IF($A380="","",MID($A380,6,2))</f>
        <v>0</v>
      </c>
      <c r="O380" s="2">
        <f>IF(OR($C380="",$C380&lt;&gt;'Inv'!$D$12),"",N(O$379)+1)</f>
        <v>0</v>
      </c>
    </row>
    <row r="381" spans="1:15">
      <c r="A381" s="2">
        <f>'[01_Entry.xlsx]Book'!A381</f>
        <v/>
      </c>
      <c r="B381" s="2">
        <f>'[01_Entry.xlsx]Book'!B381</f>
        <v/>
      </c>
      <c r="C381" s="2">
        <f>'[01_Entry.xlsx]Book'!D381</f>
        <v/>
      </c>
      <c r="D381" s="2">
        <f>'[01_Entry.xlsx]Book'!E381</f>
        <v/>
      </c>
      <c r="E381" s="2">
        <f>'[01_Entry.xlsx]Book'!O381</f>
        <v/>
      </c>
      <c r="F381" s="2">
        <f>'[01_Entry.xlsx]Book'!N381</f>
        <v/>
      </c>
      <c r="G381" s="3">
        <f>'[01_Entry.xlsx]Book'!L381</f>
        <v/>
      </c>
      <c r="H381" s="3">
        <f>'[01_Entry.xlsx]Book'!M381</f>
        <v/>
      </c>
      <c r="I381" s="3">
        <f>'[01_Entry.xlsx]Book'!K381</f>
        <v/>
      </c>
      <c r="J381" s="3">
        <f>'[01_Entry.xlsx]Book'!P381</f>
        <v/>
      </c>
      <c r="K381" s="3">
        <f>'[01_Entry.xlsx]Book'!F381</f>
        <v/>
      </c>
      <c r="L381" s="3">
        <f>'[01_Entry.xlsx]Book'!G381</f>
        <v/>
      </c>
      <c r="M381" s="3">
        <f>'[01_Entry.xlsx]Book'!I381</f>
        <v/>
      </c>
      <c r="N381" s="2">
        <f>IF($A381="","",MID($A381,6,2))</f>
        <v>0</v>
      </c>
      <c r="O381" s="2">
        <f>IF(OR($C381="",$C381&lt;&gt;'Inv'!$D$12),"",N(O$380)+1)</f>
        <v>0</v>
      </c>
    </row>
    <row r="382" spans="1:15">
      <c r="A382" s="2">
        <f>'[01_Entry.xlsx]Book'!A382</f>
        <v/>
      </c>
      <c r="B382" s="2">
        <f>'[01_Entry.xlsx]Book'!B382</f>
        <v/>
      </c>
      <c r="C382" s="2">
        <f>'[01_Entry.xlsx]Book'!D382</f>
        <v/>
      </c>
      <c r="D382" s="2">
        <f>'[01_Entry.xlsx]Book'!E382</f>
        <v/>
      </c>
      <c r="E382" s="2">
        <f>'[01_Entry.xlsx]Book'!O382</f>
        <v/>
      </c>
      <c r="F382" s="2">
        <f>'[01_Entry.xlsx]Book'!N382</f>
        <v/>
      </c>
      <c r="G382" s="3">
        <f>'[01_Entry.xlsx]Book'!L382</f>
        <v/>
      </c>
      <c r="H382" s="3">
        <f>'[01_Entry.xlsx]Book'!M382</f>
        <v/>
      </c>
      <c r="I382" s="3">
        <f>'[01_Entry.xlsx]Book'!K382</f>
        <v/>
      </c>
      <c r="J382" s="3">
        <f>'[01_Entry.xlsx]Book'!P382</f>
        <v/>
      </c>
      <c r="K382" s="3">
        <f>'[01_Entry.xlsx]Book'!F382</f>
        <v/>
      </c>
      <c r="L382" s="3">
        <f>'[01_Entry.xlsx]Book'!G382</f>
        <v/>
      </c>
      <c r="M382" s="3">
        <f>'[01_Entry.xlsx]Book'!I382</f>
        <v/>
      </c>
      <c r="N382" s="2">
        <f>IF($A382="","",MID($A382,6,2))</f>
        <v>0</v>
      </c>
      <c r="O382" s="2">
        <f>IF(OR($C382="",$C382&lt;&gt;'Inv'!$D$12),"",N(O$381)+1)</f>
        <v>0</v>
      </c>
    </row>
    <row r="383" spans="1:15">
      <c r="A383" s="2">
        <f>'[01_Entry.xlsx]Book'!A383</f>
        <v/>
      </c>
      <c r="B383" s="2">
        <f>'[01_Entry.xlsx]Book'!B383</f>
        <v/>
      </c>
      <c r="C383" s="2">
        <f>'[01_Entry.xlsx]Book'!D383</f>
        <v/>
      </c>
      <c r="D383" s="2">
        <f>'[01_Entry.xlsx]Book'!E383</f>
        <v/>
      </c>
      <c r="E383" s="2">
        <f>'[01_Entry.xlsx]Book'!O383</f>
        <v/>
      </c>
      <c r="F383" s="2">
        <f>'[01_Entry.xlsx]Book'!N383</f>
        <v/>
      </c>
      <c r="G383" s="3">
        <f>'[01_Entry.xlsx]Book'!L383</f>
        <v/>
      </c>
      <c r="H383" s="3">
        <f>'[01_Entry.xlsx]Book'!M383</f>
        <v/>
      </c>
      <c r="I383" s="3">
        <f>'[01_Entry.xlsx]Book'!K383</f>
        <v/>
      </c>
      <c r="J383" s="3">
        <f>'[01_Entry.xlsx]Book'!P383</f>
        <v/>
      </c>
      <c r="K383" s="3">
        <f>'[01_Entry.xlsx]Book'!F383</f>
        <v/>
      </c>
      <c r="L383" s="3">
        <f>'[01_Entry.xlsx]Book'!G383</f>
        <v/>
      </c>
      <c r="M383" s="3">
        <f>'[01_Entry.xlsx]Book'!I383</f>
        <v/>
      </c>
      <c r="N383" s="2">
        <f>IF($A383="","",MID($A383,6,2))</f>
        <v>0</v>
      </c>
      <c r="O383" s="2">
        <f>IF(OR($C383="",$C383&lt;&gt;'Inv'!$D$12),"",N(O$382)+1)</f>
        <v>0</v>
      </c>
    </row>
    <row r="384" spans="1:15">
      <c r="A384" s="2">
        <f>'[01_Entry.xlsx]Book'!A384</f>
        <v/>
      </c>
      <c r="B384" s="2">
        <f>'[01_Entry.xlsx]Book'!B384</f>
        <v/>
      </c>
      <c r="C384" s="2">
        <f>'[01_Entry.xlsx]Book'!D384</f>
        <v/>
      </c>
      <c r="D384" s="2">
        <f>'[01_Entry.xlsx]Book'!E384</f>
        <v/>
      </c>
      <c r="E384" s="2">
        <f>'[01_Entry.xlsx]Book'!O384</f>
        <v/>
      </c>
      <c r="F384" s="2">
        <f>'[01_Entry.xlsx]Book'!N384</f>
        <v/>
      </c>
      <c r="G384" s="3">
        <f>'[01_Entry.xlsx]Book'!L384</f>
        <v/>
      </c>
      <c r="H384" s="3">
        <f>'[01_Entry.xlsx]Book'!M384</f>
        <v/>
      </c>
      <c r="I384" s="3">
        <f>'[01_Entry.xlsx]Book'!K384</f>
        <v/>
      </c>
      <c r="J384" s="3">
        <f>'[01_Entry.xlsx]Book'!P384</f>
        <v/>
      </c>
      <c r="K384" s="3">
        <f>'[01_Entry.xlsx]Book'!F384</f>
        <v/>
      </c>
      <c r="L384" s="3">
        <f>'[01_Entry.xlsx]Book'!G384</f>
        <v/>
      </c>
      <c r="M384" s="3">
        <f>'[01_Entry.xlsx]Book'!I384</f>
        <v/>
      </c>
      <c r="N384" s="2">
        <f>IF($A384="","",MID($A384,6,2))</f>
        <v>0</v>
      </c>
      <c r="O384" s="2">
        <f>IF(OR($C384="",$C384&lt;&gt;'Inv'!$D$12),"",N(O$383)+1)</f>
        <v>0</v>
      </c>
    </row>
    <row r="385" spans="1:15">
      <c r="A385" s="2">
        <f>'[01_Entry.xlsx]Book'!A385</f>
        <v/>
      </c>
      <c r="B385" s="2">
        <f>'[01_Entry.xlsx]Book'!B385</f>
        <v/>
      </c>
      <c r="C385" s="2">
        <f>'[01_Entry.xlsx]Book'!D385</f>
        <v/>
      </c>
      <c r="D385" s="2">
        <f>'[01_Entry.xlsx]Book'!E385</f>
        <v/>
      </c>
      <c r="E385" s="2">
        <f>'[01_Entry.xlsx]Book'!O385</f>
        <v/>
      </c>
      <c r="F385" s="2">
        <f>'[01_Entry.xlsx]Book'!N385</f>
        <v/>
      </c>
      <c r="G385" s="3">
        <f>'[01_Entry.xlsx]Book'!L385</f>
        <v/>
      </c>
      <c r="H385" s="3">
        <f>'[01_Entry.xlsx]Book'!M385</f>
        <v/>
      </c>
      <c r="I385" s="3">
        <f>'[01_Entry.xlsx]Book'!K385</f>
        <v/>
      </c>
      <c r="J385" s="3">
        <f>'[01_Entry.xlsx]Book'!P385</f>
        <v/>
      </c>
      <c r="K385" s="3">
        <f>'[01_Entry.xlsx]Book'!F385</f>
        <v/>
      </c>
      <c r="L385" s="3">
        <f>'[01_Entry.xlsx]Book'!G385</f>
        <v/>
      </c>
      <c r="M385" s="3">
        <f>'[01_Entry.xlsx]Book'!I385</f>
        <v/>
      </c>
      <c r="N385" s="2">
        <f>IF($A385="","",MID($A385,6,2))</f>
        <v>0</v>
      </c>
      <c r="O385" s="2">
        <f>IF(OR($C385="",$C385&lt;&gt;'Inv'!$D$12),"",N(O$384)+1)</f>
        <v>0</v>
      </c>
    </row>
    <row r="386" spans="1:15">
      <c r="A386" s="2">
        <f>'[01_Entry.xlsx]Book'!A386</f>
        <v/>
      </c>
      <c r="B386" s="2">
        <f>'[01_Entry.xlsx]Book'!B386</f>
        <v/>
      </c>
      <c r="C386" s="2">
        <f>'[01_Entry.xlsx]Book'!D386</f>
        <v/>
      </c>
      <c r="D386" s="2">
        <f>'[01_Entry.xlsx]Book'!E386</f>
        <v/>
      </c>
      <c r="E386" s="2">
        <f>'[01_Entry.xlsx]Book'!O386</f>
        <v/>
      </c>
      <c r="F386" s="2">
        <f>'[01_Entry.xlsx]Book'!N386</f>
        <v/>
      </c>
      <c r="G386" s="3">
        <f>'[01_Entry.xlsx]Book'!L386</f>
        <v/>
      </c>
      <c r="H386" s="3">
        <f>'[01_Entry.xlsx]Book'!M386</f>
        <v/>
      </c>
      <c r="I386" s="3">
        <f>'[01_Entry.xlsx]Book'!K386</f>
        <v/>
      </c>
      <c r="J386" s="3">
        <f>'[01_Entry.xlsx]Book'!P386</f>
        <v/>
      </c>
      <c r="K386" s="3">
        <f>'[01_Entry.xlsx]Book'!F386</f>
        <v/>
      </c>
      <c r="L386" s="3">
        <f>'[01_Entry.xlsx]Book'!G386</f>
        <v/>
      </c>
      <c r="M386" s="3">
        <f>'[01_Entry.xlsx]Book'!I386</f>
        <v/>
      </c>
      <c r="N386" s="2">
        <f>IF($A386="","",MID($A386,6,2))</f>
        <v>0</v>
      </c>
      <c r="O386" s="2">
        <f>IF(OR($C386="",$C386&lt;&gt;'Inv'!$D$12),"",N(O$385)+1)</f>
        <v>0</v>
      </c>
    </row>
    <row r="387" spans="1:15">
      <c r="A387" s="2">
        <f>'[01_Entry.xlsx]Book'!A387</f>
        <v/>
      </c>
      <c r="B387" s="2">
        <f>'[01_Entry.xlsx]Book'!B387</f>
        <v/>
      </c>
      <c r="C387" s="2">
        <f>'[01_Entry.xlsx]Book'!D387</f>
        <v/>
      </c>
      <c r="D387" s="2">
        <f>'[01_Entry.xlsx]Book'!E387</f>
        <v/>
      </c>
      <c r="E387" s="2">
        <f>'[01_Entry.xlsx]Book'!O387</f>
        <v/>
      </c>
      <c r="F387" s="2">
        <f>'[01_Entry.xlsx]Book'!N387</f>
        <v/>
      </c>
      <c r="G387" s="3">
        <f>'[01_Entry.xlsx]Book'!L387</f>
        <v/>
      </c>
      <c r="H387" s="3">
        <f>'[01_Entry.xlsx]Book'!M387</f>
        <v/>
      </c>
      <c r="I387" s="3">
        <f>'[01_Entry.xlsx]Book'!K387</f>
        <v/>
      </c>
      <c r="J387" s="3">
        <f>'[01_Entry.xlsx]Book'!P387</f>
        <v/>
      </c>
      <c r="K387" s="3">
        <f>'[01_Entry.xlsx]Book'!F387</f>
        <v/>
      </c>
      <c r="L387" s="3">
        <f>'[01_Entry.xlsx]Book'!G387</f>
        <v/>
      </c>
      <c r="M387" s="3">
        <f>'[01_Entry.xlsx]Book'!I387</f>
        <v/>
      </c>
      <c r="N387" s="2">
        <f>IF($A387="","",MID($A387,6,2))</f>
        <v>0</v>
      </c>
      <c r="O387" s="2">
        <f>IF(OR($C387="",$C387&lt;&gt;'Inv'!$D$12),"",N(O$386)+1)</f>
        <v>0</v>
      </c>
    </row>
    <row r="388" spans="1:15">
      <c r="A388" s="2">
        <f>'[01_Entry.xlsx]Book'!A388</f>
        <v/>
      </c>
      <c r="B388" s="2">
        <f>'[01_Entry.xlsx]Book'!B388</f>
        <v/>
      </c>
      <c r="C388" s="2">
        <f>'[01_Entry.xlsx]Book'!D388</f>
        <v/>
      </c>
      <c r="D388" s="2">
        <f>'[01_Entry.xlsx]Book'!E388</f>
        <v/>
      </c>
      <c r="E388" s="2">
        <f>'[01_Entry.xlsx]Book'!O388</f>
        <v/>
      </c>
      <c r="F388" s="2">
        <f>'[01_Entry.xlsx]Book'!N388</f>
        <v/>
      </c>
      <c r="G388" s="3">
        <f>'[01_Entry.xlsx]Book'!L388</f>
        <v/>
      </c>
      <c r="H388" s="3">
        <f>'[01_Entry.xlsx]Book'!M388</f>
        <v/>
      </c>
      <c r="I388" s="3">
        <f>'[01_Entry.xlsx]Book'!K388</f>
        <v/>
      </c>
      <c r="J388" s="3">
        <f>'[01_Entry.xlsx]Book'!P388</f>
        <v/>
      </c>
      <c r="K388" s="3">
        <f>'[01_Entry.xlsx]Book'!F388</f>
        <v/>
      </c>
      <c r="L388" s="3">
        <f>'[01_Entry.xlsx]Book'!G388</f>
        <v/>
      </c>
      <c r="M388" s="3">
        <f>'[01_Entry.xlsx]Book'!I388</f>
        <v/>
      </c>
      <c r="N388" s="2">
        <f>IF($A388="","",MID($A388,6,2))</f>
        <v>0</v>
      </c>
      <c r="O388" s="2">
        <f>IF(OR($C388="",$C388&lt;&gt;'Inv'!$D$12),"",N(O$387)+1)</f>
        <v>0</v>
      </c>
    </row>
    <row r="389" spans="1:15">
      <c r="A389" s="2">
        <f>'[01_Entry.xlsx]Book'!A389</f>
        <v/>
      </c>
      <c r="B389" s="2">
        <f>'[01_Entry.xlsx]Book'!B389</f>
        <v/>
      </c>
      <c r="C389" s="2">
        <f>'[01_Entry.xlsx]Book'!D389</f>
        <v/>
      </c>
      <c r="D389" s="2">
        <f>'[01_Entry.xlsx]Book'!E389</f>
        <v/>
      </c>
      <c r="E389" s="2">
        <f>'[01_Entry.xlsx]Book'!O389</f>
        <v/>
      </c>
      <c r="F389" s="2">
        <f>'[01_Entry.xlsx]Book'!N389</f>
        <v/>
      </c>
      <c r="G389" s="3">
        <f>'[01_Entry.xlsx]Book'!L389</f>
        <v/>
      </c>
      <c r="H389" s="3">
        <f>'[01_Entry.xlsx]Book'!M389</f>
        <v/>
      </c>
      <c r="I389" s="3">
        <f>'[01_Entry.xlsx]Book'!K389</f>
        <v/>
      </c>
      <c r="J389" s="3">
        <f>'[01_Entry.xlsx]Book'!P389</f>
        <v/>
      </c>
      <c r="K389" s="3">
        <f>'[01_Entry.xlsx]Book'!F389</f>
        <v/>
      </c>
      <c r="L389" s="3">
        <f>'[01_Entry.xlsx]Book'!G389</f>
        <v/>
      </c>
      <c r="M389" s="3">
        <f>'[01_Entry.xlsx]Book'!I389</f>
        <v/>
      </c>
      <c r="N389" s="2">
        <f>IF($A389="","",MID($A389,6,2))</f>
        <v>0</v>
      </c>
      <c r="O389" s="2">
        <f>IF(OR($C389="",$C389&lt;&gt;'Inv'!$D$12),"",N(O$388)+1)</f>
        <v>0</v>
      </c>
    </row>
    <row r="390" spans="1:15">
      <c r="A390" s="2">
        <f>'[01_Entry.xlsx]Book'!A390</f>
        <v/>
      </c>
      <c r="B390" s="2">
        <f>'[01_Entry.xlsx]Book'!B390</f>
        <v/>
      </c>
      <c r="C390" s="2">
        <f>'[01_Entry.xlsx]Book'!D390</f>
        <v/>
      </c>
      <c r="D390" s="2">
        <f>'[01_Entry.xlsx]Book'!E390</f>
        <v/>
      </c>
      <c r="E390" s="2">
        <f>'[01_Entry.xlsx]Book'!O390</f>
        <v/>
      </c>
      <c r="F390" s="2">
        <f>'[01_Entry.xlsx]Book'!N390</f>
        <v/>
      </c>
      <c r="G390" s="3">
        <f>'[01_Entry.xlsx]Book'!L390</f>
        <v/>
      </c>
      <c r="H390" s="3">
        <f>'[01_Entry.xlsx]Book'!M390</f>
        <v/>
      </c>
      <c r="I390" s="3">
        <f>'[01_Entry.xlsx]Book'!K390</f>
        <v/>
      </c>
      <c r="J390" s="3">
        <f>'[01_Entry.xlsx]Book'!P390</f>
        <v/>
      </c>
      <c r="K390" s="3">
        <f>'[01_Entry.xlsx]Book'!F390</f>
        <v/>
      </c>
      <c r="L390" s="3">
        <f>'[01_Entry.xlsx]Book'!G390</f>
        <v/>
      </c>
      <c r="M390" s="3">
        <f>'[01_Entry.xlsx]Book'!I390</f>
        <v/>
      </c>
      <c r="N390" s="2">
        <f>IF($A390="","",MID($A390,6,2))</f>
        <v>0</v>
      </c>
      <c r="O390" s="2">
        <f>IF(OR($C390="",$C390&lt;&gt;'Inv'!$D$12),"",N(O$389)+1)</f>
        <v>0</v>
      </c>
    </row>
    <row r="391" spans="1:15">
      <c r="A391" s="2">
        <f>'[01_Entry.xlsx]Book'!A391</f>
        <v/>
      </c>
      <c r="B391" s="2">
        <f>'[01_Entry.xlsx]Book'!B391</f>
        <v/>
      </c>
      <c r="C391" s="2">
        <f>'[01_Entry.xlsx]Book'!D391</f>
        <v/>
      </c>
      <c r="D391" s="2">
        <f>'[01_Entry.xlsx]Book'!E391</f>
        <v/>
      </c>
      <c r="E391" s="2">
        <f>'[01_Entry.xlsx]Book'!O391</f>
        <v/>
      </c>
      <c r="F391" s="2">
        <f>'[01_Entry.xlsx]Book'!N391</f>
        <v/>
      </c>
      <c r="G391" s="3">
        <f>'[01_Entry.xlsx]Book'!L391</f>
        <v/>
      </c>
      <c r="H391" s="3">
        <f>'[01_Entry.xlsx]Book'!M391</f>
        <v/>
      </c>
      <c r="I391" s="3">
        <f>'[01_Entry.xlsx]Book'!K391</f>
        <v/>
      </c>
      <c r="J391" s="3">
        <f>'[01_Entry.xlsx]Book'!P391</f>
        <v/>
      </c>
      <c r="K391" s="3">
        <f>'[01_Entry.xlsx]Book'!F391</f>
        <v/>
      </c>
      <c r="L391" s="3">
        <f>'[01_Entry.xlsx]Book'!G391</f>
        <v/>
      </c>
      <c r="M391" s="3">
        <f>'[01_Entry.xlsx]Book'!I391</f>
        <v/>
      </c>
      <c r="N391" s="2">
        <f>IF($A391="","",MID($A391,6,2))</f>
        <v>0</v>
      </c>
      <c r="O391" s="2">
        <f>IF(OR($C391="",$C391&lt;&gt;'Inv'!$D$12),"",N(O$390)+1)</f>
        <v>0</v>
      </c>
    </row>
    <row r="392" spans="1:15">
      <c r="A392" s="2">
        <f>'[01_Entry.xlsx]Book'!A392</f>
        <v/>
      </c>
      <c r="B392" s="2">
        <f>'[01_Entry.xlsx]Book'!B392</f>
        <v/>
      </c>
      <c r="C392" s="2">
        <f>'[01_Entry.xlsx]Book'!D392</f>
        <v/>
      </c>
      <c r="D392" s="2">
        <f>'[01_Entry.xlsx]Book'!E392</f>
        <v/>
      </c>
      <c r="E392" s="2">
        <f>'[01_Entry.xlsx]Book'!O392</f>
        <v/>
      </c>
      <c r="F392" s="2">
        <f>'[01_Entry.xlsx]Book'!N392</f>
        <v/>
      </c>
      <c r="G392" s="3">
        <f>'[01_Entry.xlsx]Book'!L392</f>
        <v/>
      </c>
      <c r="H392" s="3">
        <f>'[01_Entry.xlsx]Book'!M392</f>
        <v/>
      </c>
      <c r="I392" s="3">
        <f>'[01_Entry.xlsx]Book'!K392</f>
        <v/>
      </c>
      <c r="J392" s="3">
        <f>'[01_Entry.xlsx]Book'!P392</f>
        <v/>
      </c>
      <c r="K392" s="3">
        <f>'[01_Entry.xlsx]Book'!F392</f>
        <v/>
      </c>
      <c r="L392" s="3">
        <f>'[01_Entry.xlsx]Book'!G392</f>
        <v/>
      </c>
      <c r="M392" s="3">
        <f>'[01_Entry.xlsx]Book'!I392</f>
        <v/>
      </c>
      <c r="N392" s="2">
        <f>IF($A392="","",MID($A392,6,2))</f>
        <v>0</v>
      </c>
      <c r="O392" s="2">
        <f>IF(OR($C392="",$C392&lt;&gt;'Inv'!$D$12),"",N(O$391)+1)</f>
        <v>0</v>
      </c>
    </row>
    <row r="393" spans="1:15">
      <c r="A393" s="2">
        <f>'[01_Entry.xlsx]Book'!A393</f>
        <v/>
      </c>
      <c r="B393" s="2">
        <f>'[01_Entry.xlsx]Book'!B393</f>
        <v/>
      </c>
      <c r="C393" s="2">
        <f>'[01_Entry.xlsx]Book'!D393</f>
        <v/>
      </c>
      <c r="D393" s="2">
        <f>'[01_Entry.xlsx]Book'!E393</f>
        <v/>
      </c>
      <c r="E393" s="2">
        <f>'[01_Entry.xlsx]Book'!O393</f>
        <v/>
      </c>
      <c r="F393" s="2">
        <f>'[01_Entry.xlsx]Book'!N393</f>
        <v/>
      </c>
      <c r="G393" s="3">
        <f>'[01_Entry.xlsx]Book'!L393</f>
        <v/>
      </c>
      <c r="H393" s="3">
        <f>'[01_Entry.xlsx]Book'!M393</f>
        <v/>
      </c>
      <c r="I393" s="3">
        <f>'[01_Entry.xlsx]Book'!K393</f>
        <v/>
      </c>
      <c r="J393" s="3">
        <f>'[01_Entry.xlsx]Book'!P393</f>
        <v/>
      </c>
      <c r="K393" s="3">
        <f>'[01_Entry.xlsx]Book'!F393</f>
        <v/>
      </c>
      <c r="L393" s="3">
        <f>'[01_Entry.xlsx]Book'!G393</f>
        <v/>
      </c>
      <c r="M393" s="3">
        <f>'[01_Entry.xlsx]Book'!I393</f>
        <v/>
      </c>
      <c r="N393" s="2">
        <f>IF($A393="","",MID($A393,6,2))</f>
        <v>0</v>
      </c>
      <c r="O393" s="2">
        <f>IF(OR($C393="",$C393&lt;&gt;'Inv'!$D$12),"",N(O$392)+1)</f>
        <v>0</v>
      </c>
    </row>
    <row r="394" spans="1:15">
      <c r="A394" s="2">
        <f>'[01_Entry.xlsx]Book'!A394</f>
        <v/>
      </c>
      <c r="B394" s="2">
        <f>'[01_Entry.xlsx]Book'!B394</f>
        <v/>
      </c>
      <c r="C394" s="2">
        <f>'[01_Entry.xlsx]Book'!D394</f>
        <v/>
      </c>
      <c r="D394" s="2">
        <f>'[01_Entry.xlsx]Book'!E394</f>
        <v/>
      </c>
      <c r="E394" s="2">
        <f>'[01_Entry.xlsx]Book'!O394</f>
        <v/>
      </c>
      <c r="F394" s="2">
        <f>'[01_Entry.xlsx]Book'!N394</f>
        <v/>
      </c>
      <c r="G394" s="3">
        <f>'[01_Entry.xlsx]Book'!L394</f>
        <v/>
      </c>
      <c r="H394" s="3">
        <f>'[01_Entry.xlsx]Book'!M394</f>
        <v/>
      </c>
      <c r="I394" s="3">
        <f>'[01_Entry.xlsx]Book'!K394</f>
        <v/>
      </c>
      <c r="J394" s="3">
        <f>'[01_Entry.xlsx]Book'!P394</f>
        <v/>
      </c>
      <c r="K394" s="3">
        <f>'[01_Entry.xlsx]Book'!F394</f>
        <v/>
      </c>
      <c r="L394" s="3">
        <f>'[01_Entry.xlsx]Book'!G394</f>
        <v/>
      </c>
      <c r="M394" s="3">
        <f>'[01_Entry.xlsx]Book'!I394</f>
        <v/>
      </c>
      <c r="N394" s="2">
        <f>IF($A394="","",MID($A394,6,2))</f>
        <v>0</v>
      </c>
      <c r="O394" s="2">
        <f>IF(OR($C394="",$C394&lt;&gt;'Inv'!$D$12),"",N(O$393)+1)</f>
        <v>0</v>
      </c>
    </row>
    <row r="395" spans="1:15">
      <c r="A395" s="2">
        <f>'[01_Entry.xlsx]Book'!A395</f>
        <v/>
      </c>
      <c r="B395" s="2">
        <f>'[01_Entry.xlsx]Book'!B395</f>
        <v/>
      </c>
      <c r="C395" s="2">
        <f>'[01_Entry.xlsx]Book'!D395</f>
        <v/>
      </c>
      <c r="D395" s="2">
        <f>'[01_Entry.xlsx]Book'!E395</f>
        <v/>
      </c>
      <c r="E395" s="2">
        <f>'[01_Entry.xlsx]Book'!O395</f>
        <v/>
      </c>
      <c r="F395" s="2">
        <f>'[01_Entry.xlsx]Book'!N395</f>
        <v/>
      </c>
      <c r="G395" s="3">
        <f>'[01_Entry.xlsx]Book'!L395</f>
        <v/>
      </c>
      <c r="H395" s="3">
        <f>'[01_Entry.xlsx]Book'!M395</f>
        <v/>
      </c>
      <c r="I395" s="3">
        <f>'[01_Entry.xlsx]Book'!K395</f>
        <v/>
      </c>
      <c r="J395" s="3">
        <f>'[01_Entry.xlsx]Book'!P395</f>
        <v/>
      </c>
      <c r="K395" s="3">
        <f>'[01_Entry.xlsx]Book'!F395</f>
        <v/>
      </c>
      <c r="L395" s="3">
        <f>'[01_Entry.xlsx]Book'!G395</f>
        <v/>
      </c>
      <c r="M395" s="3">
        <f>'[01_Entry.xlsx]Book'!I395</f>
        <v/>
      </c>
      <c r="N395" s="2">
        <f>IF($A395="","",MID($A395,6,2))</f>
        <v>0</v>
      </c>
      <c r="O395" s="2">
        <f>IF(OR($C395="",$C395&lt;&gt;'Inv'!$D$12),"",N(O$394)+1)</f>
        <v>0</v>
      </c>
    </row>
    <row r="396" spans="1:15">
      <c r="A396" s="2">
        <f>'[01_Entry.xlsx]Book'!A396</f>
        <v/>
      </c>
      <c r="B396" s="2">
        <f>'[01_Entry.xlsx]Book'!B396</f>
        <v/>
      </c>
      <c r="C396" s="2">
        <f>'[01_Entry.xlsx]Book'!D396</f>
        <v/>
      </c>
      <c r="D396" s="2">
        <f>'[01_Entry.xlsx]Book'!E396</f>
        <v/>
      </c>
      <c r="E396" s="2">
        <f>'[01_Entry.xlsx]Book'!O396</f>
        <v/>
      </c>
      <c r="F396" s="2">
        <f>'[01_Entry.xlsx]Book'!N396</f>
        <v/>
      </c>
      <c r="G396" s="3">
        <f>'[01_Entry.xlsx]Book'!L396</f>
        <v/>
      </c>
      <c r="H396" s="3">
        <f>'[01_Entry.xlsx]Book'!M396</f>
        <v/>
      </c>
      <c r="I396" s="3">
        <f>'[01_Entry.xlsx]Book'!K396</f>
        <v/>
      </c>
      <c r="J396" s="3">
        <f>'[01_Entry.xlsx]Book'!P396</f>
        <v/>
      </c>
      <c r="K396" s="3">
        <f>'[01_Entry.xlsx]Book'!F396</f>
        <v/>
      </c>
      <c r="L396" s="3">
        <f>'[01_Entry.xlsx]Book'!G396</f>
        <v/>
      </c>
      <c r="M396" s="3">
        <f>'[01_Entry.xlsx]Book'!I396</f>
        <v/>
      </c>
      <c r="N396" s="2">
        <f>IF($A396="","",MID($A396,6,2))</f>
        <v>0</v>
      </c>
      <c r="O396" s="2">
        <f>IF(OR($C396="",$C396&lt;&gt;'Inv'!$D$12),"",N(O$395)+1)</f>
        <v>0</v>
      </c>
    </row>
    <row r="397" spans="1:15">
      <c r="A397" s="2">
        <f>'[01_Entry.xlsx]Book'!A397</f>
        <v/>
      </c>
      <c r="B397" s="2">
        <f>'[01_Entry.xlsx]Book'!B397</f>
        <v/>
      </c>
      <c r="C397" s="2">
        <f>'[01_Entry.xlsx]Book'!D397</f>
        <v/>
      </c>
      <c r="D397" s="2">
        <f>'[01_Entry.xlsx]Book'!E397</f>
        <v/>
      </c>
      <c r="E397" s="2">
        <f>'[01_Entry.xlsx]Book'!O397</f>
        <v/>
      </c>
      <c r="F397" s="2">
        <f>'[01_Entry.xlsx]Book'!N397</f>
        <v/>
      </c>
      <c r="G397" s="3">
        <f>'[01_Entry.xlsx]Book'!L397</f>
        <v/>
      </c>
      <c r="H397" s="3">
        <f>'[01_Entry.xlsx]Book'!M397</f>
        <v/>
      </c>
      <c r="I397" s="3">
        <f>'[01_Entry.xlsx]Book'!K397</f>
        <v/>
      </c>
      <c r="J397" s="3">
        <f>'[01_Entry.xlsx]Book'!P397</f>
        <v/>
      </c>
      <c r="K397" s="3">
        <f>'[01_Entry.xlsx]Book'!F397</f>
        <v/>
      </c>
      <c r="L397" s="3">
        <f>'[01_Entry.xlsx]Book'!G397</f>
        <v/>
      </c>
      <c r="M397" s="3">
        <f>'[01_Entry.xlsx]Book'!I397</f>
        <v/>
      </c>
      <c r="N397" s="2">
        <f>IF($A397="","",MID($A397,6,2))</f>
        <v>0</v>
      </c>
      <c r="O397" s="2">
        <f>IF(OR($C397="",$C397&lt;&gt;'Inv'!$D$12),"",N(O$396)+1)</f>
        <v>0</v>
      </c>
    </row>
    <row r="398" spans="1:15">
      <c r="A398" s="2">
        <f>'[01_Entry.xlsx]Book'!A398</f>
        <v/>
      </c>
      <c r="B398" s="2">
        <f>'[01_Entry.xlsx]Book'!B398</f>
        <v/>
      </c>
      <c r="C398" s="2">
        <f>'[01_Entry.xlsx]Book'!D398</f>
        <v/>
      </c>
      <c r="D398" s="2">
        <f>'[01_Entry.xlsx]Book'!E398</f>
        <v/>
      </c>
      <c r="E398" s="2">
        <f>'[01_Entry.xlsx]Book'!O398</f>
        <v/>
      </c>
      <c r="F398" s="2">
        <f>'[01_Entry.xlsx]Book'!N398</f>
        <v/>
      </c>
      <c r="G398" s="3">
        <f>'[01_Entry.xlsx]Book'!L398</f>
        <v/>
      </c>
      <c r="H398" s="3">
        <f>'[01_Entry.xlsx]Book'!M398</f>
        <v/>
      </c>
      <c r="I398" s="3">
        <f>'[01_Entry.xlsx]Book'!K398</f>
        <v/>
      </c>
      <c r="J398" s="3">
        <f>'[01_Entry.xlsx]Book'!P398</f>
        <v/>
      </c>
      <c r="K398" s="3">
        <f>'[01_Entry.xlsx]Book'!F398</f>
        <v/>
      </c>
      <c r="L398" s="3">
        <f>'[01_Entry.xlsx]Book'!G398</f>
        <v/>
      </c>
      <c r="M398" s="3">
        <f>'[01_Entry.xlsx]Book'!I398</f>
        <v/>
      </c>
      <c r="N398" s="2">
        <f>IF($A398="","",MID($A398,6,2))</f>
        <v>0</v>
      </c>
      <c r="O398" s="2">
        <f>IF(OR($C398="",$C398&lt;&gt;'Inv'!$D$12),"",N(O$397)+1)</f>
        <v>0</v>
      </c>
    </row>
    <row r="399" spans="1:15">
      <c r="A399" s="2">
        <f>'[01_Entry.xlsx]Book'!A399</f>
        <v/>
      </c>
      <c r="B399" s="2">
        <f>'[01_Entry.xlsx]Book'!B399</f>
        <v/>
      </c>
      <c r="C399" s="2">
        <f>'[01_Entry.xlsx]Book'!D399</f>
        <v/>
      </c>
      <c r="D399" s="2">
        <f>'[01_Entry.xlsx]Book'!E399</f>
        <v/>
      </c>
      <c r="E399" s="2">
        <f>'[01_Entry.xlsx]Book'!O399</f>
        <v/>
      </c>
      <c r="F399" s="2">
        <f>'[01_Entry.xlsx]Book'!N399</f>
        <v/>
      </c>
      <c r="G399" s="3">
        <f>'[01_Entry.xlsx]Book'!L399</f>
        <v/>
      </c>
      <c r="H399" s="3">
        <f>'[01_Entry.xlsx]Book'!M399</f>
        <v/>
      </c>
      <c r="I399" s="3">
        <f>'[01_Entry.xlsx]Book'!K399</f>
        <v/>
      </c>
      <c r="J399" s="3">
        <f>'[01_Entry.xlsx]Book'!P399</f>
        <v/>
      </c>
      <c r="K399" s="3">
        <f>'[01_Entry.xlsx]Book'!F399</f>
        <v/>
      </c>
      <c r="L399" s="3">
        <f>'[01_Entry.xlsx]Book'!G399</f>
        <v/>
      </c>
      <c r="M399" s="3">
        <f>'[01_Entry.xlsx]Book'!I399</f>
        <v/>
      </c>
      <c r="N399" s="2">
        <f>IF($A399="","",MID($A399,6,2))</f>
        <v>0</v>
      </c>
      <c r="O399" s="2">
        <f>IF(OR($C399="",$C399&lt;&gt;'Inv'!$D$12),"",N(O$398)+1)</f>
        <v>0</v>
      </c>
    </row>
    <row r="400" spans="1:15">
      <c r="A400" s="2">
        <f>'[01_Entry.xlsx]Book'!A400</f>
        <v/>
      </c>
      <c r="B400" s="2">
        <f>'[01_Entry.xlsx]Book'!B400</f>
        <v/>
      </c>
      <c r="C400" s="2">
        <f>'[01_Entry.xlsx]Book'!D400</f>
        <v/>
      </c>
      <c r="D400" s="2">
        <f>'[01_Entry.xlsx]Book'!E400</f>
        <v/>
      </c>
      <c r="E400" s="2">
        <f>'[01_Entry.xlsx]Book'!O400</f>
        <v/>
      </c>
      <c r="F400" s="2">
        <f>'[01_Entry.xlsx]Book'!N400</f>
        <v/>
      </c>
      <c r="G400" s="3">
        <f>'[01_Entry.xlsx]Book'!L400</f>
        <v/>
      </c>
      <c r="H400" s="3">
        <f>'[01_Entry.xlsx]Book'!M400</f>
        <v/>
      </c>
      <c r="I400" s="3">
        <f>'[01_Entry.xlsx]Book'!K400</f>
        <v/>
      </c>
      <c r="J400" s="3">
        <f>'[01_Entry.xlsx]Book'!P400</f>
        <v/>
      </c>
      <c r="K400" s="3">
        <f>'[01_Entry.xlsx]Book'!F400</f>
        <v/>
      </c>
      <c r="L400" s="3">
        <f>'[01_Entry.xlsx]Book'!G400</f>
        <v/>
      </c>
      <c r="M400" s="3">
        <f>'[01_Entry.xlsx]Book'!I400</f>
        <v/>
      </c>
      <c r="N400" s="2">
        <f>IF($A400="","",MID($A400,6,2))</f>
        <v>0</v>
      </c>
      <c r="O400" s="2">
        <f>IF(OR($C400="",$C400&lt;&gt;'Inv'!$D$12),"",N(O$399)+1)</f>
        <v>0</v>
      </c>
    </row>
    <row r="401" spans="1:15">
      <c r="A401" s="2">
        <f>'[01_Entry.xlsx]Book'!A401</f>
        <v/>
      </c>
      <c r="B401" s="2">
        <f>'[01_Entry.xlsx]Book'!B401</f>
        <v/>
      </c>
      <c r="C401" s="2">
        <f>'[01_Entry.xlsx]Book'!D401</f>
        <v/>
      </c>
      <c r="D401" s="2">
        <f>'[01_Entry.xlsx]Book'!E401</f>
        <v/>
      </c>
      <c r="E401" s="2">
        <f>'[01_Entry.xlsx]Book'!O401</f>
        <v/>
      </c>
      <c r="F401" s="2">
        <f>'[01_Entry.xlsx]Book'!N401</f>
        <v/>
      </c>
      <c r="G401" s="3">
        <f>'[01_Entry.xlsx]Book'!L401</f>
        <v/>
      </c>
      <c r="H401" s="3">
        <f>'[01_Entry.xlsx]Book'!M401</f>
        <v/>
      </c>
      <c r="I401" s="3">
        <f>'[01_Entry.xlsx]Book'!K401</f>
        <v/>
      </c>
      <c r="J401" s="3">
        <f>'[01_Entry.xlsx]Book'!P401</f>
        <v/>
      </c>
      <c r="K401" s="3">
        <f>'[01_Entry.xlsx]Book'!F401</f>
        <v/>
      </c>
      <c r="L401" s="3">
        <f>'[01_Entry.xlsx]Book'!G401</f>
        <v/>
      </c>
      <c r="M401" s="3">
        <f>'[01_Entry.xlsx]Book'!I401</f>
        <v/>
      </c>
      <c r="N401" s="2">
        <f>IF($A401="","",MID($A401,6,2))</f>
        <v>0</v>
      </c>
      <c r="O401" s="2">
        <f>IF(OR($C401="",$C401&lt;&gt;'Inv'!$D$12),"",N(O$400)+1)</f>
        <v>0</v>
      </c>
    </row>
    <row r="402" spans="1:15">
      <c r="A402" s="2">
        <f>'[01_Entry.xlsx]Book'!A402</f>
        <v/>
      </c>
      <c r="B402" s="2">
        <f>'[01_Entry.xlsx]Book'!B402</f>
        <v/>
      </c>
      <c r="C402" s="2">
        <f>'[01_Entry.xlsx]Book'!D402</f>
        <v/>
      </c>
      <c r="D402" s="2">
        <f>'[01_Entry.xlsx]Book'!E402</f>
        <v/>
      </c>
      <c r="E402" s="2">
        <f>'[01_Entry.xlsx]Book'!O402</f>
        <v/>
      </c>
      <c r="F402" s="2">
        <f>'[01_Entry.xlsx]Book'!N402</f>
        <v/>
      </c>
      <c r="G402" s="3">
        <f>'[01_Entry.xlsx]Book'!L402</f>
        <v/>
      </c>
      <c r="H402" s="3">
        <f>'[01_Entry.xlsx]Book'!M402</f>
        <v/>
      </c>
      <c r="I402" s="3">
        <f>'[01_Entry.xlsx]Book'!K402</f>
        <v/>
      </c>
      <c r="J402" s="3">
        <f>'[01_Entry.xlsx]Book'!P402</f>
        <v/>
      </c>
      <c r="K402" s="3">
        <f>'[01_Entry.xlsx]Book'!F402</f>
        <v/>
      </c>
      <c r="L402" s="3">
        <f>'[01_Entry.xlsx]Book'!G402</f>
        <v/>
      </c>
      <c r="M402" s="3">
        <f>'[01_Entry.xlsx]Book'!I402</f>
        <v/>
      </c>
      <c r="N402" s="2">
        <f>IF($A402="","",MID($A402,6,2))</f>
        <v>0</v>
      </c>
      <c r="O402" s="2">
        <f>IF(OR($C402="",$C402&lt;&gt;'Inv'!$D$12),"",N(O$401)+1)</f>
        <v>0</v>
      </c>
    </row>
    <row r="403" spans="1:15">
      <c r="A403" s="2">
        <f>'[01_Entry.xlsx]Book'!A403</f>
        <v/>
      </c>
      <c r="B403" s="2">
        <f>'[01_Entry.xlsx]Book'!B403</f>
        <v/>
      </c>
      <c r="C403" s="2">
        <f>'[01_Entry.xlsx]Book'!D403</f>
        <v/>
      </c>
      <c r="D403" s="2">
        <f>'[01_Entry.xlsx]Book'!E403</f>
        <v/>
      </c>
      <c r="E403" s="2">
        <f>'[01_Entry.xlsx]Book'!O403</f>
        <v/>
      </c>
      <c r="F403" s="2">
        <f>'[01_Entry.xlsx]Book'!N403</f>
        <v/>
      </c>
      <c r="G403" s="3">
        <f>'[01_Entry.xlsx]Book'!L403</f>
        <v/>
      </c>
      <c r="H403" s="3">
        <f>'[01_Entry.xlsx]Book'!M403</f>
        <v/>
      </c>
      <c r="I403" s="3">
        <f>'[01_Entry.xlsx]Book'!K403</f>
        <v/>
      </c>
      <c r="J403" s="3">
        <f>'[01_Entry.xlsx]Book'!P403</f>
        <v/>
      </c>
      <c r="K403" s="3">
        <f>'[01_Entry.xlsx]Book'!F403</f>
        <v/>
      </c>
      <c r="L403" s="3">
        <f>'[01_Entry.xlsx]Book'!G403</f>
        <v/>
      </c>
      <c r="M403" s="3">
        <f>'[01_Entry.xlsx]Book'!I403</f>
        <v/>
      </c>
      <c r="N403" s="2">
        <f>IF($A403="","",MID($A403,6,2))</f>
        <v>0</v>
      </c>
      <c r="O403" s="2">
        <f>IF(OR($C403="",$C403&lt;&gt;'Inv'!$D$12),"",N(O$402)+1)</f>
        <v>0</v>
      </c>
    </row>
    <row r="404" spans="1:15">
      <c r="A404" s="2">
        <f>'[01_Entry.xlsx]Book'!A404</f>
        <v/>
      </c>
      <c r="B404" s="2">
        <f>'[01_Entry.xlsx]Book'!B404</f>
        <v/>
      </c>
      <c r="C404" s="2">
        <f>'[01_Entry.xlsx]Book'!D404</f>
        <v/>
      </c>
      <c r="D404" s="2">
        <f>'[01_Entry.xlsx]Book'!E404</f>
        <v/>
      </c>
      <c r="E404" s="2">
        <f>'[01_Entry.xlsx]Book'!O404</f>
        <v/>
      </c>
      <c r="F404" s="2">
        <f>'[01_Entry.xlsx]Book'!N404</f>
        <v/>
      </c>
      <c r="G404" s="3">
        <f>'[01_Entry.xlsx]Book'!L404</f>
        <v/>
      </c>
      <c r="H404" s="3">
        <f>'[01_Entry.xlsx]Book'!M404</f>
        <v/>
      </c>
      <c r="I404" s="3">
        <f>'[01_Entry.xlsx]Book'!K404</f>
        <v/>
      </c>
      <c r="J404" s="3">
        <f>'[01_Entry.xlsx]Book'!P404</f>
        <v/>
      </c>
      <c r="K404" s="3">
        <f>'[01_Entry.xlsx]Book'!F404</f>
        <v/>
      </c>
      <c r="L404" s="3">
        <f>'[01_Entry.xlsx]Book'!G404</f>
        <v/>
      </c>
      <c r="M404" s="3">
        <f>'[01_Entry.xlsx]Book'!I404</f>
        <v/>
      </c>
      <c r="N404" s="2">
        <f>IF($A404="","",MID($A404,6,2))</f>
        <v>0</v>
      </c>
      <c r="O404" s="2">
        <f>IF(OR($C404="",$C404&lt;&gt;'Inv'!$D$12),"",N(O$403)+1)</f>
        <v>0</v>
      </c>
    </row>
    <row r="405" spans="1:15">
      <c r="A405" s="2">
        <f>'[01_Entry.xlsx]Book'!A405</f>
        <v/>
      </c>
      <c r="B405" s="2">
        <f>'[01_Entry.xlsx]Book'!B405</f>
        <v/>
      </c>
      <c r="C405" s="2">
        <f>'[01_Entry.xlsx]Book'!D405</f>
        <v/>
      </c>
      <c r="D405" s="2">
        <f>'[01_Entry.xlsx]Book'!E405</f>
        <v/>
      </c>
      <c r="E405" s="2">
        <f>'[01_Entry.xlsx]Book'!O405</f>
        <v/>
      </c>
      <c r="F405" s="2">
        <f>'[01_Entry.xlsx]Book'!N405</f>
        <v/>
      </c>
      <c r="G405" s="3">
        <f>'[01_Entry.xlsx]Book'!L405</f>
        <v/>
      </c>
      <c r="H405" s="3">
        <f>'[01_Entry.xlsx]Book'!M405</f>
        <v/>
      </c>
      <c r="I405" s="3">
        <f>'[01_Entry.xlsx]Book'!K405</f>
        <v/>
      </c>
      <c r="J405" s="3">
        <f>'[01_Entry.xlsx]Book'!P405</f>
        <v/>
      </c>
      <c r="K405" s="3">
        <f>'[01_Entry.xlsx]Book'!F405</f>
        <v/>
      </c>
      <c r="L405" s="3">
        <f>'[01_Entry.xlsx]Book'!G405</f>
        <v/>
      </c>
      <c r="M405" s="3">
        <f>'[01_Entry.xlsx]Book'!I405</f>
        <v/>
      </c>
      <c r="N405" s="2">
        <f>IF($A405="","",MID($A405,6,2))</f>
        <v>0</v>
      </c>
      <c r="O405" s="2">
        <f>IF(OR($C405="",$C405&lt;&gt;'Inv'!$D$12),"",N(O$404)+1)</f>
        <v>0</v>
      </c>
    </row>
    <row r="406" spans="1:15">
      <c r="A406" s="2">
        <f>'[01_Entry.xlsx]Book'!A406</f>
        <v/>
      </c>
      <c r="B406" s="2">
        <f>'[01_Entry.xlsx]Book'!B406</f>
        <v/>
      </c>
      <c r="C406" s="2">
        <f>'[01_Entry.xlsx]Book'!D406</f>
        <v/>
      </c>
      <c r="D406" s="2">
        <f>'[01_Entry.xlsx]Book'!E406</f>
        <v/>
      </c>
      <c r="E406" s="2">
        <f>'[01_Entry.xlsx]Book'!O406</f>
        <v/>
      </c>
      <c r="F406" s="2">
        <f>'[01_Entry.xlsx]Book'!N406</f>
        <v/>
      </c>
      <c r="G406" s="3">
        <f>'[01_Entry.xlsx]Book'!L406</f>
        <v/>
      </c>
      <c r="H406" s="3">
        <f>'[01_Entry.xlsx]Book'!M406</f>
        <v/>
      </c>
      <c r="I406" s="3">
        <f>'[01_Entry.xlsx]Book'!K406</f>
        <v/>
      </c>
      <c r="J406" s="3">
        <f>'[01_Entry.xlsx]Book'!P406</f>
        <v/>
      </c>
      <c r="K406" s="3">
        <f>'[01_Entry.xlsx]Book'!F406</f>
        <v/>
      </c>
      <c r="L406" s="3">
        <f>'[01_Entry.xlsx]Book'!G406</f>
        <v/>
      </c>
      <c r="M406" s="3">
        <f>'[01_Entry.xlsx]Book'!I406</f>
        <v/>
      </c>
      <c r="N406" s="2">
        <f>IF($A406="","",MID($A406,6,2))</f>
        <v>0</v>
      </c>
      <c r="O406" s="2">
        <f>IF(OR($C406="",$C406&lt;&gt;'Inv'!$D$12),"",N(O$405)+1)</f>
        <v>0</v>
      </c>
    </row>
    <row r="407" spans="1:15">
      <c r="A407" s="2">
        <f>'[01_Entry.xlsx]Book'!A407</f>
        <v/>
      </c>
      <c r="B407" s="2">
        <f>'[01_Entry.xlsx]Book'!B407</f>
        <v/>
      </c>
      <c r="C407" s="2">
        <f>'[01_Entry.xlsx]Book'!D407</f>
        <v/>
      </c>
      <c r="D407" s="2">
        <f>'[01_Entry.xlsx]Book'!E407</f>
        <v/>
      </c>
      <c r="E407" s="2">
        <f>'[01_Entry.xlsx]Book'!O407</f>
        <v/>
      </c>
      <c r="F407" s="2">
        <f>'[01_Entry.xlsx]Book'!N407</f>
        <v/>
      </c>
      <c r="G407" s="3">
        <f>'[01_Entry.xlsx]Book'!L407</f>
        <v/>
      </c>
      <c r="H407" s="3">
        <f>'[01_Entry.xlsx]Book'!M407</f>
        <v/>
      </c>
      <c r="I407" s="3">
        <f>'[01_Entry.xlsx]Book'!K407</f>
        <v/>
      </c>
      <c r="J407" s="3">
        <f>'[01_Entry.xlsx]Book'!P407</f>
        <v/>
      </c>
      <c r="K407" s="3">
        <f>'[01_Entry.xlsx]Book'!F407</f>
        <v/>
      </c>
      <c r="L407" s="3">
        <f>'[01_Entry.xlsx]Book'!G407</f>
        <v/>
      </c>
      <c r="M407" s="3">
        <f>'[01_Entry.xlsx]Book'!I407</f>
        <v/>
      </c>
      <c r="N407" s="2">
        <f>IF($A407="","",MID($A407,6,2))</f>
        <v>0</v>
      </c>
      <c r="O407" s="2">
        <f>IF(OR($C407="",$C407&lt;&gt;'Inv'!$D$12),"",N(O$406)+1)</f>
        <v>0</v>
      </c>
    </row>
    <row r="408" spans="1:15">
      <c r="A408" s="2">
        <f>'[01_Entry.xlsx]Book'!A408</f>
        <v/>
      </c>
      <c r="B408" s="2">
        <f>'[01_Entry.xlsx]Book'!B408</f>
        <v/>
      </c>
      <c r="C408" s="2">
        <f>'[01_Entry.xlsx]Book'!D408</f>
        <v/>
      </c>
      <c r="D408" s="2">
        <f>'[01_Entry.xlsx]Book'!E408</f>
        <v/>
      </c>
      <c r="E408" s="2">
        <f>'[01_Entry.xlsx]Book'!O408</f>
        <v/>
      </c>
      <c r="F408" s="2">
        <f>'[01_Entry.xlsx]Book'!N408</f>
        <v/>
      </c>
      <c r="G408" s="3">
        <f>'[01_Entry.xlsx]Book'!L408</f>
        <v/>
      </c>
      <c r="H408" s="3">
        <f>'[01_Entry.xlsx]Book'!M408</f>
        <v/>
      </c>
      <c r="I408" s="3">
        <f>'[01_Entry.xlsx]Book'!K408</f>
        <v/>
      </c>
      <c r="J408" s="3">
        <f>'[01_Entry.xlsx]Book'!P408</f>
        <v/>
      </c>
      <c r="K408" s="3">
        <f>'[01_Entry.xlsx]Book'!F408</f>
        <v/>
      </c>
      <c r="L408" s="3">
        <f>'[01_Entry.xlsx]Book'!G408</f>
        <v/>
      </c>
      <c r="M408" s="3">
        <f>'[01_Entry.xlsx]Book'!I408</f>
        <v/>
      </c>
      <c r="N408" s="2">
        <f>IF($A408="","",MID($A408,6,2))</f>
        <v>0</v>
      </c>
      <c r="O408" s="2">
        <f>IF(OR($C408="",$C408&lt;&gt;'Inv'!$D$12),"",N(O$407)+1)</f>
        <v>0</v>
      </c>
    </row>
    <row r="409" spans="1:15">
      <c r="A409" s="2">
        <f>'[01_Entry.xlsx]Book'!A409</f>
        <v/>
      </c>
      <c r="B409" s="2">
        <f>'[01_Entry.xlsx]Book'!B409</f>
        <v/>
      </c>
      <c r="C409" s="2">
        <f>'[01_Entry.xlsx]Book'!D409</f>
        <v/>
      </c>
      <c r="D409" s="2">
        <f>'[01_Entry.xlsx]Book'!E409</f>
        <v/>
      </c>
      <c r="E409" s="2">
        <f>'[01_Entry.xlsx]Book'!O409</f>
        <v/>
      </c>
      <c r="F409" s="2">
        <f>'[01_Entry.xlsx]Book'!N409</f>
        <v/>
      </c>
      <c r="G409" s="3">
        <f>'[01_Entry.xlsx]Book'!L409</f>
        <v/>
      </c>
      <c r="H409" s="3">
        <f>'[01_Entry.xlsx]Book'!M409</f>
        <v/>
      </c>
      <c r="I409" s="3">
        <f>'[01_Entry.xlsx]Book'!K409</f>
        <v/>
      </c>
      <c r="J409" s="3">
        <f>'[01_Entry.xlsx]Book'!P409</f>
        <v/>
      </c>
      <c r="K409" s="3">
        <f>'[01_Entry.xlsx]Book'!F409</f>
        <v/>
      </c>
      <c r="L409" s="3">
        <f>'[01_Entry.xlsx]Book'!G409</f>
        <v/>
      </c>
      <c r="M409" s="3">
        <f>'[01_Entry.xlsx]Book'!I409</f>
        <v/>
      </c>
      <c r="N409" s="2">
        <f>IF($A409="","",MID($A409,6,2))</f>
        <v>0</v>
      </c>
      <c r="O409" s="2">
        <f>IF(OR($C409="",$C409&lt;&gt;'Inv'!$D$12),"",N(O$408)+1)</f>
        <v>0</v>
      </c>
    </row>
    <row r="410" spans="1:15">
      <c r="A410" s="2">
        <f>'[01_Entry.xlsx]Book'!A410</f>
        <v/>
      </c>
      <c r="B410" s="2">
        <f>'[01_Entry.xlsx]Book'!B410</f>
        <v/>
      </c>
      <c r="C410" s="2">
        <f>'[01_Entry.xlsx]Book'!D410</f>
        <v/>
      </c>
      <c r="D410" s="2">
        <f>'[01_Entry.xlsx]Book'!E410</f>
        <v/>
      </c>
      <c r="E410" s="2">
        <f>'[01_Entry.xlsx]Book'!O410</f>
        <v/>
      </c>
      <c r="F410" s="2">
        <f>'[01_Entry.xlsx]Book'!N410</f>
        <v/>
      </c>
      <c r="G410" s="3">
        <f>'[01_Entry.xlsx]Book'!L410</f>
        <v/>
      </c>
      <c r="H410" s="3">
        <f>'[01_Entry.xlsx]Book'!M410</f>
        <v/>
      </c>
      <c r="I410" s="3">
        <f>'[01_Entry.xlsx]Book'!K410</f>
        <v/>
      </c>
      <c r="J410" s="3">
        <f>'[01_Entry.xlsx]Book'!P410</f>
        <v/>
      </c>
      <c r="K410" s="3">
        <f>'[01_Entry.xlsx]Book'!F410</f>
        <v/>
      </c>
      <c r="L410" s="3">
        <f>'[01_Entry.xlsx]Book'!G410</f>
        <v/>
      </c>
      <c r="M410" s="3">
        <f>'[01_Entry.xlsx]Book'!I410</f>
        <v/>
      </c>
      <c r="N410" s="2">
        <f>IF($A410="","",MID($A410,6,2))</f>
        <v>0</v>
      </c>
      <c r="O410" s="2">
        <f>IF(OR($C410="",$C410&lt;&gt;'Inv'!$D$12),"",N(O$409)+1)</f>
        <v>0</v>
      </c>
    </row>
    <row r="411" spans="1:15">
      <c r="A411" s="2">
        <f>'[01_Entry.xlsx]Book'!A411</f>
        <v/>
      </c>
      <c r="B411" s="2">
        <f>'[01_Entry.xlsx]Book'!B411</f>
        <v/>
      </c>
      <c r="C411" s="2">
        <f>'[01_Entry.xlsx]Book'!D411</f>
        <v/>
      </c>
      <c r="D411" s="2">
        <f>'[01_Entry.xlsx]Book'!E411</f>
        <v/>
      </c>
      <c r="E411" s="2">
        <f>'[01_Entry.xlsx]Book'!O411</f>
        <v/>
      </c>
      <c r="F411" s="2">
        <f>'[01_Entry.xlsx]Book'!N411</f>
        <v/>
      </c>
      <c r="G411" s="3">
        <f>'[01_Entry.xlsx]Book'!L411</f>
        <v/>
      </c>
      <c r="H411" s="3">
        <f>'[01_Entry.xlsx]Book'!M411</f>
        <v/>
      </c>
      <c r="I411" s="3">
        <f>'[01_Entry.xlsx]Book'!K411</f>
        <v/>
      </c>
      <c r="J411" s="3">
        <f>'[01_Entry.xlsx]Book'!P411</f>
        <v/>
      </c>
      <c r="K411" s="3">
        <f>'[01_Entry.xlsx]Book'!F411</f>
        <v/>
      </c>
      <c r="L411" s="3">
        <f>'[01_Entry.xlsx]Book'!G411</f>
        <v/>
      </c>
      <c r="M411" s="3">
        <f>'[01_Entry.xlsx]Book'!I411</f>
        <v/>
      </c>
      <c r="N411" s="2">
        <f>IF($A411="","",MID($A411,6,2))</f>
        <v>0</v>
      </c>
      <c r="O411" s="2">
        <f>IF(OR($C411="",$C411&lt;&gt;'Inv'!$D$12),"",N(O$410)+1)</f>
        <v>0</v>
      </c>
    </row>
    <row r="412" spans="1:15">
      <c r="A412" s="2">
        <f>'[01_Entry.xlsx]Book'!A412</f>
        <v/>
      </c>
      <c r="B412" s="2">
        <f>'[01_Entry.xlsx]Book'!B412</f>
        <v/>
      </c>
      <c r="C412" s="2">
        <f>'[01_Entry.xlsx]Book'!D412</f>
        <v/>
      </c>
      <c r="D412" s="2">
        <f>'[01_Entry.xlsx]Book'!E412</f>
        <v/>
      </c>
      <c r="E412" s="2">
        <f>'[01_Entry.xlsx]Book'!O412</f>
        <v/>
      </c>
      <c r="F412" s="2">
        <f>'[01_Entry.xlsx]Book'!N412</f>
        <v/>
      </c>
      <c r="G412" s="3">
        <f>'[01_Entry.xlsx]Book'!L412</f>
        <v/>
      </c>
      <c r="H412" s="3">
        <f>'[01_Entry.xlsx]Book'!M412</f>
        <v/>
      </c>
      <c r="I412" s="3">
        <f>'[01_Entry.xlsx]Book'!K412</f>
        <v/>
      </c>
      <c r="J412" s="3">
        <f>'[01_Entry.xlsx]Book'!P412</f>
        <v/>
      </c>
      <c r="K412" s="3">
        <f>'[01_Entry.xlsx]Book'!F412</f>
        <v/>
      </c>
      <c r="L412" s="3">
        <f>'[01_Entry.xlsx]Book'!G412</f>
        <v/>
      </c>
      <c r="M412" s="3">
        <f>'[01_Entry.xlsx]Book'!I412</f>
        <v/>
      </c>
      <c r="N412" s="2">
        <f>IF($A412="","",MID($A412,6,2))</f>
        <v>0</v>
      </c>
      <c r="O412" s="2">
        <f>IF(OR($C412="",$C412&lt;&gt;'Inv'!$D$12),"",N(O$411)+1)</f>
        <v>0</v>
      </c>
    </row>
    <row r="413" spans="1:15">
      <c r="A413" s="2">
        <f>'[01_Entry.xlsx]Book'!A413</f>
        <v/>
      </c>
      <c r="B413" s="2">
        <f>'[01_Entry.xlsx]Book'!B413</f>
        <v/>
      </c>
      <c r="C413" s="2">
        <f>'[01_Entry.xlsx]Book'!D413</f>
        <v/>
      </c>
      <c r="D413" s="2">
        <f>'[01_Entry.xlsx]Book'!E413</f>
        <v/>
      </c>
      <c r="E413" s="2">
        <f>'[01_Entry.xlsx]Book'!O413</f>
        <v/>
      </c>
      <c r="F413" s="2">
        <f>'[01_Entry.xlsx]Book'!N413</f>
        <v/>
      </c>
      <c r="G413" s="3">
        <f>'[01_Entry.xlsx]Book'!L413</f>
        <v/>
      </c>
      <c r="H413" s="3">
        <f>'[01_Entry.xlsx]Book'!M413</f>
        <v/>
      </c>
      <c r="I413" s="3">
        <f>'[01_Entry.xlsx]Book'!K413</f>
        <v/>
      </c>
      <c r="J413" s="3">
        <f>'[01_Entry.xlsx]Book'!P413</f>
        <v/>
      </c>
      <c r="K413" s="3">
        <f>'[01_Entry.xlsx]Book'!F413</f>
        <v/>
      </c>
      <c r="L413" s="3">
        <f>'[01_Entry.xlsx]Book'!G413</f>
        <v/>
      </c>
      <c r="M413" s="3">
        <f>'[01_Entry.xlsx]Book'!I413</f>
        <v/>
      </c>
      <c r="N413" s="2">
        <f>IF($A413="","",MID($A413,6,2))</f>
        <v>0</v>
      </c>
      <c r="O413" s="2">
        <f>IF(OR($C413="",$C413&lt;&gt;'Inv'!$D$12),"",N(O$412)+1)</f>
        <v>0</v>
      </c>
    </row>
    <row r="414" spans="1:15">
      <c r="A414" s="2">
        <f>'[01_Entry.xlsx]Book'!A414</f>
        <v/>
      </c>
      <c r="B414" s="2">
        <f>'[01_Entry.xlsx]Book'!B414</f>
        <v/>
      </c>
      <c r="C414" s="2">
        <f>'[01_Entry.xlsx]Book'!D414</f>
        <v/>
      </c>
      <c r="D414" s="2">
        <f>'[01_Entry.xlsx]Book'!E414</f>
        <v/>
      </c>
      <c r="E414" s="2">
        <f>'[01_Entry.xlsx]Book'!O414</f>
        <v/>
      </c>
      <c r="F414" s="2">
        <f>'[01_Entry.xlsx]Book'!N414</f>
        <v/>
      </c>
      <c r="G414" s="3">
        <f>'[01_Entry.xlsx]Book'!L414</f>
        <v/>
      </c>
      <c r="H414" s="3">
        <f>'[01_Entry.xlsx]Book'!M414</f>
        <v/>
      </c>
      <c r="I414" s="3">
        <f>'[01_Entry.xlsx]Book'!K414</f>
        <v/>
      </c>
      <c r="J414" s="3">
        <f>'[01_Entry.xlsx]Book'!P414</f>
        <v/>
      </c>
      <c r="K414" s="3">
        <f>'[01_Entry.xlsx]Book'!F414</f>
        <v/>
      </c>
      <c r="L414" s="3">
        <f>'[01_Entry.xlsx]Book'!G414</f>
        <v/>
      </c>
      <c r="M414" s="3">
        <f>'[01_Entry.xlsx]Book'!I414</f>
        <v/>
      </c>
      <c r="N414" s="2">
        <f>IF($A414="","",MID($A414,6,2))</f>
        <v>0</v>
      </c>
      <c r="O414" s="2">
        <f>IF(OR($C414="",$C414&lt;&gt;'Inv'!$D$12),"",N(O$413)+1)</f>
        <v>0</v>
      </c>
    </row>
    <row r="415" spans="1:15">
      <c r="A415" s="2">
        <f>'[01_Entry.xlsx]Book'!A415</f>
        <v/>
      </c>
      <c r="B415" s="2">
        <f>'[01_Entry.xlsx]Book'!B415</f>
        <v/>
      </c>
      <c r="C415" s="2">
        <f>'[01_Entry.xlsx]Book'!D415</f>
        <v/>
      </c>
      <c r="D415" s="2">
        <f>'[01_Entry.xlsx]Book'!E415</f>
        <v/>
      </c>
      <c r="E415" s="2">
        <f>'[01_Entry.xlsx]Book'!O415</f>
        <v/>
      </c>
      <c r="F415" s="2">
        <f>'[01_Entry.xlsx]Book'!N415</f>
        <v/>
      </c>
      <c r="G415" s="3">
        <f>'[01_Entry.xlsx]Book'!L415</f>
        <v/>
      </c>
      <c r="H415" s="3">
        <f>'[01_Entry.xlsx]Book'!M415</f>
        <v/>
      </c>
      <c r="I415" s="3">
        <f>'[01_Entry.xlsx]Book'!K415</f>
        <v/>
      </c>
      <c r="J415" s="3">
        <f>'[01_Entry.xlsx]Book'!P415</f>
        <v/>
      </c>
      <c r="K415" s="3">
        <f>'[01_Entry.xlsx]Book'!F415</f>
        <v/>
      </c>
      <c r="L415" s="3">
        <f>'[01_Entry.xlsx]Book'!G415</f>
        <v/>
      </c>
      <c r="M415" s="3">
        <f>'[01_Entry.xlsx]Book'!I415</f>
        <v/>
      </c>
      <c r="N415" s="2">
        <f>IF($A415="","",MID($A415,6,2))</f>
        <v>0</v>
      </c>
      <c r="O415" s="2">
        <f>IF(OR($C415="",$C415&lt;&gt;'Inv'!$D$12),"",N(O$414)+1)</f>
        <v>0</v>
      </c>
    </row>
    <row r="416" spans="1:15">
      <c r="A416" s="2">
        <f>'[01_Entry.xlsx]Book'!A416</f>
        <v/>
      </c>
      <c r="B416" s="2">
        <f>'[01_Entry.xlsx]Book'!B416</f>
        <v/>
      </c>
      <c r="C416" s="2">
        <f>'[01_Entry.xlsx]Book'!D416</f>
        <v/>
      </c>
      <c r="D416" s="2">
        <f>'[01_Entry.xlsx]Book'!E416</f>
        <v/>
      </c>
      <c r="E416" s="2">
        <f>'[01_Entry.xlsx]Book'!O416</f>
        <v/>
      </c>
      <c r="F416" s="2">
        <f>'[01_Entry.xlsx]Book'!N416</f>
        <v/>
      </c>
      <c r="G416" s="3">
        <f>'[01_Entry.xlsx]Book'!L416</f>
        <v/>
      </c>
      <c r="H416" s="3">
        <f>'[01_Entry.xlsx]Book'!M416</f>
        <v/>
      </c>
      <c r="I416" s="3">
        <f>'[01_Entry.xlsx]Book'!K416</f>
        <v/>
      </c>
      <c r="J416" s="3">
        <f>'[01_Entry.xlsx]Book'!P416</f>
        <v/>
      </c>
      <c r="K416" s="3">
        <f>'[01_Entry.xlsx]Book'!F416</f>
        <v/>
      </c>
      <c r="L416" s="3">
        <f>'[01_Entry.xlsx]Book'!G416</f>
        <v/>
      </c>
      <c r="M416" s="3">
        <f>'[01_Entry.xlsx]Book'!I416</f>
        <v/>
      </c>
      <c r="N416" s="2">
        <f>IF($A416="","",MID($A416,6,2))</f>
        <v>0</v>
      </c>
      <c r="O416" s="2">
        <f>IF(OR($C416="",$C416&lt;&gt;'Inv'!$D$12),"",N(O$415)+1)</f>
        <v>0</v>
      </c>
    </row>
    <row r="417" spans="1:15">
      <c r="A417" s="2">
        <f>'[01_Entry.xlsx]Book'!A417</f>
        <v/>
      </c>
      <c r="B417" s="2">
        <f>'[01_Entry.xlsx]Book'!B417</f>
        <v/>
      </c>
      <c r="C417" s="2">
        <f>'[01_Entry.xlsx]Book'!D417</f>
        <v/>
      </c>
      <c r="D417" s="2">
        <f>'[01_Entry.xlsx]Book'!E417</f>
        <v/>
      </c>
      <c r="E417" s="2">
        <f>'[01_Entry.xlsx]Book'!O417</f>
        <v/>
      </c>
      <c r="F417" s="2">
        <f>'[01_Entry.xlsx]Book'!N417</f>
        <v/>
      </c>
      <c r="G417" s="3">
        <f>'[01_Entry.xlsx]Book'!L417</f>
        <v/>
      </c>
      <c r="H417" s="3">
        <f>'[01_Entry.xlsx]Book'!M417</f>
        <v/>
      </c>
      <c r="I417" s="3">
        <f>'[01_Entry.xlsx]Book'!K417</f>
        <v/>
      </c>
      <c r="J417" s="3">
        <f>'[01_Entry.xlsx]Book'!P417</f>
        <v/>
      </c>
      <c r="K417" s="3">
        <f>'[01_Entry.xlsx]Book'!F417</f>
        <v/>
      </c>
      <c r="L417" s="3">
        <f>'[01_Entry.xlsx]Book'!G417</f>
        <v/>
      </c>
      <c r="M417" s="3">
        <f>'[01_Entry.xlsx]Book'!I417</f>
        <v/>
      </c>
      <c r="N417" s="2">
        <f>IF($A417="","",MID($A417,6,2))</f>
        <v>0</v>
      </c>
      <c r="O417" s="2">
        <f>IF(OR($C417="",$C417&lt;&gt;'Inv'!$D$12),"",N(O$416)+1)</f>
        <v>0</v>
      </c>
    </row>
    <row r="418" spans="1:15">
      <c r="A418" s="2">
        <f>'[01_Entry.xlsx]Book'!A418</f>
        <v/>
      </c>
      <c r="B418" s="2">
        <f>'[01_Entry.xlsx]Book'!B418</f>
        <v/>
      </c>
      <c r="C418" s="2">
        <f>'[01_Entry.xlsx]Book'!D418</f>
        <v/>
      </c>
      <c r="D418" s="2">
        <f>'[01_Entry.xlsx]Book'!E418</f>
        <v/>
      </c>
      <c r="E418" s="2">
        <f>'[01_Entry.xlsx]Book'!O418</f>
        <v/>
      </c>
      <c r="F418" s="2">
        <f>'[01_Entry.xlsx]Book'!N418</f>
        <v/>
      </c>
      <c r="G418" s="3">
        <f>'[01_Entry.xlsx]Book'!L418</f>
        <v/>
      </c>
      <c r="H418" s="3">
        <f>'[01_Entry.xlsx]Book'!M418</f>
        <v/>
      </c>
      <c r="I418" s="3">
        <f>'[01_Entry.xlsx]Book'!K418</f>
        <v/>
      </c>
      <c r="J418" s="3">
        <f>'[01_Entry.xlsx]Book'!P418</f>
        <v/>
      </c>
      <c r="K418" s="3">
        <f>'[01_Entry.xlsx]Book'!F418</f>
        <v/>
      </c>
      <c r="L418" s="3">
        <f>'[01_Entry.xlsx]Book'!G418</f>
        <v/>
      </c>
      <c r="M418" s="3">
        <f>'[01_Entry.xlsx]Book'!I418</f>
        <v/>
      </c>
      <c r="N418" s="2">
        <f>IF($A418="","",MID($A418,6,2))</f>
        <v>0</v>
      </c>
      <c r="O418" s="2">
        <f>IF(OR($C418="",$C418&lt;&gt;'Inv'!$D$12),"",N(O$417)+1)</f>
        <v>0</v>
      </c>
    </row>
    <row r="419" spans="1:15">
      <c r="A419" s="2">
        <f>'[01_Entry.xlsx]Book'!A419</f>
        <v/>
      </c>
      <c r="B419" s="2">
        <f>'[01_Entry.xlsx]Book'!B419</f>
        <v/>
      </c>
      <c r="C419" s="2">
        <f>'[01_Entry.xlsx]Book'!D419</f>
        <v/>
      </c>
      <c r="D419" s="2">
        <f>'[01_Entry.xlsx]Book'!E419</f>
        <v/>
      </c>
      <c r="E419" s="2">
        <f>'[01_Entry.xlsx]Book'!O419</f>
        <v/>
      </c>
      <c r="F419" s="2">
        <f>'[01_Entry.xlsx]Book'!N419</f>
        <v/>
      </c>
      <c r="G419" s="3">
        <f>'[01_Entry.xlsx]Book'!L419</f>
        <v/>
      </c>
      <c r="H419" s="3">
        <f>'[01_Entry.xlsx]Book'!M419</f>
        <v/>
      </c>
      <c r="I419" s="3">
        <f>'[01_Entry.xlsx]Book'!K419</f>
        <v/>
      </c>
      <c r="J419" s="3">
        <f>'[01_Entry.xlsx]Book'!P419</f>
        <v/>
      </c>
      <c r="K419" s="3">
        <f>'[01_Entry.xlsx]Book'!F419</f>
        <v/>
      </c>
      <c r="L419" s="3">
        <f>'[01_Entry.xlsx]Book'!G419</f>
        <v/>
      </c>
      <c r="M419" s="3">
        <f>'[01_Entry.xlsx]Book'!I419</f>
        <v/>
      </c>
      <c r="N419" s="2">
        <f>IF($A419="","",MID($A419,6,2))</f>
        <v>0</v>
      </c>
      <c r="O419" s="2">
        <f>IF(OR($C419="",$C419&lt;&gt;'Inv'!$D$12),"",N(O$418)+1)</f>
        <v>0</v>
      </c>
    </row>
    <row r="420" spans="1:15">
      <c r="A420" s="2">
        <f>'[01_Entry.xlsx]Book'!A420</f>
        <v/>
      </c>
      <c r="B420" s="2">
        <f>'[01_Entry.xlsx]Book'!B420</f>
        <v/>
      </c>
      <c r="C420" s="2">
        <f>'[01_Entry.xlsx]Book'!D420</f>
        <v/>
      </c>
      <c r="D420" s="2">
        <f>'[01_Entry.xlsx]Book'!E420</f>
        <v/>
      </c>
      <c r="E420" s="2">
        <f>'[01_Entry.xlsx]Book'!O420</f>
        <v/>
      </c>
      <c r="F420" s="2">
        <f>'[01_Entry.xlsx]Book'!N420</f>
        <v/>
      </c>
      <c r="G420" s="3">
        <f>'[01_Entry.xlsx]Book'!L420</f>
        <v/>
      </c>
      <c r="H420" s="3">
        <f>'[01_Entry.xlsx]Book'!M420</f>
        <v/>
      </c>
      <c r="I420" s="3">
        <f>'[01_Entry.xlsx]Book'!K420</f>
        <v/>
      </c>
      <c r="J420" s="3">
        <f>'[01_Entry.xlsx]Book'!P420</f>
        <v/>
      </c>
      <c r="K420" s="3">
        <f>'[01_Entry.xlsx]Book'!F420</f>
        <v/>
      </c>
      <c r="L420" s="3">
        <f>'[01_Entry.xlsx]Book'!G420</f>
        <v/>
      </c>
      <c r="M420" s="3">
        <f>'[01_Entry.xlsx]Book'!I420</f>
        <v/>
      </c>
      <c r="N420" s="2">
        <f>IF($A420="","",MID($A420,6,2))</f>
        <v>0</v>
      </c>
      <c r="O420" s="2">
        <f>IF(OR($C420="",$C420&lt;&gt;'Inv'!$D$12),"",N(O$419)+1)</f>
        <v>0</v>
      </c>
    </row>
    <row r="421" spans="1:15">
      <c r="A421" s="2">
        <f>'[01_Entry.xlsx]Book'!A421</f>
        <v/>
      </c>
      <c r="B421" s="2">
        <f>'[01_Entry.xlsx]Book'!B421</f>
        <v/>
      </c>
      <c r="C421" s="2">
        <f>'[01_Entry.xlsx]Book'!D421</f>
        <v/>
      </c>
      <c r="D421" s="2">
        <f>'[01_Entry.xlsx]Book'!E421</f>
        <v/>
      </c>
      <c r="E421" s="2">
        <f>'[01_Entry.xlsx]Book'!O421</f>
        <v/>
      </c>
      <c r="F421" s="2">
        <f>'[01_Entry.xlsx]Book'!N421</f>
        <v/>
      </c>
      <c r="G421" s="3">
        <f>'[01_Entry.xlsx]Book'!L421</f>
        <v/>
      </c>
      <c r="H421" s="3">
        <f>'[01_Entry.xlsx]Book'!M421</f>
        <v/>
      </c>
      <c r="I421" s="3">
        <f>'[01_Entry.xlsx]Book'!K421</f>
        <v/>
      </c>
      <c r="J421" s="3">
        <f>'[01_Entry.xlsx]Book'!P421</f>
        <v/>
      </c>
      <c r="K421" s="3">
        <f>'[01_Entry.xlsx]Book'!F421</f>
        <v/>
      </c>
      <c r="L421" s="3">
        <f>'[01_Entry.xlsx]Book'!G421</f>
        <v/>
      </c>
      <c r="M421" s="3">
        <f>'[01_Entry.xlsx]Book'!I421</f>
        <v/>
      </c>
      <c r="N421" s="2">
        <f>IF($A421="","",MID($A421,6,2))</f>
        <v>0</v>
      </c>
      <c r="O421" s="2">
        <f>IF(OR($C421="",$C421&lt;&gt;'Inv'!$D$12),"",N(O$420)+1)</f>
        <v>0</v>
      </c>
    </row>
    <row r="422" spans="1:15">
      <c r="A422" s="2">
        <f>'[01_Entry.xlsx]Book'!A422</f>
        <v/>
      </c>
      <c r="B422" s="2">
        <f>'[01_Entry.xlsx]Book'!B422</f>
        <v/>
      </c>
      <c r="C422" s="2">
        <f>'[01_Entry.xlsx]Book'!D422</f>
        <v/>
      </c>
      <c r="D422" s="2">
        <f>'[01_Entry.xlsx]Book'!E422</f>
        <v/>
      </c>
      <c r="E422" s="2">
        <f>'[01_Entry.xlsx]Book'!O422</f>
        <v/>
      </c>
      <c r="F422" s="2">
        <f>'[01_Entry.xlsx]Book'!N422</f>
        <v/>
      </c>
      <c r="G422" s="3">
        <f>'[01_Entry.xlsx]Book'!L422</f>
        <v/>
      </c>
      <c r="H422" s="3">
        <f>'[01_Entry.xlsx]Book'!M422</f>
        <v/>
      </c>
      <c r="I422" s="3">
        <f>'[01_Entry.xlsx]Book'!K422</f>
        <v/>
      </c>
      <c r="J422" s="3">
        <f>'[01_Entry.xlsx]Book'!P422</f>
        <v/>
      </c>
      <c r="K422" s="3">
        <f>'[01_Entry.xlsx]Book'!F422</f>
        <v/>
      </c>
      <c r="L422" s="3">
        <f>'[01_Entry.xlsx]Book'!G422</f>
        <v/>
      </c>
      <c r="M422" s="3">
        <f>'[01_Entry.xlsx]Book'!I422</f>
        <v/>
      </c>
      <c r="N422" s="2">
        <f>IF($A422="","",MID($A422,6,2))</f>
        <v>0</v>
      </c>
      <c r="O422" s="2">
        <f>IF(OR($C422="",$C422&lt;&gt;'Inv'!$D$12),"",N(O$421)+1)</f>
        <v>0</v>
      </c>
    </row>
    <row r="423" spans="1:15">
      <c r="A423" s="2">
        <f>'[01_Entry.xlsx]Book'!A423</f>
        <v/>
      </c>
      <c r="B423" s="2">
        <f>'[01_Entry.xlsx]Book'!B423</f>
        <v/>
      </c>
      <c r="C423" s="2">
        <f>'[01_Entry.xlsx]Book'!D423</f>
        <v/>
      </c>
      <c r="D423" s="2">
        <f>'[01_Entry.xlsx]Book'!E423</f>
        <v/>
      </c>
      <c r="E423" s="2">
        <f>'[01_Entry.xlsx]Book'!O423</f>
        <v/>
      </c>
      <c r="F423" s="2">
        <f>'[01_Entry.xlsx]Book'!N423</f>
        <v/>
      </c>
      <c r="G423" s="3">
        <f>'[01_Entry.xlsx]Book'!L423</f>
        <v/>
      </c>
      <c r="H423" s="3">
        <f>'[01_Entry.xlsx]Book'!M423</f>
        <v/>
      </c>
      <c r="I423" s="3">
        <f>'[01_Entry.xlsx]Book'!K423</f>
        <v/>
      </c>
      <c r="J423" s="3">
        <f>'[01_Entry.xlsx]Book'!P423</f>
        <v/>
      </c>
      <c r="K423" s="3">
        <f>'[01_Entry.xlsx]Book'!F423</f>
        <v/>
      </c>
      <c r="L423" s="3">
        <f>'[01_Entry.xlsx]Book'!G423</f>
        <v/>
      </c>
      <c r="M423" s="3">
        <f>'[01_Entry.xlsx]Book'!I423</f>
        <v/>
      </c>
      <c r="N423" s="2">
        <f>IF($A423="","",MID($A423,6,2))</f>
        <v>0</v>
      </c>
      <c r="O423" s="2">
        <f>IF(OR($C423="",$C423&lt;&gt;'Inv'!$D$12),"",N(O$422)+1)</f>
        <v>0</v>
      </c>
    </row>
    <row r="424" spans="1:15">
      <c r="A424" s="2">
        <f>'[01_Entry.xlsx]Book'!A424</f>
        <v/>
      </c>
      <c r="B424" s="2">
        <f>'[01_Entry.xlsx]Book'!B424</f>
        <v/>
      </c>
      <c r="C424" s="2">
        <f>'[01_Entry.xlsx]Book'!D424</f>
        <v/>
      </c>
      <c r="D424" s="2">
        <f>'[01_Entry.xlsx]Book'!E424</f>
        <v/>
      </c>
      <c r="E424" s="2">
        <f>'[01_Entry.xlsx]Book'!O424</f>
        <v/>
      </c>
      <c r="F424" s="2">
        <f>'[01_Entry.xlsx]Book'!N424</f>
        <v/>
      </c>
      <c r="G424" s="3">
        <f>'[01_Entry.xlsx]Book'!L424</f>
        <v/>
      </c>
      <c r="H424" s="3">
        <f>'[01_Entry.xlsx]Book'!M424</f>
        <v/>
      </c>
      <c r="I424" s="3">
        <f>'[01_Entry.xlsx]Book'!K424</f>
        <v/>
      </c>
      <c r="J424" s="3">
        <f>'[01_Entry.xlsx]Book'!P424</f>
        <v/>
      </c>
      <c r="K424" s="3">
        <f>'[01_Entry.xlsx]Book'!F424</f>
        <v/>
      </c>
      <c r="L424" s="3">
        <f>'[01_Entry.xlsx]Book'!G424</f>
        <v/>
      </c>
      <c r="M424" s="3">
        <f>'[01_Entry.xlsx]Book'!I424</f>
        <v/>
      </c>
      <c r="N424" s="2">
        <f>IF($A424="","",MID($A424,6,2))</f>
        <v>0</v>
      </c>
      <c r="O424" s="2">
        <f>IF(OR($C424="",$C424&lt;&gt;'Inv'!$D$12),"",N(O$423)+1)</f>
        <v>0</v>
      </c>
    </row>
    <row r="425" spans="1:15">
      <c r="A425" s="2">
        <f>'[01_Entry.xlsx]Book'!A425</f>
        <v/>
      </c>
      <c r="B425" s="2">
        <f>'[01_Entry.xlsx]Book'!B425</f>
        <v/>
      </c>
      <c r="C425" s="2">
        <f>'[01_Entry.xlsx]Book'!D425</f>
        <v/>
      </c>
      <c r="D425" s="2">
        <f>'[01_Entry.xlsx]Book'!E425</f>
        <v/>
      </c>
      <c r="E425" s="2">
        <f>'[01_Entry.xlsx]Book'!O425</f>
        <v/>
      </c>
      <c r="F425" s="2">
        <f>'[01_Entry.xlsx]Book'!N425</f>
        <v/>
      </c>
      <c r="G425" s="3">
        <f>'[01_Entry.xlsx]Book'!L425</f>
        <v/>
      </c>
      <c r="H425" s="3">
        <f>'[01_Entry.xlsx]Book'!M425</f>
        <v/>
      </c>
      <c r="I425" s="3">
        <f>'[01_Entry.xlsx]Book'!K425</f>
        <v/>
      </c>
      <c r="J425" s="3">
        <f>'[01_Entry.xlsx]Book'!P425</f>
        <v/>
      </c>
      <c r="K425" s="3">
        <f>'[01_Entry.xlsx]Book'!F425</f>
        <v/>
      </c>
      <c r="L425" s="3">
        <f>'[01_Entry.xlsx]Book'!G425</f>
        <v/>
      </c>
      <c r="M425" s="3">
        <f>'[01_Entry.xlsx]Book'!I425</f>
        <v/>
      </c>
      <c r="N425" s="2">
        <f>IF($A425="","",MID($A425,6,2))</f>
        <v>0</v>
      </c>
      <c r="O425" s="2">
        <f>IF(OR($C425="",$C425&lt;&gt;'Inv'!$D$12),"",N(O$424)+1)</f>
        <v>0</v>
      </c>
    </row>
    <row r="426" spans="1:15">
      <c r="A426" s="2">
        <f>'[01_Entry.xlsx]Book'!A426</f>
        <v/>
      </c>
      <c r="B426" s="2">
        <f>'[01_Entry.xlsx]Book'!B426</f>
        <v/>
      </c>
      <c r="C426" s="2">
        <f>'[01_Entry.xlsx]Book'!D426</f>
        <v/>
      </c>
      <c r="D426" s="2">
        <f>'[01_Entry.xlsx]Book'!E426</f>
        <v/>
      </c>
      <c r="E426" s="2">
        <f>'[01_Entry.xlsx]Book'!O426</f>
        <v/>
      </c>
      <c r="F426" s="2">
        <f>'[01_Entry.xlsx]Book'!N426</f>
        <v/>
      </c>
      <c r="G426" s="3">
        <f>'[01_Entry.xlsx]Book'!L426</f>
        <v/>
      </c>
      <c r="H426" s="3">
        <f>'[01_Entry.xlsx]Book'!M426</f>
        <v/>
      </c>
      <c r="I426" s="3">
        <f>'[01_Entry.xlsx]Book'!K426</f>
        <v/>
      </c>
      <c r="J426" s="3">
        <f>'[01_Entry.xlsx]Book'!P426</f>
        <v/>
      </c>
      <c r="K426" s="3">
        <f>'[01_Entry.xlsx]Book'!F426</f>
        <v/>
      </c>
      <c r="L426" s="3">
        <f>'[01_Entry.xlsx]Book'!G426</f>
        <v/>
      </c>
      <c r="M426" s="3">
        <f>'[01_Entry.xlsx]Book'!I426</f>
        <v/>
      </c>
      <c r="N426" s="2">
        <f>IF($A426="","",MID($A426,6,2))</f>
        <v>0</v>
      </c>
      <c r="O426" s="2">
        <f>IF(OR($C426="",$C426&lt;&gt;'Inv'!$D$12),"",N(O$425)+1)</f>
        <v>0</v>
      </c>
    </row>
    <row r="427" spans="1:15">
      <c r="A427" s="2">
        <f>'[01_Entry.xlsx]Book'!A427</f>
        <v/>
      </c>
      <c r="B427" s="2">
        <f>'[01_Entry.xlsx]Book'!B427</f>
        <v/>
      </c>
      <c r="C427" s="2">
        <f>'[01_Entry.xlsx]Book'!D427</f>
        <v/>
      </c>
      <c r="D427" s="2">
        <f>'[01_Entry.xlsx]Book'!E427</f>
        <v/>
      </c>
      <c r="E427" s="2">
        <f>'[01_Entry.xlsx]Book'!O427</f>
        <v/>
      </c>
      <c r="F427" s="2">
        <f>'[01_Entry.xlsx]Book'!N427</f>
        <v/>
      </c>
      <c r="G427" s="3">
        <f>'[01_Entry.xlsx]Book'!L427</f>
        <v/>
      </c>
      <c r="H427" s="3">
        <f>'[01_Entry.xlsx]Book'!M427</f>
        <v/>
      </c>
      <c r="I427" s="3">
        <f>'[01_Entry.xlsx]Book'!K427</f>
        <v/>
      </c>
      <c r="J427" s="3">
        <f>'[01_Entry.xlsx]Book'!P427</f>
        <v/>
      </c>
      <c r="K427" s="3">
        <f>'[01_Entry.xlsx]Book'!F427</f>
        <v/>
      </c>
      <c r="L427" s="3">
        <f>'[01_Entry.xlsx]Book'!G427</f>
        <v/>
      </c>
      <c r="M427" s="3">
        <f>'[01_Entry.xlsx]Book'!I427</f>
        <v/>
      </c>
      <c r="N427" s="2">
        <f>IF($A427="","",MID($A427,6,2))</f>
        <v>0</v>
      </c>
      <c r="O427" s="2">
        <f>IF(OR($C427="",$C427&lt;&gt;'Inv'!$D$12),"",N(O$426)+1)</f>
        <v>0</v>
      </c>
    </row>
    <row r="428" spans="1:15">
      <c r="A428" s="2">
        <f>'[01_Entry.xlsx]Book'!A428</f>
        <v/>
      </c>
      <c r="B428" s="2">
        <f>'[01_Entry.xlsx]Book'!B428</f>
        <v/>
      </c>
      <c r="C428" s="2">
        <f>'[01_Entry.xlsx]Book'!D428</f>
        <v/>
      </c>
      <c r="D428" s="2">
        <f>'[01_Entry.xlsx]Book'!E428</f>
        <v/>
      </c>
      <c r="E428" s="2">
        <f>'[01_Entry.xlsx]Book'!O428</f>
        <v/>
      </c>
      <c r="F428" s="2">
        <f>'[01_Entry.xlsx]Book'!N428</f>
        <v/>
      </c>
      <c r="G428" s="3">
        <f>'[01_Entry.xlsx]Book'!L428</f>
        <v/>
      </c>
      <c r="H428" s="3">
        <f>'[01_Entry.xlsx]Book'!M428</f>
        <v/>
      </c>
      <c r="I428" s="3">
        <f>'[01_Entry.xlsx]Book'!K428</f>
        <v/>
      </c>
      <c r="J428" s="3">
        <f>'[01_Entry.xlsx]Book'!P428</f>
        <v/>
      </c>
      <c r="K428" s="3">
        <f>'[01_Entry.xlsx]Book'!F428</f>
        <v/>
      </c>
      <c r="L428" s="3">
        <f>'[01_Entry.xlsx]Book'!G428</f>
        <v/>
      </c>
      <c r="M428" s="3">
        <f>'[01_Entry.xlsx]Book'!I428</f>
        <v/>
      </c>
      <c r="N428" s="2">
        <f>IF($A428="","",MID($A428,6,2))</f>
        <v>0</v>
      </c>
      <c r="O428" s="2">
        <f>IF(OR($C428="",$C428&lt;&gt;'Inv'!$D$12),"",N(O$427)+1)</f>
        <v>0</v>
      </c>
    </row>
    <row r="429" spans="1:15">
      <c r="A429" s="2">
        <f>'[01_Entry.xlsx]Book'!A429</f>
        <v/>
      </c>
      <c r="B429" s="2">
        <f>'[01_Entry.xlsx]Book'!B429</f>
        <v/>
      </c>
      <c r="C429" s="2">
        <f>'[01_Entry.xlsx]Book'!D429</f>
        <v/>
      </c>
      <c r="D429" s="2">
        <f>'[01_Entry.xlsx]Book'!E429</f>
        <v/>
      </c>
      <c r="E429" s="2">
        <f>'[01_Entry.xlsx]Book'!O429</f>
        <v/>
      </c>
      <c r="F429" s="2">
        <f>'[01_Entry.xlsx]Book'!N429</f>
        <v/>
      </c>
      <c r="G429" s="3">
        <f>'[01_Entry.xlsx]Book'!L429</f>
        <v/>
      </c>
      <c r="H429" s="3">
        <f>'[01_Entry.xlsx]Book'!M429</f>
        <v/>
      </c>
      <c r="I429" s="3">
        <f>'[01_Entry.xlsx]Book'!K429</f>
        <v/>
      </c>
      <c r="J429" s="3">
        <f>'[01_Entry.xlsx]Book'!P429</f>
        <v/>
      </c>
      <c r="K429" s="3">
        <f>'[01_Entry.xlsx]Book'!F429</f>
        <v/>
      </c>
      <c r="L429" s="3">
        <f>'[01_Entry.xlsx]Book'!G429</f>
        <v/>
      </c>
      <c r="M429" s="3">
        <f>'[01_Entry.xlsx]Book'!I429</f>
        <v/>
      </c>
      <c r="N429" s="2">
        <f>IF($A429="","",MID($A429,6,2))</f>
        <v>0</v>
      </c>
      <c r="O429" s="2">
        <f>IF(OR($C429="",$C429&lt;&gt;'Inv'!$D$12),"",N(O$428)+1)</f>
        <v>0</v>
      </c>
    </row>
    <row r="430" spans="1:15">
      <c r="A430" s="2">
        <f>'[01_Entry.xlsx]Book'!A430</f>
        <v/>
      </c>
      <c r="B430" s="2">
        <f>'[01_Entry.xlsx]Book'!B430</f>
        <v/>
      </c>
      <c r="C430" s="2">
        <f>'[01_Entry.xlsx]Book'!D430</f>
        <v/>
      </c>
      <c r="D430" s="2">
        <f>'[01_Entry.xlsx]Book'!E430</f>
        <v/>
      </c>
      <c r="E430" s="2">
        <f>'[01_Entry.xlsx]Book'!O430</f>
        <v/>
      </c>
      <c r="F430" s="2">
        <f>'[01_Entry.xlsx]Book'!N430</f>
        <v/>
      </c>
      <c r="G430" s="3">
        <f>'[01_Entry.xlsx]Book'!L430</f>
        <v/>
      </c>
      <c r="H430" s="3">
        <f>'[01_Entry.xlsx]Book'!M430</f>
        <v/>
      </c>
      <c r="I430" s="3">
        <f>'[01_Entry.xlsx]Book'!K430</f>
        <v/>
      </c>
      <c r="J430" s="3">
        <f>'[01_Entry.xlsx]Book'!P430</f>
        <v/>
      </c>
      <c r="K430" s="3">
        <f>'[01_Entry.xlsx]Book'!F430</f>
        <v/>
      </c>
      <c r="L430" s="3">
        <f>'[01_Entry.xlsx]Book'!G430</f>
        <v/>
      </c>
      <c r="M430" s="3">
        <f>'[01_Entry.xlsx]Book'!I430</f>
        <v/>
      </c>
      <c r="N430" s="2">
        <f>IF($A430="","",MID($A430,6,2))</f>
        <v>0</v>
      </c>
      <c r="O430" s="2">
        <f>IF(OR($C430="",$C430&lt;&gt;'Inv'!$D$12),"",N(O$429)+1)</f>
        <v>0</v>
      </c>
    </row>
    <row r="431" spans="1:15">
      <c r="A431" s="2">
        <f>'[01_Entry.xlsx]Book'!A431</f>
        <v/>
      </c>
      <c r="B431" s="2">
        <f>'[01_Entry.xlsx]Book'!B431</f>
        <v/>
      </c>
      <c r="C431" s="2">
        <f>'[01_Entry.xlsx]Book'!D431</f>
        <v/>
      </c>
      <c r="D431" s="2">
        <f>'[01_Entry.xlsx]Book'!E431</f>
        <v/>
      </c>
      <c r="E431" s="2">
        <f>'[01_Entry.xlsx]Book'!O431</f>
        <v/>
      </c>
      <c r="F431" s="2">
        <f>'[01_Entry.xlsx]Book'!N431</f>
        <v/>
      </c>
      <c r="G431" s="3">
        <f>'[01_Entry.xlsx]Book'!L431</f>
        <v/>
      </c>
      <c r="H431" s="3">
        <f>'[01_Entry.xlsx]Book'!M431</f>
        <v/>
      </c>
      <c r="I431" s="3">
        <f>'[01_Entry.xlsx]Book'!K431</f>
        <v/>
      </c>
      <c r="J431" s="3">
        <f>'[01_Entry.xlsx]Book'!P431</f>
        <v/>
      </c>
      <c r="K431" s="3">
        <f>'[01_Entry.xlsx]Book'!F431</f>
        <v/>
      </c>
      <c r="L431" s="3">
        <f>'[01_Entry.xlsx]Book'!G431</f>
        <v/>
      </c>
      <c r="M431" s="3">
        <f>'[01_Entry.xlsx]Book'!I431</f>
        <v/>
      </c>
      <c r="N431" s="2">
        <f>IF($A431="","",MID($A431,6,2))</f>
        <v>0</v>
      </c>
      <c r="O431" s="2">
        <f>IF(OR($C431="",$C431&lt;&gt;'Inv'!$D$12),"",N(O$430)+1)</f>
        <v>0</v>
      </c>
    </row>
    <row r="432" spans="1:15">
      <c r="A432" s="2">
        <f>'[01_Entry.xlsx]Book'!A432</f>
        <v/>
      </c>
      <c r="B432" s="2">
        <f>'[01_Entry.xlsx]Book'!B432</f>
        <v/>
      </c>
      <c r="C432" s="2">
        <f>'[01_Entry.xlsx]Book'!D432</f>
        <v/>
      </c>
      <c r="D432" s="2">
        <f>'[01_Entry.xlsx]Book'!E432</f>
        <v/>
      </c>
      <c r="E432" s="2">
        <f>'[01_Entry.xlsx]Book'!O432</f>
        <v/>
      </c>
      <c r="F432" s="2">
        <f>'[01_Entry.xlsx]Book'!N432</f>
        <v/>
      </c>
      <c r="G432" s="3">
        <f>'[01_Entry.xlsx]Book'!L432</f>
        <v/>
      </c>
      <c r="H432" s="3">
        <f>'[01_Entry.xlsx]Book'!M432</f>
        <v/>
      </c>
      <c r="I432" s="3">
        <f>'[01_Entry.xlsx]Book'!K432</f>
        <v/>
      </c>
      <c r="J432" s="3">
        <f>'[01_Entry.xlsx]Book'!P432</f>
        <v/>
      </c>
      <c r="K432" s="3">
        <f>'[01_Entry.xlsx]Book'!F432</f>
        <v/>
      </c>
      <c r="L432" s="3">
        <f>'[01_Entry.xlsx]Book'!G432</f>
        <v/>
      </c>
      <c r="M432" s="3">
        <f>'[01_Entry.xlsx]Book'!I432</f>
        <v/>
      </c>
      <c r="N432" s="2">
        <f>IF($A432="","",MID($A432,6,2))</f>
        <v>0</v>
      </c>
      <c r="O432" s="2">
        <f>IF(OR($C432="",$C432&lt;&gt;'Inv'!$D$12),"",N(O$431)+1)</f>
        <v>0</v>
      </c>
    </row>
    <row r="433" spans="1:15">
      <c r="A433" s="2">
        <f>'[01_Entry.xlsx]Book'!A433</f>
        <v/>
      </c>
      <c r="B433" s="2">
        <f>'[01_Entry.xlsx]Book'!B433</f>
        <v/>
      </c>
      <c r="C433" s="2">
        <f>'[01_Entry.xlsx]Book'!D433</f>
        <v/>
      </c>
      <c r="D433" s="2">
        <f>'[01_Entry.xlsx]Book'!E433</f>
        <v/>
      </c>
      <c r="E433" s="2">
        <f>'[01_Entry.xlsx]Book'!O433</f>
        <v/>
      </c>
      <c r="F433" s="2">
        <f>'[01_Entry.xlsx]Book'!N433</f>
        <v/>
      </c>
      <c r="G433" s="3">
        <f>'[01_Entry.xlsx]Book'!L433</f>
        <v/>
      </c>
      <c r="H433" s="3">
        <f>'[01_Entry.xlsx]Book'!M433</f>
        <v/>
      </c>
      <c r="I433" s="3">
        <f>'[01_Entry.xlsx]Book'!K433</f>
        <v/>
      </c>
      <c r="J433" s="3">
        <f>'[01_Entry.xlsx]Book'!P433</f>
        <v/>
      </c>
      <c r="K433" s="3">
        <f>'[01_Entry.xlsx]Book'!F433</f>
        <v/>
      </c>
      <c r="L433" s="3">
        <f>'[01_Entry.xlsx]Book'!G433</f>
        <v/>
      </c>
      <c r="M433" s="3">
        <f>'[01_Entry.xlsx]Book'!I433</f>
        <v/>
      </c>
      <c r="N433" s="2">
        <f>IF($A433="","",MID($A433,6,2))</f>
        <v>0</v>
      </c>
      <c r="O433" s="2">
        <f>IF(OR($C433="",$C433&lt;&gt;'Inv'!$D$12),"",N(O$432)+1)</f>
        <v>0</v>
      </c>
    </row>
    <row r="434" spans="1:15">
      <c r="A434" s="2">
        <f>'[01_Entry.xlsx]Book'!A434</f>
        <v/>
      </c>
      <c r="B434" s="2">
        <f>'[01_Entry.xlsx]Book'!B434</f>
        <v/>
      </c>
      <c r="C434" s="2">
        <f>'[01_Entry.xlsx]Book'!D434</f>
        <v/>
      </c>
      <c r="D434" s="2">
        <f>'[01_Entry.xlsx]Book'!E434</f>
        <v/>
      </c>
      <c r="E434" s="2">
        <f>'[01_Entry.xlsx]Book'!O434</f>
        <v/>
      </c>
      <c r="F434" s="2">
        <f>'[01_Entry.xlsx]Book'!N434</f>
        <v/>
      </c>
      <c r="G434" s="3">
        <f>'[01_Entry.xlsx]Book'!L434</f>
        <v/>
      </c>
      <c r="H434" s="3">
        <f>'[01_Entry.xlsx]Book'!M434</f>
        <v/>
      </c>
      <c r="I434" s="3">
        <f>'[01_Entry.xlsx]Book'!K434</f>
        <v/>
      </c>
      <c r="J434" s="3">
        <f>'[01_Entry.xlsx]Book'!P434</f>
        <v/>
      </c>
      <c r="K434" s="3">
        <f>'[01_Entry.xlsx]Book'!F434</f>
        <v/>
      </c>
      <c r="L434" s="3">
        <f>'[01_Entry.xlsx]Book'!G434</f>
        <v/>
      </c>
      <c r="M434" s="3">
        <f>'[01_Entry.xlsx]Book'!I434</f>
        <v/>
      </c>
      <c r="N434" s="2">
        <f>IF($A434="","",MID($A434,6,2))</f>
        <v>0</v>
      </c>
      <c r="O434" s="2">
        <f>IF(OR($C434="",$C434&lt;&gt;'Inv'!$D$12),"",N(O$433)+1)</f>
        <v>0</v>
      </c>
    </row>
    <row r="435" spans="1:15">
      <c r="A435" s="2">
        <f>'[01_Entry.xlsx]Book'!A435</f>
        <v/>
      </c>
      <c r="B435" s="2">
        <f>'[01_Entry.xlsx]Book'!B435</f>
        <v/>
      </c>
      <c r="C435" s="2">
        <f>'[01_Entry.xlsx]Book'!D435</f>
        <v/>
      </c>
      <c r="D435" s="2">
        <f>'[01_Entry.xlsx]Book'!E435</f>
        <v/>
      </c>
      <c r="E435" s="2">
        <f>'[01_Entry.xlsx]Book'!O435</f>
        <v/>
      </c>
      <c r="F435" s="2">
        <f>'[01_Entry.xlsx]Book'!N435</f>
        <v/>
      </c>
      <c r="G435" s="3">
        <f>'[01_Entry.xlsx]Book'!L435</f>
        <v/>
      </c>
      <c r="H435" s="3">
        <f>'[01_Entry.xlsx]Book'!M435</f>
        <v/>
      </c>
      <c r="I435" s="3">
        <f>'[01_Entry.xlsx]Book'!K435</f>
        <v/>
      </c>
      <c r="J435" s="3">
        <f>'[01_Entry.xlsx]Book'!P435</f>
        <v/>
      </c>
      <c r="K435" s="3">
        <f>'[01_Entry.xlsx]Book'!F435</f>
        <v/>
      </c>
      <c r="L435" s="3">
        <f>'[01_Entry.xlsx]Book'!G435</f>
        <v/>
      </c>
      <c r="M435" s="3">
        <f>'[01_Entry.xlsx]Book'!I435</f>
        <v/>
      </c>
      <c r="N435" s="2">
        <f>IF($A435="","",MID($A435,6,2))</f>
        <v>0</v>
      </c>
      <c r="O435" s="2">
        <f>IF(OR($C435="",$C435&lt;&gt;'Inv'!$D$12),"",N(O$434)+1)</f>
        <v>0</v>
      </c>
    </row>
    <row r="436" spans="1:15">
      <c r="A436" s="2">
        <f>'[01_Entry.xlsx]Book'!A436</f>
        <v/>
      </c>
      <c r="B436" s="2">
        <f>'[01_Entry.xlsx]Book'!B436</f>
        <v/>
      </c>
      <c r="C436" s="2">
        <f>'[01_Entry.xlsx]Book'!D436</f>
        <v/>
      </c>
      <c r="D436" s="2">
        <f>'[01_Entry.xlsx]Book'!E436</f>
        <v/>
      </c>
      <c r="E436" s="2">
        <f>'[01_Entry.xlsx]Book'!O436</f>
        <v/>
      </c>
      <c r="F436" s="2">
        <f>'[01_Entry.xlsx]Book'!N436</f>
        <v/>
      </c>
      <c r="G436" s="3">
        <f>'[01_Entry.xlsx]Book'!L436</f>
        <v/>
      </c>
      <c r="H436" s="3">
        <f>'[01_Entry.xlsx]Book'!M436</f>
        <v/>
      </c>
      <c r="I436" s="3">
        <f>'[01_Entry.xlsx]Book'!K436</f>
        <v/>
      </c>
      <c r="J436" s="3">
        <f>'[01_Entry.xlsx]Book'!P436</f>
        <v/>
      </c>
      <c r="K436" s="3">
        <f>'[01_Entry.xlsx]Book'!F436</f>
        <v/>
      </c>
      <c r="L436" s="3">
        <f>'[01_Entry.xlsx]Book'!G436</f>
        <v/>
      </c>
      <c r="M436" s="3">
        <f>'[01_Entry.xlsx]Book'!I436</f>
        <v/>
      </c>
      <c r="N436" s="2">
        <f>IF($A436="","",MID($A436,6,2))</f>
        <v>0</v>
      </c>
      <c r="O436" s="2">
        <f>IF(OR($C436="",$C436&lt;&gt;'Inv'!$D$12),"",N(O$435)+1)</f>
        <v>0</v>
      </c>
    </row>
    <row r="437" spans="1:15">
      <c r="A437" s="2">
        <f>'[01_Entry.xlsx]Book'!A437</f>
        <v/>
      </c>
      <c r="B437" s="2">
        <f>'[01_Entry.xlsx]Book'!B437</f>
        <v/>
      </c>
      <c r="C437" s="2">
        <f>'[01_Entry.xlsx]Book'!D437</f>
        <v/>
      </c>
      <c r="D437" s="2">
        <f>'[01_Entry.xlsx]Book'!E437</f>
        <v/>
      </c>
      <c r="E437" s="2">
        <f>'[01_Entry.xlsx]Book'!O437</f>
        <v/>
      </c>
      <c r="F437" s="2">
        <f>'[01_Entry.xlsx]Book'!N437</f>
        <v/>
      </c>
      <c r="G437" s="3">
        <f>'[01_Entry.xlsx]Book'!L437</f>
        <v/>
      </c>
      <c r="H437" s="3">
        <f>'[01_Entry.xlsx]Book'!M437</f>
        <v/>
      </c>
      <c r="I437" s="3">
        <f>'[01_Entry.xlsx]Book'!K437</f>
        <v/>
      </c>
      <c r="J437" s="3">
        <f>'[01_Entry.xlsx]Book'!P437</f>
        <v/>
      </c>
      <c r="K437" s="3">
        <f>'[01_Entry.xlsx]Book'!F437</f>
        <v/>
      </c>
      <c r="L437" s="3">
        <f>'[01_Entry.xlsx]Book'!G437</f>
        <v/>
      </c>
      <c r="M437" s="3">
        <f>'[01_Entry.xlsx]Book'!I437</f>
        <v/>
      </c>
      <c r="N437" s="2">
        <f>IF($A437="","",MID($A437,6,2))</f>
        <v>0</v>
      </c>
      <c r="O437" s="2">
        <f>IF(OR($C437="",$C437&lt;&gt;'Inv'!$D$12),"",N(O$436)+1)</f>
        <v>0</v>
      </c>
    </row>
    <row r="438" spans="1:15">
      <c r="A438" s="2">
        <f>'[01_Entry.xlsx]Book'!A438</f>
        <v/>
      </c>
      <c r="B438" s="2">
        <f>'[01_Entry.xlsx]Book'!B438</f>
        <v/>
      </c>
      <c r="C438" s="2">
        <f>'[01_Entry.xlsx]Book'!D438</f>
        <v/>
      </c>
      <c r="D438" s="2">
        <f>'[01_Entry.xlsx]Book'!E438</f>
        <v/>
      </c>
      <c r="E438" s="2">
        <f>'[01_Entry.xlsx]Book'!O438</f>
        <v/>
      </c>
      <c r="F438" s="2">
        <f>'[01_Entry.xlsx]Book'!N438</f>
        <v/>
      </c>
      <c r="G438" s="3">
        <f>'[01_Entry.xlsx]Book'!L438</f>
        <v/>
      </c>
      <c r="H438" s="3">
        <f>'[01_Entry.xlsx]Book'!M438</f>
        <v/>
      </c>
      <c r="I438" s="3">
        <f>'[01_Entry.xlsx]Book'!K438</f>
        <v/>
      </c>
      <c r="J438" s="3">
        <f>'[01_Entry.xlsx]Book'!P438</f>
        <v/>
      </c>
      <c r="K438" s="3">
        <f>'[01_Entry.xlsx]Book'!F438</f>
        <v/>
      </c>
      <c r="L438" s="3">
        <f>'[01_Entry.xlsx]Book'!G438</f>
        <v/>
      </c>
      <c r="M438" s="3">
        <f>'[01_Entry.xlsx]Book'!I438</f>
        <v/>
      </c>
      <c r="N438" s="2">
        <f>IF($A438="","",MID($A438,6,2))</f>
        <v>0</v>
      </c>
      <c r="O438" s="2">
        <f>IF(OR($C438="",$C438&lt;&gt;'Inv'!$D$12),"",N(O$437)+1)</f>
        <v>0</v>
      </c>
    </row>
    <row r="439" spans="1:15">
      <c r="A439" s="2">
        <f>'[01_Entry.xlsx]Book'!A439</f>
        <v/>
      </c>
      <c r="B439" s="2">
        <f>'[01_Entry.xlsx]Book'!B439</f>
        <v/>
      </c>
      <c r="C439" s="2">
        <f>'[01_Entry.xlsx]Book'!D439</f>
        <v/>
      </c>
      <c r="D439" s="2">
        <f>'[01_Entry.xlsx]Book'!E439</f>
        <v/>
      </c>
      <c r="E439" s="2">
        <f>'[01_Entry.xlsx]Book'!O439</f>
        <v/>
      </c>
      <c r="F439" s="2">
        <f>'[01_Entry.xlsx]Book'!N439</f>
        <v/>
      </c>
      <c r="G439" s="3">
        <f>'[01_Entry.xlsx]Book'!L439</f>
        <v/>
      </c>
      <c r="H439" s="3">
        <f>'[01_Entry.xlsx]Book'!M439</f>
        <v/>
      </c>
      <c r="I439" s="3">
        <f>'[01_Entry.xlsx]Book'!K439</f>
        <v/>
      </c>
      <c r="J439" s="3">
        <f>'[01_Entry.xlsx]Book'!P439</f>
        <v/>
      </c>
      <c r="K439" s="3">
        <f>'[01_Entry.xlsx]Book'!F439</f>
        <v/>
      </c>
      <c r="L439" s="3">
        <f>'[01_Entry.xlsx]Book'!G439</f>
        <v/>
      </c>
      <c r="M439" s="3">
        <f>'[01_Entry.xlsx]Book'!I439</f>
        <v/>
      </c>
      <c r="N439" s="2">
        <f>IF($A439="","",MID($A439,6,2))</f>
        <v>0</v>
      </c>
      <c r="O439" s="2">
        <f>IF(OR($C439="",$C439&lt;&gt;'Inv'!$D$12),"",N(O$438)+1)</f>
        <v>0</v>
      </c>
    </row>
    <row r="440" spans="1:15">
      <c r="A440" s="2">
        <f>'[01_Entry.xlsx]Book'!A440</f>
        <v/>
      </c>
      <c r="B440" s="2">
        <f>'[01_Entry.xlsx]Book'!B440</f>
        <v/>
      </c>
      <c r="C440" s="2">
        <f>'[01_Entry.xlsx]Book'!D440</f>
        <v/>
      </c>
      <c r="D440" s="2">
        <f>'[01_Entry.xlsx]Book'!E440</f>
        <v/>
      </c>
      <c r="E440" s="2">
        <f>'[01_Entry.xlsx]Book'!O440</f>
        <v/>
      </c>
      <c r="F440" s="2">
        <f>'[01_Entry.xlsx]Book'!N440</f>
        <v/>
      </c>
      <c r="G440" s="3">
        <f>'[01_Entry.xlsx]Book'!L440</f>
        <v/>
      </c>
      <c r="H440" s="3">
        <f>'[01_Entry.xlsx]Book'!M440</f>
        <v/>
      </c>
      <c r="I440" s="3">
        <f>'[01_Entry.xlsx]Book'!K440</f>
        <v/>
      </c>
      <c r="J440" s="3">
        <f>'[01_Entry.xlsx]Book'!P440</f>
        <v/>
      </c>
      <c r="K440" s="3">
        <f>'[01_Entry.xlsx]Book'!F440</f>
        <v/>
      </c>
      <c r="L440" s="3">
        <f>'[01_Entry.xlsx]Book'!G440</f>
        <v/>
      </c>
      <c r="M440" s="3">
        <f>'[01_Entry.xlsx]Book'!I440</f>
        <v/>
      </c>
      <c r="N440" s="2">
        <f>IF($A440="","",MID($A440,6,2))</f>
        <v>0</v>
      </c>
      <c r="O440" s="2">
        <f>IF(OR($C440="",$C440&lt;&gt;'Inv'!$D$12),"",N(O$439)+1)</f>
        <v>0</v>
      </c>
    </row>
    <row r="441" spans="1:15">
      <c r="A441" s="2">
        <f>'[01_Entry.xlsx]Book'!A441</f>
        <v/>
      </c>
      <c r="B441" s="2">
        <f>'[01_Entry.xlsx]Book'!B441</f>
        <v/>
      </c>
      <c r="C441" s="2">
        <f>'[01_Entry.xlsx]Book'!D441</f>
        <v/>
      </c>
      <c r="D441" s="2">
        <f>'[01_Entry.xlsx]Book'!E441</f>
        <v/>
      </c>
      <c r="E441" s="2">
        <f>'[01_Entry.xlsx]Book'!O441</f>
        <v/>
      </c>
      <c r="F441" s="2">
        <f>'[01_Entry.xlsx]Book'!N441</f>
        <v/>
      </c>
      <c r="G441" s="3">
        <f>'[01_Entry.xlsx]Book'!L441</f>
        <v/>
      </c>
      <c r="H441" s="3">
        <f>'[01_Entry.xlsx]Book'!M441</f>
        <v/>
      </c>
      <c r="I441" s="3">
        <f>'[01_Entry.xlsx]Book'!K441</f>
        <v/>
      </c>
      <c r="J441" s="3">
        <f>'[01_Entry.xlsx]Book'!P441</f>
        <v/>
      </c>
      <c r="K441" s="3">
        <f>'[01_Entry.xlsx]Book'!F441</f>
        <v/>
      </c>
      <c r="L441" s="3">
        <f>'[01_Entry.xlsx]Book'!G441</f>
        <v/>
      </c>
      <c r="M441" s="3">
        <f>'[01_Entry.xlsx]Book'!I441</f>
        <v/>
      </c>
      <c r="N441" s="2">
        <f>IF($A441="","",MID($A441,6,2))</f>
        <v>0</v>
      </c>
      <c r="O441" s="2">
        <f>IF(OR($C441="",$C441&lt;&gt;'Inv'!$D$12),"",N(O$440)+1)</f>
        <v>0</v>
      </c>
    </row>
    <row r="442" spans="1:15">
      <c r="A442" s="2">
        <f>'[01_Entry.xlsx]Book'!A442</f>
        <v/>
      </c>
      <c r="B442" s="2">
        <f>'[01_Entry.xlsx]Book'!B442</f>
        <v/>
      </c>
      <c r="C442" s="2">
        <f>'[01_Entry.xlsx]Book'!D442</f>
        <v/>
      </c>
      <c r="D442" s="2">
        <f>'[01_Entry.xlsx]Book'!E442</f>
        <v/>
      </c>
      <c r="E442" s="2">
        <f>'[01_Entry.xlsx]Book'!O442</f>
        <v/>
      </c>
      <c r="F442" s="2">
        <f>'[01_Entry.xlsx]Book'!N442</f>
        <v/>
      </c>
      <c r="G442" s="3">
        <f>'[01_Entry.xlsx]Book'!L442</f>
        <v/>
      </c>
      <c r="H442" s="3">
        <f>'[01_Entry.xlsx]Book'!M442</f>
        <v/>
      </c>
      <c r="I442" s="3">
        <f>'[01_Entry.xlsx]Book'!K442</f>
        <v/>
      </c>
      <c r="J442" s="3">
        <f>'[01_Entry.xlsx]Book'!P442</f>
        <v/>
      </c>
      <c r="K442" s="3">
        <f>'[01_Entry.xlsx]Book'!F442</f>
        <v/>
      </c>
      <c r="L442" s="3">
        <f>'[01_Entry.xlsx]Book'!G442</f>
        <v/>
      </c>
      <c r="M442" s="3">
        <f>'[01_Entry.xlsx]Book'!I442</f>
        <v/>
      </c>
      <c r="N442" s="2">
        <f>IF($A442="","",MID($A442,6,2))</f>
        <v>0</v>
      </c>
      <c r="O442" s="2">
        <f>IF(OR($C442="",$C442&lt;&gt;'Inv'!$D$12),"",N(O$441)+1)</f>
        <v>0</v>
      </c>
    </row>
    <row r="443" spans="1:15">
      <c r="A443" s="2">
        <f>'[01_Entry.xlsx]Book'!A443</f>
        <v/>
      </c>
      <c r="B443" s="2">
        <f>'[01_Entry.xlsx]Book'!B443</f>
        <v/>
      </c>
      <c r="C443" s="2">
        <f>'[01_Entry.xlsx]Book'!D443</f>
        <v/>
      </c>
      <c r="D443" s="2">
        <f>'[01_Entry.xlsx]Book'!E443</f>
        <v/>
      </c>
      <c r="E443" s="2">
        <f>'[01_Entry.xlsx]Book'!O443</f>
        <v/>
      </c>
      <c r="F443" s="2">
        <f>'[01_Entry.xlsx]Book'!N443</f>
        <v/>
      </c>
      <c r="G443" s="3">
        <f>'[01_Entry.xlsx]Book'!L443</f>
        <v/>
      </c>
      <c r="H443" s="3">
        <f>'[01_Entry.xlsx]Book'!M443</f>
        <v/>
      </c>
      <c r="I443" s="3">
        <f>'[01_Entry.xlsx]Book'!K443</f>
        <v/>
      </c>
      <c r="J443" s="3">
        <f>'[01_Entry.xlsx]Book'!P443</f>
        <v/>
      </c>
      <c r="K443" s="3">
        <f>'[01_Entry.xlsx]Book'!F443</f>
        <v/>
      </c>
      <c r="L443" s="3">
        <f>'[01_Entry.xlsx]Book'!G443</f>
        <v/>
      </c>
      <c r="M443" s="3">
        <f>'[01_Entry.xlsx]Book'!I443</f>
        <v/>
      </c>
      <c r="N443" s="2">
        <f>IF($A443="","",MID($A443,6,2))</f>
        <v>0</v>
      </c>
      <c r="O443" s="2">
        <f>IF(OR($C443="",$C443&lt;&gt;'Inv'!$D$12),"",N(O$442)+1)</f>
        <v>0</v>
      </c>
    </row>
    <row r="444" spans="1:15">
      <c r="A444" s="2">
        <f>'[01_Entry.xlsx]Book'!A444</f>
        <v/>
      </c>
      <c r="B444" s="2">
        <f>'[01_Entry.xlsx]Book'!B444</f>
        <v/>
      </c>
      <c r="C444" s="2">
        <f>'[01_Entry.xlsx]Book'!D444</f>
        <v/>
      </c>
      <c r="D444" s="2">
        <f>'[01_Entry.xlsx]Book'!E444</f>
        <v/>
      </c>
      <c r="E444" s="2">
        <f>'[01_Entry.xlsx]Book'!O444</f>
        <v/>
      </c>
      <c r="F444" s="2">
        <f>'[01_Entry.xlsx]Book'!N444</f>
        <v/>
      </c>
      <c r="G444" s="3">
        <f>'[01_Entry.xlsx]Book'!L444</f>
        <v/>
      </c>
      <c r="H444" s="3">
        <f>'[01_Entry.xlsx]Book'!M444</f>
        <v/>
      </c>
      <c r="I444" s="3">
        <f>'[01_Entry.xlsx]Book'!K444</f>
        <v/>
      </c>
      <c r="J444" s="3">
        <f>'[01_Entry.xlsx]Book'!P444</f>
        <v/>
      </c>
      <c r="K444" s="3">
        <f>'[01_Entry.xlsx]Book'!F444</f>
        <v/>
      </c>
      <c r="L444" s="3">
        <f>'[01_Entry.xlsx]Book'!G444</f>
        <v/>
      </c>
      <c r="M444" s="3">
        <f>'[01_Entry.xlsx]Book'!I444</f>
        <v/>
      </c>
      <c r="N444" s="2">
        <f>IF($A444="","",MID($A444,6,2))</f>
        <v>0</v>
      </c>
      <c r="O444" s="2">
        <f>IF(OR($C444="",$C444&lt;&gt;'Inv'!$D$12),"",N(O$443)+1)</f>
        <v>0</v>
      </c>
    </row>
    <row r="445" spans="1:15">
      <c r="A445" s="2">
        <f>'[01_Entry.xlsx]Book'!A445</f>
        <v/>
      </c>
      <c r="B445" s="2">
        <f>'[01_Entry.xlsx]Book'!B445</f>
        <v/>
      </c>
      <c r="C445" s="2">
        <f>'[01_Entry.xlsx]Book'!D445</f>
        <v/>
      </c>
      <c r="D445" s="2">
        <f>'[01_Entry.xlsx]Book'!E445</f>
        <v/>
      </c>
      <c r="E445" s="2">
        <f>'[01_Entry.xlsx]Book'!O445</f>
        <v/>
      </c>
      <c r="F445" s="2">
        <f>'[01_Entry.xlsx]Book'!N445</f>
        <v/>
      </c>
      <c r="G445" s="3">
        <f>'[01_Entry.xlsx]Book'!L445</f>
        <v/>
      </c>
      <c r="H445" s="3">
        <f>'[01_Entry.xlsx]Book'!M445</f>
        <v/>
      </c>
      <c r="I445" s="3">
        <f>'[01_Entry.xlsx]Book'!K445</f>
        <v/>
      </c>
      <c r="J445" s="3">
        <f>'[01_Entry.xlsx]Book'!P445</f>
        <v/>
      </c>
      <c r="K445" s="3">
        <f>'[01_Entry.xlsx]Book'!F445</f>
        <v/>
      </c>
      <c r="L445" s="3">
        <f>'[01_Entry.xlsx]Book'!G445</f>
        <v/>
      </c>
      <c r="M445" s="3">
        <f>'[01_Entry.xlsx]Book'!I445</f>
        <v/>
      </c>
      <c r="N445" s="2">
        <f>IF($A445="","",MID($A445,6,2))</f>
        <v>0</v>
      </c>
      <c r="O445" s="2">
        <f>IF(OR($C445="",$C445&lt;&gt;'Inv'!$D$12),"",N(O$444)+1)</f>
        <v>0</v>
      </c>
    </row>
    <row r="446" spans="1:15">
      <c r="A446" s="2">
        <f>'[01_Entry.xlsx]Book'!A446</f>
        <v/>
      </c>
      <c r="B446" s="2">
        <f>'[01_Entry.xlsx]Book'!B446</f>
        <v/>
      </c>
      <c r="C446" s="2">
        <f>'[01_Entry.xlsx]Book'!D446</f>
        <v/>
      </c>
      <c r="D446" s="2">
        <f>'[01_Entry.xlsx]Book'!E446</f>
        <v/>
      </c>
      <c r="E446" s="2">
        <f>'[01_Entry.xlsx]Book'!O446</f>
        <v/>
      </c>
      <c r="F446" s="2">
        <f>'[01_Entry.xlsx]Book'!N446</f>
        <v/>
      </c>
      <c r="G446" s="3">
        <f>'[01_Entry.xlsx]Book'!L446</f>
        <v/>
      </c>
      <c r="H446" s="3">
        <f>'[01_Entry.xlsx]Book'!M446</f>
        <v/>
      </c>
      <c r="I446" s="3">
        <f>'[01_Entry.xlsx]Book'!K446</f>
        <v/>
      </c>
      <c r="J446" s="3">
        <f>'[01_Entry.xlsx]Book'!P446</f>
        <v/>
      </c>
      <c r="K446" s="3">
        <f>'[01_Entry.xlsx]Book'!F446</f>
        <v/>
      </c>
      <c r="L446" s="3">
        <f>'[01_Entry.xlsx]Book'!G446</f>
        <v/>
      </c>
      <c r="M446" s="3">
        <f>'[01_Entry.xlsx]Book'!I446</f>
        <v/>
      </c>
      <c r="N446" s="2">
        <f>IF($A446="","",MID($A446,6,2))</f>
        <v>0</v>
      </c>
      <c r="O446" s="2">
        <f>IF(OR($C446="",$C446&lt;&gt;'Inv'!$D$12),"",N(O$445)+1)</f>
        <v>0</v>
      </c>
    </row>
    <row r="447" spans="1:15">
      <c r="A447" s="2">
        <f>'[01_Entry.xlsx]Book'!A447</f>
        <v/>
      </c>
      <c r="B447" s="2">
        <f>'[01_Entry.xlsx]Book'!B447</f>
        <v/>
      </c>
      <c r="C447" s="2">
        <f>'[01_Entry.xlsx]Book'!D447</f>
        <v/>
      </c>
      <c r="D447" s="2">
        <f>'[01_Entry.xlsx]Book'!E447</f>
        <v/>
      </c>
      <c r="E447" s="2">
        <f>'[01_Entry.xlsx]Book'!O447</f>
        <v/>
      </c>
      <c r="F447" s="2">
        <f>'[01_Entry.xlsx]Book'!N447</f>
        <v/>
      </c>
      <c r="G447" s="3">
        <f>'[01_Entry.xlsx]Book'!L447</f>
        <v/>
      </c>
      <c r="H447" s="3">
        <f>'[01_Entry.xlsx]Book'!M447</f>
        <v/>
      </c>
      <c r="I447" s="3">
        <f>'[01_Entry.xlsx]Book'!K447</f>
        <v/>
      </c>
      <c r="J447" s="3">
        <f>'[01_Entry.xlsx]Book'!P447</f>
        <v/>
      </c>
      <c r="K447" s="3">
        <f>'[01_Entry.xlsx]Book'!F447</f>
        <v/>
      </c>
      <c r="L447" s="3">
        <f>'[01_Entry.xlsx]Book'!G447</f>
        <v/>
      </c>
      <c r="M447" s="3">
        <f>'[01_Entry.xlsx]Book'!I447</f>
        <v/>
      </c>
      <c r="N447" s="2">
        <f>IF($A447="","",MID($A447,6,2))</f>
        <v>0</v>
      </c>
      <c r="O447" s="2">
        <f>IF(OR($C447="",$C447&lt;&gt;'Inv'!$D$12),"",N(O$446)+1)</f>
        <v>0</v>
      </c>
    </row>
    <row r="448" spans="1:15">
      <c r="A448" s="2">
        <f>'[01_Entry.xlsx]Book'!A448</f>
        <v/>
      </c>
      <c r="B448" s="2">
        <f>'[01_Entry.xlsx]Book'!B448</f>
        <v/>
      </c>
      <c r="C448" s="2">
        <f>'[01_Entry.xlsx]Book'!D448</f>
        <v/>
      </c>
      <c r="D448" s="2">
        <f>'[01_Entry.xlsx]Book'!E448</f>
        <v/>
      </c>
      <c r="E448" s="2">
        <f>'[01_Entry.xlsx]Book'!O448</f>
        <v/>
      </c>
      <c r="F448" s="2">
        <f>'[01_Entry.xlsx]Book'!N448</f>
        <v/>
      </c>
      <c r="G448" s="3">
        <f>'[01_Entry.xlsx]Book'!L448</f>
        <v/>
      </c>
      <c r="H448" s="3">
        <f>'[01_Entry.xlsx]Book'!M448</f>
        <v/>
      </c>
      <c r="I448" s="3">
        <f>'[01_Entry.xlsx]Book'!K448</f>
        <v/>
      </c>
      <c r="J448" s="3">
        <f>'[01_Entry.xlsx]Book'!P448</f>
        <v/>
      </c>
      <c r="K448" s="3">
        <f>'[01_Entry.xlsx]Book'!F448</f>
        <v/>
      </c>
      <c r="L448" s="3">
        <f>'[01_Entry.xlsx]Book'!G448</f>
        <v/>
      </c>
      <c r="M448" s="3">
        <f>'[01_Entry.xlsx]Book'!I448</f>
        <v/>
      </c>
      <c r="N448" s="2">
        <f>IF($A448="","",MID($A448,6,2))</f>
        <v>0</v>
      </c>
      <c r="O448" s="2">
        <f>IF(OR($C448="",$C448&lt;&gt;'Inv'!$D$12),"",N(O$447)+1)</f>
        <v>0</v>
      </c>
    </row>
    <row r="449" spans="1:15">
      <c r="A449" s="2">
        <f>'[01_Entry.xlsx]Book'!A449</f>
        <v/>
      </c>
      <c r="B449" s="2">
        <f>'[01_Entry.xlsx]Book'!B449</f>
        <v/>
      </c>
      <c r="C449" s="2">
        <f>'[01_Entry.xlsx]Book'!D449</f>
        <v/>
      </c>
      <c r="D449" s="2">
        <f>'[01_Entry.xlsx]Book'!E449</f>
        <v/>
      </c>
      <c r="E449" s="2">
        <f>'[01_Entry.xlsx]Book'!O449</f>
        <v/>
      </c>
      <c r="F449" s="2">
        <f>'[01_Entry.xlsx]Book'!N449</f>
        <v/>
      </c>
      <c r="G449" s="3">
        <f>'[01_Entry.xlsx]Book'!L449</f>
        <v/>
      </c>
      <c r="H449" s="3">
        <f>'[01_Entry.xlsx]Book'!M449</f>
        <v/>
      </c>
      <c r="I449" s="3">
        <f>'[01_Entry.xlsx]Book'!K449</f>
        <v/>
      </c>
      <c r="J449" s="3">
        <f>'[01_Entry.xlsx]Book'!P449</f>
        <v/>
      </c>
      <c r="K449" s="3">
        <f>'[01_Entry.xlsx]Book'!F449</f>
        <v/>
      </c>
      <c r="L449" s="3">
        <f>'[01_Entry.xlsx]Book'!G449</f>
        <v/>
      </c>
      <c r="M449" s="3">
        <f>'[01_Entry.xlsx]Book'!I449</f>
        <v/>
      </c>
      <c r="N449" s="2">
        <f>IF($A449="","",MID($A449,6,2))</f>
        <v>0</v>
      </c>
      <c r="O449" s="2">
        <f>IF(OR($C449="",$C449&lt;&gt;'Inv'!$D$12),"",N(O$448)+1)</f>
        <v>0</v>
      </c>
    </row>
    <row r="450" spans="1:15">
      <c r="A450" s="2">
        <f>'[01_Entry.xlsx]Book'!A450</f>
        <v/>
      </c>
      <c r="B450" s="2">
        <f>'[01_Entry.xlsx]Book'!B450</f>
        <v/>
      </c>
      <c r="C450" s="2">
        <f>'[01_Entry.xlsx]Book'!D450</f>
        <v/>
      </c>
      <c r="D450" s="2">
        <f>'[01_Entry.xlsx]Book'!E450</f>
        <v/>
      </c>
      <c r="E450" s="2">
        <f>'[01_Entry.xlsx]Book'!O450</f>
        <v/>
      </c>
      <c r="F450" s="2">
        <f>'[01_Entry.xlsx]Book'!N450</f>
        <v/>
      </c>
      <c r="G450" s="3">
        <f>'[01_Entry.xlsx]Book'!L450</f>
        <v/>
      </c>
      <c r="H450" s="3">
        <f>'[01_Entry.xlsx]Book'!M450</f>
        <v/>
      </c>
      <c r="I450" s="3">
        <f>'[01_Entry.xlsx]Book'!K450</f>
        <v/>
      </c>
      <c r="J450" s="3">
        <f>'[01_Entry.xlsx]Book'!P450</f>
        <v/>
      </c>
      <c r="K450" s="3">
        <f>'[01_Entry.xlsx]Book'!F450</f>
        <v/>
      </c>
      <c r="L450" s="3">
        <f>'[01_Entry.xlsx]Book'!G450</f>
        <v/>
      </c>
      <c r="M450" s="3">
        <f>'[01_Entry.xlsx]Book'!I450</f>
        <v/>
      </c>
      <c r="N450" s="2">
        <f>IF($A450="","",MID($A450,6,2))</f>
        <v>0</v>
      </c>
      <c r="O450" s="2">
        <f>IF(OR($C450="",$C450&lt;&gt;'Inv'!$D$12),"",N(O$449)+1)</f>
        <v>0</v>
      </c>
    </row>
    <row r="451" spans="1:15">
      <c r="A451" s="2">
        <f>'[01_Entry.xlsx]Book'!A451</f>
        <v/>
      </c>
      <c r="B451" s="2">
        <f>'[01_Entry.xlsx]Book'!B451</f>
        <v/>
      </c>
      <c r="C451" s="2">
        <f>'[01_Entry.xlsx]Book'!D451</f>
        <v/>
      </c>
      <c r="D451" s="2">
        <f>'[01_Entry.xlsx]Book'!E451</f>
        <v/>
      </c>
      <c r="E451" s="2">
        <f>'[01_Entry.xlsx]Book'!O451</f>
        <v/>
      </c>
      <c r="F451" s="2">
        <f>'[01_Entry.xlsx]Book'!N451</f>
        <v/>
      </c>
      <c r="G451" s="3">
        <f>'[01_Entry.xlsx]Book'!L451</f>
        <v/>
      </c>
      <c r="H451" s="3">
        <f>'[01_Entry.xlsx]Book'!M451</f>
        <v/>
      </c>
      <c r="I451" s="3">
        <f>'[01_Entry.xlsx]Book'!K451</f>
        <v/>
      </c>
      <c r="J451" s="3">
        <f>'[01_Entry.xlsx]Book'!P451</f>
        <v/>
      </c>
      <c r="K451" s="3">
        <f>'[01_Entry.xlsx]Book'!F451</f>
        <v/>
      </c>
      <c r="L451" s="3">
        <f>'[01_Entry.xlsx]Book'!G451</f>
        <v/>
      </c>
      <c r="M451" s="3">
        <f>'[01_Entry.xlsx]Book'!I451</f>
        <v/>
      </c>
      <c r="N451" s="2">
        <f>IF($A451="","",MID($A451,6,2))</f>
        <v>0</v>
      </c>
      <c r="O451" s="2">
        <f>IF(OR($C451="",$C451&lt;&gt;'Inv'!$D$12),"",N(O$450)+1)</f>
        <v>0</v>
      </c>
    </row>
    <row r="452" spans="1:15">
      <c r="A452" s="2">
        <f>'[01_Entry.xlsx]Book'!A452</f>
        <v/>
      </c>
      <c r="B452" s="2">
        <f>'[01_Entry.xlsx]Book'!B452</f>
        <v/>
      </c>
      <c r="C452" s="2">
        <f>'[01_Entry.xlsx]Book'!D452</f>
        <v/>
      </c>
      <c r="D452" s="2">
        <f>'[01_Entry.xlsx]Book'!E452</f>
        <v/>
      </c>
      <c r="E452" s="2">
        <f>'[01_Entry.xlsx]Book'!O452</f>
        <v/>
      </c>
      <c r="F452" s="2">
        <f>'[01_Entry.xlsx]Book'!N452</f>
        <v/>
      </c>
      <c r="G452" s="3">
        <f>'[01_Entry.xlsx]Book'!L452</f>
        <v/>
      </c>
      <c r="H452" s="3">
        <f>'[01_Entry.xlsx]Book'!M452</f>
        <v/>
      </c>
      <c r="I452" s="3">
        <f>'[01_Entry.xlsx]Book'!K452</f>
        <v/>
      </c>
      <c r="J452" s="3">
        <f>'[01_Entry.xlsx]Book'!P452</f>
        <v/>
      </c>
      <c r="K452" s="3">
        <f>'[01_Entry.xlsx]Book'!F452</f>
        <v/>
      </c>
      <c r="L452" s="3">
        <f>'[01_Entry.xlsx]Book'!G452</f>
        <v/>
      </c>
      <c r="M452" s="3">
        <f>'[01_Entry.xlsx]Book'!I452</f>
        <v/>
      </c>
      <c r="N452" s="2">
        <f>IF($A452="","",MID($A452,6,2))</f>
        <v>0</v>
      </c>
      <c r="O452" s="2">
        <f>IF(OR($C452="",$C452&lt;&gt;'Inv'!$D$12),"",N(O$451)+1)</f>
        <v>0</v>
      </c>
    </row>
    <row r="453" spans="1:15">
      <c r="A453" s="2">
        <f>'[01_Entry.xlsx]Book'!A453</f>
        <v/>
      </c>
      <c r="B453" s="2">
        <f>'[01_Entry.xlsx]Book'!B453</f>
        <v/>
      </c>
      <c r="C453" s="2">
        <f>'[01_Entry.xlsx]Book'!D453</f>
        <v/>
      </c>
      <c r="D453" s="2">
        <f>'[01_Entry.xlsx]Book'!E453</f>
        <v/>
      </c>
      <c r="E453" s="2">
        <f>'[01_Entry.xlsx]Book'!O453</f>
        <v/>
      </c>
      <c r="F453" s="2">
        <f>'[01_Entry.xlsx]Book'!N453</f>
        <v/>
      </c>
      <c r="G453" s="3">
        <f>'[01_Entry.xlsx]Book'!L453</f>
        <v/>
      </c>
      <c r="H453" s="3">
        <f>'[01_Entry.xlsx]Book'!M453</f>
        <v/>
      </c>
      <c r="I453" s="3">
        <f>'[01_Entry.xlsx]Book'!K453</f>
        <v/>
      </c>
      <c r="J453" s="3">
        <f>'[01_Entry.xlsx]Book'!P453</f>
        <v/>
      </c>
      <c r="K453" s="3">
        <f>'[01_Entry.xlsx]Book'!F453</f>
        <v/>
      </c>
      <c r="L453" s="3">
        <f>'[01_Entry.xlsx]Book'!G453</f>
        <v/>
      </c>
      <c r="M453" s="3">
        <f>'[01_Entry.xlsx]Book'!I453</f>
        <v/>
      </c>
      <c r="N453" s="2">
        <f>IF($A453="","",MID($A453,6,2))</f>
        <v>0</v>
      </c>
      <c r="O453" s="2">
        <f>IF(OR($C453="",$C453&lt;&gt;'Inv'!$D$12),"",N(O$452)+1)</f>
        <v>0</v>
      </c>
    </row>
    <row r="454" spans="1:15">
      <c r="A454" s="2">
        <f>'[01_Entry.xlsx]Book'!A454</f>
        <v/>
      </c>
      <c r="B454" s="2">
        <f>'[01_Entry.xlsx]Book'!B454</f>
        <v/>
      </c>
      <c r="C454" s="2">
        <f>'[01_Entry.xlsx]Book'!D454</f>
        <v/>
      </c>
      <c r="D454" s="2">
        <f>'[01_Entry.xlsx]Book'!E454</f>
        <v/>
      </c>
      <c r="E454" s="2">
        <f>'[01_Entry.xlsx]Book'!O454</f>
        <v/>
      </c>
      <c r="F454" s="2">
        <f>'[01_Entry.xlsx]Book'!N454</f>
        <v/>
      </c>
      <c r="G454" s="3">
        <f>'[01_Entry.xlsx]Book'!L454</f>
        <v/>
      </c>
      <c r="H454" s="3">
        <f>'[01_Entry.xlsx]Book'!M454</f>
        <v/>
      </c>
      <c r="I454" s="3">
        <f>'[01_Entry.xlsx]Book'!K454</f>
        <v/>
      </c>
      <c r="J454" s="3">
        <f>'[01_Entry.xlsx]Book'!P454</f>
        <v/>
      </c>
      <c r="K454" s="3">
        <f>'[01_Entry.xlsx]Book'!F454</f>
        <v/>
      </c>
      <c r="L454" s="3">
        <f>'[01_Entry.xlsx]Book'!G454</f>
        <v/>
      </c>
      <c r="M454" s="3">
        <f>'[01_Entry.xlsx]Book'!I454</f>
        <v/>
      </c>
      <c r="N454" s="2">
        <f>IF($A454="","",MID($A454,6,2))</f>
        <v>0</v>
      </c>
      <c r="O454" s="2">
        <f>IF(OR($C454="",$C454&lt;&gt;'Inv'!$D$12),"",N(O$453)+1)</f>
        <v>0</v>
      </c>
    </row>
    <row r="455" spans="1:15">
      <c r="A455" s="2">
        <f>'[01_Entry.xlsx]Book'!A455</f>
        <v/>
      </c>
      <c r="B455" s="2">
        <f>'[01_Entry.xlsx]Book'!B455</f>
        <v/>
      </c>
      <c r="C455" s="2">
        <f>'[01_Entry.xlsx]Book'!D455</f>
        <v/>
      </c>
      <c r="D455" s="2">
        <f>'[01_Entry.xlsx]Book'!E455</f>
        <v/>
      </c>
      <c r="E455" s="2">
        <f>'[01_Entry.xlsx]Book'!O455</f>
        <v/>
      </c>
      <c r="F455" s="2">
        <f>'[01_Entry.xlsx]Book'!N455</f>
        <v/>
      </c>
      <c r="G455" s="3">
        <f>'[01_Entry.xlsx]Book'!L455</f>
        <v/>
      </c>
      <c r="H455" s="3">
        <f>'[01_Entry.xlsx]Book'!M455</f>
        <v/>
      </c>
      <c r="I455" s="3">
        <f>'[01_Entry.xlsx]Book'!K455</f>
        <v/>
      </c>
      <c r="J455" s="3">
        <f>'[01_Entry.xlsx]Book'!P455</f>
        <v/>
      </c>
      <c r="K455" s="3">
        <f>'[01_Entry.xlsx]Book'!F455</f>
        <v/>
      </c>
      <c r="L455" s="3">
        <f>'[01_Entry.xlsx]Book'!G455</f>
        <v/>
      </c>
      <c r="M455" s="3">
        <f>'[01_Entry.xlsx]Book'!I455</f>
        <v/>
      </c>
      <c r="N455" s="2">
        <f>IF($A455="","",MID($A455,6,2))</f>
        <v>0</v>
      </c>
      <c r="O455" s="2">
        <f>IF(OR($C455="",$C455&lt;&gt;'Inv'!$D$12),"",N(O$454)+1)</f>
        <v>0</v>
      </c>
    </row>
    <row r="456" spans="1:15">
      <c r="A456" s="2">
        <f>'[01_Entry.xlsx]Book'!A456</f>
        <v/>
      </c>
      <c r="B456" s="2">
        <f>'[01_Entry.xlsx]Book'!B456</f>
        <v/>
      </c>
      <c r="C456" s="2">
        <f>'[01_Entry.xlsx]Book'!D456</f>
        <v/>
      </c>
      <c r="D456" s="2">
        <f>'[01_Entry.xlsx]Book'!E456</f>
        <v/>
      </c>
      <c r="E456" s="2">
        <f>'[01_Entry.xlsx]Book'!O456</f>
        <v/>
      </c>
      <c r="F456" s="2">
        <f>'[01_Entry.xlsx]Book'!N456</f>
        <v/>
      </c>
      <c r="G456" s="3">
        <f>'[01_Entry.xlsx]Book'!L456</f>
        <v/>
      </c>
      <c r="H456" s="3">
        <f>'[01_Entry.xlsx]Book'!M456</f>
        <v/>
      </c>
      <c r="I456" s="3">
        <f>'[01_Entry.xlsx]Book'!K456</f>
        <v/>
      </c>
      <c r="J456" s="3">
        <f>'[01_Entry.xlsx]Book'!P456</f>
        <v/>
      </c>
      <c r="K456" s="3">
        <f>'[01_Entry.xlsx]Book'!F456</f>
        <v/>
      </c>
      <c r="L456" s="3">
        <f>'[01_Entry.xlsx]Book'!G456</f>
        <v/>
      </c>
      <c r="M456" s="3">
        <f>'[01_Entry.xlsx]Book'!I456</f>
        <v/>
      </c>
      <c r="N456" s="2">
        <f>IF($A456="","",MID($A456,6,2))</f>
        <v>0</v>
      </c>
      <c r="O456" s="2">
        <f>IF(OR($C456="",$C456&lt;&gt;'Inv'!$D$12),"",N(O$455)+1)</f>
        <v>0</v>
      </c>
    </row>
    <row r="457" spans="1:15">
      <c r="A457" s="2">
        <f>'[01_Entry.xlsx]Book'!A457</f>
        <v/>
      </c>
      <c r="B457" s="2">
        <f>'[01_Entry.xlsx]Book'!B457</f>
        <v/>
      </c>
      <c r="C457" s="2">
        <f>'[01_Entry.xlsx]Book'!D457</f>
        <v/>
      </c>
      <c r="D457" s="2">
        <f>'[01_Entry.xlsx]Book'!E457</f>
        <v/>
      </c>
      <c r="E457" s="2">
        <f>'[01_Entry.xlsx]Book'!O457</f>
        <v/>
      </c>
      <c r="F457" s="2">
        <f>'[01_Entry.xlsx]Book'!N457</f>
        <v/>
      </c>
      <c r="G457" s="3">
        <f>'[01_Entry.xlsx]Book'!L457</f>
        <v/>
      </c>
      <c r="H457" s="3">
        <f>'[01_Entry.xlsx]Book'!M457</f>
        <v/>
      </c>
      <c r="I457" s="3">
        <f>'[01_Entry.xlsx]Book'!K457</f>
        <v/>
      </c>
      <c r="J457" s="3">
        <f>'[01_Entry.xlsx]Book'!P457</f>
        <v/>
      </c>
      <c r="K457" s="3">
        <f>'[01_Entry.xlsx]Book'!F457</f>
        <v/>
      </c>
      <c r="L457" s="3">
        <f>'[01_Entry.xlsx]Book'!G457</f>
        <v/>
      </c>
      <c r="M457" s="3">
        <f>'[01_Entry.xlsx]Book'!I457</f>
        <v/>
      </c>
      <c r="N457" s="2">
        <f>IF($A457="","",MID($A457,6,2))</f>
        <v>0</v>
      </c>
      <c r="O457" s="2">
        <f>IF(OR($C457="",$C457&lt;&gt;'Inv'!$D$12),"",N(O$456)+1)</f>
        <v>0</v>
      </c>
    </row>
    <row r="458" spans="1:15">
      <c r="A458" s="2">
        <f>'[01_Entry.xlsx]Book'!A458</f>
        <v/>
      </c>
      <c r="B458" s="2">
        <f>'[01_Entry.xlsx]Book'!B458</f>
        <v/>
      </c>
      <c r="C458" s="2">
        <f>'[01_Entry.xlsx]Book'!D458</f>
        <v/>
      </c>
      <c r="D458" s="2">
        <f>'[01_Entry.xlsx]Book'!E458</f>
        <v/>
      </c>
      <c r="E458" s="2">
        <f>'[01_Entry.xlsx]Book'!O458</f>
        <v/>
      </c>
      <c r="F458" s="2">
        <f>'[01_Entry.xlsx]Book'!N458</f>
        <v/>
      </c>
      <c r="G458" s="3">
        <f>'[01_Entry.xlsx]Book'!L458</f>
        <v/>
      </c>
      <c r="H458" s="3">
        <f>'[01_Entry.xlsx]Book'!M458</f>
        <v/>
      </c>
      <c r="I458" s="3">
        <f>'[01_Entry.xlsx]Book'!K458</f>
        <v/>
      </c>
      <c r="J458" s="3">
        <f>'[01_Entry.xlsx]Book'!P458</f>
        <v/>
      </c>
      <c r="K458" s="3">
        <f>'[01_Entry.xlsx]Book'!F458</f>
        <v/>
      </c>
      <c r="L458" s="3">
        <f>'[01_Entry.xlsx]Book'!G458</f>
        <v/>
      </c>
      <c r="M458" s="3">
        <f>'[01_Entry.xlsx]Book'!I458</f>
        <v/>
      </c>
      <c r="N458" s="2">
        <f>IF($A458="","",MID($A458,6,2))</f>
        <v>0</v>
      </c>
      <c r="O458" s="2">
        <f>IF(OR($C458="",$C458&lt;&gt;'Inv'!$D$12),"",N(O$457)+1)</f>
        <v>0</v>
      </c>
    </row>
    <row r="459" spans="1:15">
      <c r="A459" s="2">
        <f>'[01_Entry.xlsx]Book'!A459</f>
        <v/>
      </c>
      <c r="B459" s="2">
        <f>'[01_Entry.xlsx]Book'!B459</f>
        <v/>
      </c>
      <c r="C459" s="2">
        <f>'[01_Entry.xlsx]Book'!D459</f>
        <v/>
      </c>
      <c r="D459" s="2">
        <f>'[01_Entry.xlsx]Book'!E459</f>
        <v/>
      </c>
      <c r="E459" s="2">
        <f>'[01_Entry.xlsx]Book'!O459</f>
        <v/>
      </c>
      <c r="F459" s="2">
        <f>'[01_Entry.xlsx]Book'!N459</f>
        <v/>
      </c>
      <c r="G459" s="3">
        <f>'[01_Entry.xlsx]Book'!L459</f>
        <v/>
      </c>
      <c r="H459" s="3">
        <f>'[01_Entry.xlsx]Book'!M459</f>
        <v/>
      </c>
      <c r="I459" s="3">
        <f>'[01_Entry.xlsx]Book'!K459</f>
        <v/>
      </c>
      <c r="J459" s="3">
        <f>'[01_Entry.xlsx]Book'!P459</f>
        <v/>
      </c>
      <c r="K459" s="3">
        <f>'[01_Entry.xlsx]Book'!F459</f>
        <v/>
      </c>
      <c r="L459" s="3">
        <f>'[01_Entry.xlsx]Book'!G459</f>
        <v/>
      </c>
      <c r="M459" s="3">
        <f>'[01_Entry.xlsx]Book'!I459</f>
        <v/>
      </c>
      <c r="N459" s="2">
        <f>IF($A459="","",MID($A459,6,2))</f>
        <v>0</v>
      </c>
      <c r="O459" s="2">
        <f>IF(OR($C459="",$C459&lt;&gt;'Inv'!$D$12),"",N(O$458)+1)</f>
        <v>0</v>
      </c>
    </row>
    <row r="460" spans="1:15">
      <c r="A460" s="2">
        <f>'[01_Entry.xlsx]Book'!A460</f>
        <v/>
      </c>
      <c r="B460" s="2">
        <f>'[01_Entry.xlsx]Book'!B460</f>
        <v/>
      </c>
      <c r="C460" s="2">
        <f>'[01_Entry.xlsx]Book'!D460</f>
        <v/>
      </c>
      <c r="D460" s="2">
        <f>'[01_Entry.xlsx]Book'!E460</f>
        <v/>
      </c>
      <c r="E460" s="2">
        <f>'[01_Entry.xlsx]Book'!O460</f>
        <v/>
      </c>
      <c r="F460" s="2">
        <f>'[01_Entry.xlsx]Book'!N460</f>
        <v/>
      </c>
      <c r="G460" s="3">
        <f>'[01_Entry.xlsx]Book'!L460</f>
        <v/>
      </c>
      <c r="H460" s="3">
        <f>'[01_Entry.xlsx]Book'!M460</f>
        <v/>
      </c>
      <c r="I460" s="3">
        <f>'[01_Entry.xlsx]Book'!K460</f>
        <v/>
      </c>
      <c r="J460" s="3">
        <f>'[01_Entry.xlsx]Book'!P460</f>
        <v/>
      </c>
      <c r="K460" s="3">
        <f>'[01_Entry.xlsx]Book'!F460</f>
        <v/>
      </c>
      <c r="L460" s="3">
        <f>'[01_Entry.xlsx]Book'!G460</f>
        <v/>
      </c>
      <c r="M460" s="3">
        <f>'[01_Entry.xlsx]Book'!I460</f>
        <v/>
      </c>
      <c r="N460" s="2">
        <f>IF($A460="","",MID($A460,6,2))</f>
        <v>0</v>
      </c>
      <c r="O460" s="2">
        <f>IF(OR($C460="",$C460&lt;&gt;'Inv'!$D$12),"",N(O$459)+1)</f>
        <v>0</v>
      </c>
    </row>
    <row r="461" spans="1:15">
      <c r="A461" s="2">
        <f>'[01_Entry.xlsx]Book'!A461</f>
        <v/>
      </c>
      <c r="B461" s="2">
        <f>'[01_Entry.xlsx]Book'!B461</f>
        <v/>
      </c>
      <c r="C461" s="2">
        <f>'[01_Entry.xlsx]Book'!D461</f>
        <v/>
      </c>
      <c r="D461" s="2">
        <f>'[01_Entry.xlsx]Book'!E461</f>
        <v/>
      </c>
      <c r="E461" s="2">
        <f>'[01_Entry.xlsx]Book'!O461</f>
        <v/>
      </c>
      <c r="F461" s="2">
        <f>'[01_Entry.xlsx]Book'!N461</f>
        <v/>
      </c>
      <c r="G461" s="3">
        <f>'[01_Entry.xlsx]Book'!L461</f>
        <v/>
      </c>
      <c r="H461" s="3">
        <f>'[01_Entry.xlsx]Book'!M461</f>
        <v/>
      </c>
      <c r="I461" s="3">
        <f>'[01_Entry.xlsx]Book'!K461</f>
        <v/>
      </c>
      <c r="J461" s="3">
        <f>'[01_Entry.xlsx]Book'!P461</f>
        <v/>
      </c>
      <c r="K461" s="3">
        <f>'[01_Entry.xlsx]Book'!F461</f>
        <v/>
      </c>
      <c r="L461" s="3">
        <f>'[01_Entry.xlsx]Book'!G461</f>
        <v/>
      </c>
      <c r="M461" s="3">
        <f>'[01_Entry.xlsx]Book'!I461</f>
        <v/>
      </c>
      <c r="N461" s="2">
        <f>IF($A461="","",MID($A461,6,2))</f>
        <v>0</v>
      </c>
      <c r="O461" s="2">
        <f>IF(OR($C461="",$C461&lt;&gt;'Inv'!$D$12),"",N(O$460)+1)</f>
        <v>0</v>
      </c>
    </row>
    <row r="462" spans="1:15">
      <c r="A462" s="2">
        <f>'[01_Entry.xlsx]Book'!A462</f>
        <v/>
      </c>
      <c r="B462" s="2">
        <f>'[01_Entry.xlsx]Book'!B462</f>
        <v/>
      </c>
      <c r="C462" s="2">
        <f>'[01_Entry.xlsx]Book'!D462</f>
        <v/>
      </c>
      <c r="D462" s="2">
        <f>'[01_Entry.xlsx]Book'!E462</f>
        <v/>
      </c>
      <c r="E462" s="2">
        <f>'[01_Entry.xlsx]Book'!O462</f>
        <v/>
      </c>
      <c r="F462" s="2">
        <f>'[01_Entry.xlsx]Book'!N462</f>
        <v/>
      </c>
      <c r="G462" s="3">
        <f>'[01_Entry.xlsx]Book'!L462</f>
        <v/>
      </c>
      <c r="H462" s="3">
        <f>'[01_Entry.xlsx]Book'!M462</f>
        <v/>
      </c>
      <c r="I462" s="3">
        <f>'[01_Entry.xlsx]Book'!K462</f>
        <v/>
      </c>
      <c r="J462" s="3">
        <f>'[01_Entry.xlsx]Book'!P462</f>
        <v/>
      </c>
      <c r="K462" s="3">
        <f>'[01_Entry.xlsx]Book'!F462</f>
        <v/>
      </c>
      <c r="L462" s="3">
        <f>'[01_Entry.xlsx]Book'!G462</f>
        <v/>
      </c>
      <c r="M462" s="3">
        <f>'[01_Entry.xlsx]Book'!I462</f>
        <v/>
      </c>
      <c r="N462" s="2">
        <f>IF($A462="","",MID($A462,6,2))</f>
        <v>0</v>
      </c>
      <c r="O462" s="2">
        <f>IF(OR($C462="",$C462&lt;&gt;'Inv'!$D$12),"",N(O$461)+1)</f>
        <v>0</v>
      </c>
    </row>
    <row r="463" spans="1:15">
      <c r="A463" s="2">
        <f>'[01_Entry.xlsx]Book'!A463</f>
        <v/>
      </c>
      <c r="B463" s="2">
        <f>'[01_Entry.xlsx]Book'!B463</f>
        <v/>
      </c>
      <c r="C463" s="2">
        <f>'[01_Entry.xlsx]Book'!D463</f>
        <v/>
      </c>
      <c r="D463" s="2">
        <f>'[01_Entry.xlsx]Book'!E463</f>
        <v/>
      </c>
      <c r="E463" s="2">
        <f>'[01_Entry.xlsx]Book'!O463</f>
        <v/>
      </c>
      <c r="F463" s="2">
        <f>'[01_Entry.xlsx]Book'!N463</f>
        <v/>
      </c>
      <c r="G463" s="3">
        <f>'[01_Entry.xlsx]Book'!L463</f>
        <v/>
      </c>
      <c r="H463" s="3">
        <f>'[01_Entry.xlsx]Book'!M463</f>
        <v/>
      </c>
      <c r="I463" s="3">
        <f>'[01_Entry.xlsx]Book'!K463</f>
        <v/>
      </c>
      <c r="J463" s="3">
        <f>'[01_Entry.xlsx]Book'!P463</f>
        <v/>
      </c>
      <c r="K463" s="3">
        <f>'[01_Entry.xlsx]Book'!F463</f>
        <v/>
      </c>
      <c r="L463" s="3">
        <f>'[01_Entry.xlsx]Book'!G463</f>
        <v/>
      </c>
      <c r="M463" s="3">
        <f>'[01_Entry.xlsx]Book'!I463</f>
        <v/>
      </c>
      <c r="N463" s="2">
        <f>IF($A463="","",MID($A463,6,2))</f>
        <v>0</v>
      </c>
      <c r="O463" s="2">
        <f>IF(OR($C463="",$C463&lt;&gt;'Inv'!$D$12),"",N(O$462)+1)</f>
        <v>0</v>
      </c>
    </row>
    <row r="464" spans="1:15">
      <c r="A464" s="2">
        <f>'[01_Entry.xlsx]Book'!A464</f>
        <v/>
      </c>
      <c r="B464" s="2">
        <f>'[01_Entry.xlsx]Book'!B464</f>
        <v/>
      </c>
      <c r="C464" s="2">
        <f>'[01_Entry.xlsx]Book'!D464</f>
        <v/>
      </c>
      <c r="D464" s="2">
        <f>'[01_Entry.xlsx]Book'!E464</f>
        <v/>
      </c>
      <c r="E464" s="2">
        <f>'[01_Entry.xlsx]Book'!O464</f>
        <v/>
      </c>
      <c r="F464" s="2">
        <f>'[01_Entry.xlsx]Book'!N464</f>
        <v/>
      </c>
      <c r="G464" s="3">
        <f>'[01_Entry.xlsx]Book'!L464</f>
        <v/>
      </c>
      <c r="H464" s="3">
        <f>'[01_Entry.xlsx]Book'!M464</f>
        <v/>
      </c>
      <c r="I464" s="3">
        <f>'[01_Entry.xlsx]Book'!K464</f>
        <v/>
      </c>
      <c r="J464" s="3">
        <f>'[01_Entry.xlsx]Book'!P464</f>
        <v/>
      </c>
      <c r="K464" s="3">
        <f>'[01_Entry.xlsx]Book'!F464</f>
        <v/>
      </c>
      <c r="L464" s="3">
        <f>'[01_Entry.xlsx]Book'!G464</f>
        <v/>
      </c>
      <c r="M464" s="3">
        <f>'[01_Entry.xlsx]Book'!I464</f>
        <v/>
      </c>
      <c r="N464" s="2">
        <f>IF($A464="","",MID($A464,6,2))</f>
        <v>0</v>
      </c>
      <c r="O464" s="2">
        <f>IF(OR($C464="",$C464&lt;&gt;'Inv'!$D$12),"",N(O$463)+1)</f>
        <v>0</v>
      </c>
    </row>
    <row r="465" spans="1:15">
      <c r="A465" s="2">
        <f>'[01_Entry.xlsx]Book'!A465</f>
        <v/>
      </c>
      <c r="B465" s="2">
        <f>'[01_Entry.xlsx]Book'!B465</f>
        <v/>
      </c>
      <c r="C465" s="2">
        <f>'[01_Entry.xlsx]Book'!D465</f>
        <v/>
      </c>
      <c r="D465" s="2">
        <f>'[01_Entry.xlsx]Book'!E465</f>
        <v/>
      </c>
      <c r="E465" s="2">
        <f>'[01_Entry.xlsx]Book'!O465</f>
        <v/>
      </c>
      <c r="F465" s="2">
        <f>'[01_Entry.xlsx]Book'!N465</f>
        <v/>
      </c>
      <c r="G465" s="3">
        <f>'[01_Entry.xlsx]Book'!L465</f>
        <v/>
      </c>
      <c r="H465" s="3">
        <f>'[01_Entry.xlsx]Book'!M465</f>
        <v/>
      </c>
      <c r="I465" s="3">
        <f>'[01_Entry.xlsx]Book'!K465</f>
        <v/>
      </c>
      <c r="J465" s="3">
        <f>'[01_Entry.xlsx]Book'!P465</f>
        <v/>
      </c>
      <c r="K465" s="3">
        <f>'[01_Entry.xlsx]Book'!F465</f>
        <v/>
      </c>
      <c r="L465" s="3">
        <f>'[01_Entry.xlsx]Book'!G465</f>
        <v/>
      </c>
      <c r="M465" s="3">
        <f>'[01_Entry.xlsx]Book'!I465</f>
        <v/>
      </c>
      <c r="N465" s="2">
        <f>IF($A465="","",MID($A465,6,2))</f>
        <v>0</v>
      </c>
      <c r="O465" s="2">
        <f>IF(OR($C465="",$C465&lt;&gt;'Inv'!$D$12),"",N(O$464)+1)</f>
        <v>0</v>
      </c>
    </row>
    <row r="466" spans="1:15">
      <c r="A466" s="2">
        <f>'[01_Entry.xlsx]Book'!A466</f>
        <v/>
      </c>
      <c r="B466" s="2">
        <f>'[01_Entry.xlsx]Book'!B466</f>
        <v/>
      </c>
      <c r="C466" s="2">
        <f>'[01_Entry.xlsx]Book'!D466</f>
        <v/>
      </c>
      <c r="D466" s="2">
        <f>'[01_Entry.xlsx]Book'!E466</f>
        <v/>
      </c>
      <c r="E466" s="2">
        <f>'[01_Entry.xlsx]Book'!O466</f>
        <v/>
      </c>
      <c r="F466" s="2">
        <f>'[01_Entry.xlsx]Book'!N466</f>
        <v/>
      </c>
      <c r="G466" s="3">
        <f>'[01_Entry.xlsx]Book'!L466</f>
        <v/>
      </c>
      <c r="H466" s="3">
        <f>'[01_Entry.xlsx]Book'!M466</f>
        <v/>
      </c>
      <c r="I466" s="3">
        <f>'[01_Entry.xlsx]Book'!K466</f>
        <v/>
      </c>
      <c r="J466" s="3">
        <f>'[01_Entry.xlsx]Book'!P466</f>
        <v/>
      </c>
      <c r="K466" s="3">
        <f>'[01_Entry.xlsx]Book'!F466</f>
        <v/>
      </c>
      <c r="L466" s="3">
        <f>'[01_Entry.xlsx]Book'!G466</f>
        <v/>
      </c>
      <c r="M466" s="3">
        <f>'[01_Entry.xlsx]Book'!I466</f>
        <v/>
      </c>
      <c r="N466" s="2">
        <f>IF($A466="","",MID($A466,6,2))</f>
        <v>0</v>
      </c>
      <c r="O466" s="2">
        <f>IF(OR($C466="",$C466&lt;&gt;'Inv'!$D$12),"",N(O$465)+1)</f>
        <v>0</v>
      </c>
    </row>
    <row r="467" spans="1:15">
      <c r="A467" s="2">
        <f>'[01_Entry.xlsx]Book'!A467</f>
        <v/>
      </c>
      <c r="B467" s="2">
        <f>'[01_Entry.xlsx]Book'!B467</f>
        <v/>
      </c>
      <c r="C467" s="2">
        <f>'[01_Entry.xlsx]Book'!D467</f>
        <v/>
      </c>
      <c r="D467" s="2">
        <f>'[01_Entry.xlsx]Book'!E467</f>
        <v/>
      </c>
      <c r="E467" s="2">
        <f>'[01_Entry.xlsx]Book'!O467</f>
        <v/>
      </c>
      <c r="F467" s="2">
        <f>'[01_Entry.xlsx]Book'!N467</f>
        <v/>
      </c>
      <c r="G467" s="3">
        <f>'[01_Entry.xlsx]Book'!L467</f>
        <v/>
      </c>
      <c r="H467" s="3">
        <f>'[01_Entry.xlsx]Book'!M467</f>
        <v/>
      </c>
      <c r="I467" s="3">
        <f>'[01_Entry.xlsx]Book'!K467</f>
        <v/>
      </c>
      <c r="J467" s="3">
        <f>'[01_Entry.xlsx]Book'!P467</f>
        <v/>
      </c>
      <c r="K467" s="3">
        <f>'[01_Entry.xlsx]Book'!F467</f>
        <v/>
      </c>
      <c r="L467" s="3">
        <f>'[01_Entry.xlsx]Book'!G467</f>
        <v/>
      </c>
      <c r="M467" s="3">
        <f>'[01_Entry.xlsx]Book'!I467</f>
        <v/>
      </c>
      <c r="N467" s="2">
        <f>IF($A467="","",MID($A467,6,2))</f>
        <v>0</v>
      </c>
      <c r="O467" s="2">
        <f>IF(OR($C467="",$C467&lt;&gt;'Inv'!$D$12),"",N(O$466)+1)</f>
        <v>0</v>
      </c>
    </row>
    <row r="468" spans="1:15">
      <c r="A468" s="2">
        <f>'[01_Entry.xlsx]Book'!A468</f>
        <v/>
      </c>
      <c r="B468" s="2">
        <f>'[01_Entry.xlsx]Book'!B468</f>
        <v/>
      </c>
      <c r="C468" s="2">
        <f>'[01_Entry.xlsx]Book'!D468</f>
        <v/>
      </c>
      <c r="D468" s="2">
        <f>'[01_Entry.xlsx]Book'!E468</f>
        <v/>
      </c>
      <c r="E468" s="2">
        <f>'[01_Entry.xlsx]Book'!O468</f>
        <v/>
      </c>
      <c r="F468" s="2">
        <f>'[01_Entry.xlsx]Book'!N468</f>
        <v/>
      </c>
      <c r="G468" s="3">
        <f>'[01_Entry.xlsx]Book'!L468</f>
        <v/>
      </c>
      <c r="H468" s="3">
        <f>'[01_Entry.xlsx]Book'!M468</f>
        <v/>
      </c>
      <c r="I468" s="3">
        <f>'[01_Entry.xlsx]Book'!K468</f>
        <v/>
      </c>
      <c r="J468" s="3">
        <f>'[01_Entry.xlsx]Book'!P468</f>
        <v/>
      </c>
      <c r="K468" s="3">
        <f>'[01_Entry.xlsx]Book'!F468</f>
        <v/>
      </c>
      <c r="L468" s="3">
        <f>'[01_Entry.xlsx]Book'!G468</f>
        <v/>
      </c>
      <c r="M468" s="3">
        <f>'[01_Entry.xlsx]Book'!I468</f>
        <v/>
      </c>
      <c r="N468" s="2">
        <f>IF($A468="","",MID($A468,6,2))</f>
        <v>0</v>
      </c>
      <c r="O468" s="2">
        <f>IF(OR($C468="",$C468&lt;&gt;'Inv'!$D$12),"",N(O$467)+1)</f>
        <v>0</v>
      </c>
    </row>
    <row r="469" spans="1:15">
      <c r="A469" s="2">
        <f>'[01_Entry.xlsx]Book'!A469</f>
        <v/>
      </c>
      <c r="B469" s="2">
        <f>'[01_Entry.xlsx]Book'!B469</f>
        <v/>
      </c>
      <c r="C469" s="2">
        <f>'[01_Entry.xlsx]Book'!D469</f>
        <v/>
      </c>
      <c r="D469" s="2">
        <f>'[01_Entry.xlsx]Book'!E469</f>
        <v/>
      </c>
      <c r="E469" s="2">
        <f>'[01_Entry.xlsx]Book'!O469</f>
        <v/>
      </c>
      <c r="F469" s="2">
        <f>'[01_Entry.xlsx]Book'!N469</f>
        <v/>
      </c>
      <c r="G469" s="3">
        <f>'[01_Entry.xlsx]Book'!L469</f>
        <v/>
      </c>
      <c r="H469" s="3">
        <f>'[01_Entry.xlsx]Book'!M469</f>
        <v/>
      </c>
      <c r="I469" s="3">
        <f>'[01_Entry.xlsx]Book'!K469</f>
        <v/>
      </c>
      <c r="J469" s="3">
        <f>'[01_Entry.xlsx]Book'!P469</f>
        <v/>
      </c>
      <c r="K469" s="3">
        <f>'[01_Entry.xlsx]Book'!F469</f>
        <v/>
      </c>
      <c r="L469" s="3">
        <f>'[01_Entry.xlsx]Book'!G469</f>
        <v/>
      </c>
      <c r="M469" s="3">
        <f>'[01_Entry.xlsx]Book'!I469</f>
        <v/>
      </c>
      <c r="N469" s="2">
        <f>IF($A469="","",MID($A469,6,2))</f>
        <v>0</v>
      </c>
      <c r="O469" s="2">
        <f>IF(OR($C469="",$C469&lt;&gt;'Inv'!$D$12),"",N(O$468)+1)</f>
        <v>0</v>
      </c>
    </row>
    <row r="470" spans="1:15">
      <c r="A470" s="2">
        <f>'[01_Entry.xlsx]Book'!A470</f>
        <v/>
      </c>
      <c r="B470" s="2">
        <f>'[01_Entry.xlsx]Book'!B470</f>
        <v/>
      </c>
      <c r="C470" s="2">
        <f>'[01_Entry.xlsx]Book'!D470</f>
        <v/>
      </c>
      <c r="D470" s="2">
        <f>'[01_Entry.xlsx]Book'!E470</f>
        <v/>
      </c>
      <c r="E470" s="2">
        <f>'[01_Entry.xlsx]Book'!O470</f>
        <v/>
      </c>
      <c r="F470" s="2">
        <f>'[01_Entry.xlsx]Book'!N470</f>
        <v/>
      </c>
      <c r="G470" s="3">
        <f>'[01_Entry.xlsx]Book'!L470</f>
        <v/>
      </c>
      <c r="H470" s="3">
        <f>'[01_Entry.xlsx]Book'!M470</f>
        <v/>
      </c>
      <c r="I470" s="3">
        <f>'[01_Entry.xlsx]Book'!K470</f>
        <v/>
      </c>
      <c r="J470" s="3">
        <f>'[01_Entry.xlsx]Book'!P470</f>
        <v/>
      </c>
      <c r="K470" s="3">
        <f>'[01_Entry.xlsx]Book'!F470</f>
        <v/>
      </c>
      <c r="L470" s="3">
        <f>'[01_Entry.xlsx]Book'!G470</f>
        <v/>
      </c>
      <c r="M470" s="3">
        <f>'[01_Entry.xlsx]Book'!I470</f>
        <v/>
      </c>
      <c r="N470" s="2">
        <f>IF($A470="","",MID($A470,6,2))</f>
        <v>0</v>
      </c>
      <c r="O470" s="2">
        <f>IF(OR($C470="",$C470&lt;&gt;'Inv'!$D$12),"",N(O$469)+1)</f>
        <v>0</v>
      </c>
    </row>
    <row r="471" spans="1:15">
      <c r="A471" s="2">
        <f>'[01_Entry.xlsx]Book'!A471</f>
        <v/>
      </c>
      <c r="B471" s="2">
        <f>'[01_Entry.xlsx]Book'!B471</f>
        <v/>
      </c>
      <c r="C471" s="2">
        <f>'[01_Entry.xlsx]Book'!D471</f>
        <v/>
      </c>
      <c r="D471" s="2">
        <f>'[01_Entry.xlsx]Book'!E471</f>
        <v/>
      </c>
      <c r="E471" s="2">
        <f>'[01_Entry.xlsx]Book'!O471</f>
        <v/>
      </c>
      <c r="F471" s="2">
        <f>'[01_Entry.xlsx]Book'!N471</f>
        <v/>
      </c>
      <c r="G471" s="3">
        <f>'[01_Entry.xlsx]Book'!L471</f>
        <v/>
      </c>
      <c r="H471" s="3">
        <f>'[01_Entry.xlsx]Book'!M471</f>
        <v/>
      </c>
      <c r="I471" s="3">
        <f>'[01_Entry.xlsx]Book'!K471</f>
        <v/>
      </c>
      <c r="J471" s="3">
        <f>'[01_Entry.xlsx]Book'!P471</f>
        <v/>
      </c>
      <c r="K471" s="3">
        <f>'[01_Entry.xlsx]Book'!F471</f>
        <v/>
      </c>
      <c r="L471" s="3">
        <f>'[01_Entry.xlsx]Book'!G471</f>
        <v/>
      </c>
      <c r="M471" s="3">
        <f>'[01_Entry.xlsx]Book'!I471</f>
        <v/>
      </c>
      <c r="N471" s="2">
        <f>IF($A471="","",MID($A471,6,2))</f>
        <v>0</v>
      </c>
      <c r="O471" s="2">
        <f>IF(OR($C471="",$C471&lt;&gt;'Inv'!$D$12),"",N(O$470)+1)</f>
        <v>0</v>
      </c>
    </row>
    <row r="472" spans="1:15">
      <c r="A472" s="2">
        <f>'[01_Entry.xlsx]Book'!A472</f>
        <v/>
      </c>
      <c r="B472" s="2">
        <f>'[01_Entry.xlsx]Book'!B472</f>
        <v/>
      </c>
      <c r="C472" s="2">
        <f>'[01_Entry.xlsx]Book'!D472</f>
        <v/>
      </c>
      <c r="D472" s="2">
        <f>'[01_Entry.xlsx]Book'!E472</f>
        <v/>
      </c>
      <c r="E472" s="2">
        <f>'[01_Entry.xlsx]Book'!O472</f>
        <v/>
      </c>
      <c r="F472" s="2">
        <f>'[01_Entry.xlsx]Book'!N472</f>
        <v/>
      </c>
      <c r="G472" s="3">
        <f>'[01_Entry.xlsx]Book'!L472</f>
        <v/>
      </c>
      <c r="H472" s="3">
        <f>'[01_Entry.xlsx]Book'!M472</f>
        <v/>
      </c>
      <c r="I472" s="3">
        <f>'[01_Entry.xlsx]Book'!K472</f>
        <v/>
      </c>
      <c r="J472" s="3">
        <f>'[01_Entry.xlsx]Book'!P472</f>
        <v/>
      </c>
      <c r="K472" s="3">
        <f>'[01_Entry.xlsx]Book'!F472</f>
        <v/>
      </c>
      <c r="L472" s="3">
        <f>'[01_Entry.xlsx]Book'!G472</f>
        <v/>
      </c>
      <c r="M472" s="3">
        <f>'[01_Entry.xlsx]Book'!I472</f>
        <v/>
      </c>
      <c r="N472" s="2">
        <f>IF($A472="","",MID($A472,6,2))</f>
        <v>0</v>
      </c>
      <c r="O472" s="2">
        <f>IF(OR($C472="",$C472&lt;&gt;'Inv'!$D$12),"",N(O$471)+1)</f>
        <v>0</v>
      </c>
    </row>
    <row r="473" spans="1:15">
      <c r="A473" s="2">
        <f>'[01_Entry.xlsx]Book'!A473</f>
        <v/>
      </c>
      <c r="B473" s="2">
        <f>'[01_Entry.xlsx]Book'!B473</f>
        <v/>
      </c>
      <c r="C473" s="2">
        <f>'[01_Entry.xlsx]Book'!D473</f>
        <v/>
      </c>
      <c r="D473" s="2">
        <f>'[01_Entry.xlsx]Book'!E473</f>
        <v/>
      </c>
      <c r="E473" s="2">
        <f>'[01_Entry.xlsx]Book'!O473</f>
        <v/>
      </c>
      <c r="F473" s="2">
        <f>'[01_Entry.xlsx]Book'!N473</f>
        <v/>
      </c>
      <c r="G473" s="3">
        <f>'[01_Entry.xlsx]Book'!L473</f>
        <v/>
      </c>
      <c r="H473" s="3">
        <f>'[01_Entry.xlsx]Book'!M473</f>
        <v/>
      </c>
      <c r="I473" s="3">
        <f>'[01_Entry.xlsx]Book'!K473</f>
        <v/>
      </c>
      <c r="J473" s="3">
        <f>'[01_Entry.xlsx]Book'!P473</f>
        <v/>
      </c>
      <c r="K473" s="3">
        <f>'[01_Entry.xlsx]Book'!F473</f>
        <v/>
      </c>
      <c r="L473" s="3">
        <f>'[01_Entry.xlsx]Book'!G473</f>
        <v/>
      </c>
      <c r="M473" s="3">
        <f>'[01_Entry.xlsx]Book'!I473</f>
        <v/>
      </c>
      <c r="N473" s="2">
        <f>IF($A473="","",MID($A473,6,2))</f>
        <v>0</v>
      </c>
      <c r="O473" s="2">
        <f>IF(OR($C473="",$C473&lt;&gt;'Inv'!$D$12),"",N(O$472)+1)</f>
        <v>0</v>
      </c>
    </row>
    <row r="474" spans="1:15">
      <c r="A474" s="2">
        <f>'[01_Entry.xlsx]Book'!A474</f>
        <v/>
      </c>
      <c r="B474" s="2">
        <f>'[01_Entry.xlsx]Book'!B474</f>
        <v/>
      </c>
      <c r="C474" s="2">
        <f>'[01_Entry.xlsx]Book'!D474</f>
        <v/>
      </c>
      <c r="D474" s="2">
        <f>'[01_Entry.xlsx]Book'!E474</f>
        <v/>
      </c>
      <c r="E474" s="2">
        <f>'[01_Entry.xlsx]Book'!O474</f>
        <v/>
      </c>
      <c r="F474" s="2">
        <f>'[01_Entry.xlsx]Book'!N474</f>
        <v/>
      </c>
      <c r="G474" s="3">
        <f>'[01_Entry.xlsx]Book'!L474</f>
        <v/>
      </c>
      <c r="H474" s="3">
        <f>'[01_Entry.xlsx]Book'!M474</f>
        <v/>
      </c>
      <c r="I474" s="3">
        <f>'[01_Entry.xlsx]Book'!K474</f>
        <v/>
      </c>
      <c r="J474" s="3">
        <f>'[01_Entry.xlsx]Book'!P474</f>
        <v/>
      </c>
      <c r="K474" s="3">
        <f>'[01_Entry.xlsx]Book'!F474</f>
        <v/>
      </c>
      <c r="L474" s="3">
        <f>'[01_Entry.xlsx]Book'!G474</f>
        <v/>
      </c>
      <c r="M474" s="3">
        <f>'[01_Entry.xlsx]Book'!I474</f>
        <v/>
      </c>
      <c r="N474" s="2">
        <f>IF($A474="","",MID($A474,6,2))</f>
        <v>0</v>
      </c>
      <c r="O474" s="2">
        <f>IF(OR($C474="",$C474&lt;&gt;'Inv'!$D$12),"",N(O$473)+1)</f>
        <v>0</v>
      </c>
    </row>
    <row r="475" spans="1:15">
      <c r="A475" s="2">
        <f>'[01_Entry.xlsx]Book'!A475</f>
        <v/>
      </c>
      <c r="B475" s="2">
        <f>'[01_Entry.xlsx]Book'!B475</f>
        <v/>
      </c>
      <c r="C475" s="2">
        <f>'[01_Entry.xlsx]Book'!D475</f>
        <v/>
      </c>
      <c r="D475" s="2">
        <f>'[01_Entry.xlsx]Book'!E475</f>
        <v/>
      </c>
      <c r="E475" s="2">
        <f>'[01_Entry.xlsx]Book'!O475</f>
        <v/>
      </c>
      <c r="F475" s="2">
        <f>'[01_Entry.xlsx]Book'!N475</f>
        <v/>
      </c>
      <c r="G475" s="3">
        <f>'[01_Entry.xlsx]Book'!L475</f>
        <v/>
      </c>
      <c r="H475" s="3">
        <f>'[01_Entry.xlsx]Book'!M475</f>
        <v/>
      </c>
      <c r="I475" s="3">
        <f>'[01_Entry.xlsx]Book'!K475</f>
        <v/>
      </c>
      <c r="J475" s="3">
        <f>'[01_Entry.xlsx]Book'!P475</f>
        <v/>
      </c>
      <c r="K475" s="3">
        <f>'[01_Entry.xlsx]Book'!F475</f>
        <v/>
      </c>
      <c r="L475" s="3">
        <f>'[01_Entry.xlsx]Book'!G475</f>
        <v/>
      </c>
      <c r="M475" s="3">
        <f>'[01_Entry.xlsx]Book'!I475</f>
        <v/>
      </c>
      <c r="N475" s="2">
        <f>IF($A475="","",MID($A475,6,2))</f>
        <v>0</v>
      </c>
      <c r="O475" s="2">
        <f>IF(OR($C475="",$C475&lt;&gt;'Inv'!$D$12),"",N(O$474)+1)</f>
        <v>0</v>
      </c>
    </row>
    <row r="476" spans="1:15">
      <c r="A476" s="2">
        <f>'[01_Entry.xlsx]Book'!A476</f>
        <v/>
      </c>
      <c r="B476" s="2">
        <f>'[01_Entry.xlsx]Book'!B476</f>
        <v/>
      </c>
      <c r="C476" s="2">
        <f>'[01_Entry.xlsx]Book'!D476</f>
        <v/>
      </c>
      <c r="D476" s="2">
        <f>'[01_Entry.xlsx]Book'!E476</f>
        <v/>
      </c>
      <c r="E476" s="2">
        <f>'[01_Entry.xlsx]Book'!O476</f>
        <v/>
      </c>
      <c r="F476" s="2">
        <f>'[01_Entry.xlsx]Book'!N476</f>
        <v/>
      </c>
      <c r="G476" s="3">
        <f>'[01_Entry.xlsx]Book'!L476</f>
        <v/>
      </c>
      <c r="H476" s="3">
        <f>'[01_Entry.xlsx]Book'!M476</f>
        <v/>
      </c>
      <c r="I476" s="3">
        <f>'[01_Entry.xlsx]Book'!K476</f>
        <v/>
      </c>
      <c r="J476" s="3">
        <f>'[01_Entry.xlsx]Book'!P476</f>
        <v/>
      </c>
      <c r="K476" s="3">
        <f>'[01_Entry.xlsx]Book'!F476</f>
        <v/>
      </c>
      <c r="L476" s="3">
        <f>'[01_Entry.xlsx]Book'!G476</f>
        <v/>
      </c>
      <c r="M476" s="3">
        <f>'[01_Entry.xlsx]Book'!I476</f>
        <v/>
      </c>
      <c r="N476" s="2">
        <f>IF($A476="","",MID($A476,6,2))</f>
        <v>0</v>
      </c>
      <c r="O476" s="2">
        <f>IF(OR($C476="",$C476&lt;&gt;'Inv'!$D$12),"",N(O$475)+1)</f>
        <v>0</v>
      </c>
    </row>
    <row r="477" spans="1:15">
      <c r="A477" s="2">
        <f>'[01_Entry.xlsx]Book'!A477</f>
        <v/>
      </c>
      <c r="B477" s="2">
        <f>'[01_Entry.xlsx]Book'!B477</f>
        <v/>
      </c>
      <c r="C477" s="2">
        <f>'[01_Entry.xlsx]Book'!D477</f>
        <v/>
      </c>
      <c r="D477" s="2">
        <f>'[01_Entry.xlsx]Book'!E477</f>
        <v/>
      </c>
      <c r="E477" s="2">
        <f>'[01_Entry.xlsx]Book'!O477</f>
        <v/>
      </c>
      <c r="F477" s="2">
        <f>'[01_Entry.xlsx]Book'!N477</f>
        <v/>
      </c>
      <c r="G477" s="3">
        <f>'[01_Entry.xlsx]Book'!L477</f>
        <v/>
      </c>
      <c r="H477" s="3">
        <f>'[01_Entry.xlsx]Book'!M477</f>
        <v/>
      </c>
      <c r="I477" s="3">
        <f>'[01_Entry.xlsx]Book'!K477</f>
        <v/>
      </c>
      <c r="J477" s="3">
        <f>'[01_Entry.xlsx]Book'!P477</f>
        <v/>
      </c>
      <c r="K477" s="3">
        <f>'[01_Entry.xlsx]Book'!F477</f>
        <v/>
      </c>
      <c r="L477" s="3">
        <f>'[01_Entry.xlsx]Book'!G477</f>
        <v/>
      </c>
      <c r="M477" s="3">
        <f>'[01_Entry.xlsx]Book'!I477</f>
        <v/>
      </c>
      <c r="N477" s="2">
        <f>IF($A477="","",MID($A477,6,2))</f>
        <v>0</v>
      </c>
      <c r="O477" s="2">
        <f>IF(OR($C477="",$C477&lt;&gt;'Inv'!$D$12),"",N(O$476)+1)</f>
        <v>0</v>
      </c>
    </row>
    <row r="478" spans="1:15">
      <c r="A478" s="2">
        <f>'[01_Entry.xlsx]Book'!A478</f>
        <v/>
      </c>
      <c r="B478" s="2">
        <f>'[01_Entry.xlsx]Book'!B478</f>
        <v/>
      </c>
      <c r="C478" s="2">
        <f>'[01_Entry.xlsx]Book'!D478</f>
        <v/>
      </c>
      <c r="D478" s="2">
        <f>'[01_Entry.xlsx]Book'!E478</f>
        <v/>
      </c>
      <c r="E478" s="2">
        <f>'[01_Entry.xlsx]Book'!O478</f>
        <v/>
      </c>
      <c r="F478" s="2">
        <f>'[01_Entry.xlsx]Book'!N478</f>
        <v/>
      </c>
      <c r="G478" s="3">
        <f>'[01_Entry.xlsx]Book'!L478</f>
        <v/>
      </c>
      <c r="H478" s="3">
        <f>'[01_Entry.xlsx]Book'!M478</f>
        <v/>
      </c>
      <c r="I478" s="3">
        <f>'[01_Entry.xlsx]Book'!K478</f>
        <v/>
      </c>
      <c r="J478" s="3">
        <f>'[01_Entry.xlsx]Book'!P478</f>
        <v/>
      </c>
      <c r="K478" s="3">
        <f>'[01_Entry.xlsx]Book'!F478</f>
        <v/>
      </c>
      <c r="L478" s="3">
        <f>'[01_Entry.xlsx]Book'!G478</f>
        <v/>
      </c>
      <c r="M478" s="3">
        <f>'[01_Entry.xlsx]Book'!I478</f>
        <v/>
      </c>
      <c r="N478" s="2">
        <f>IF($A478="","",MID($A478,6,2))</f>
        <v>0</v>
      </c>
      <c r="O478" s="2">
        <f>IF(OR($C478="",$C478&lt;&gt;'Inv'!$D$12),"",N(O$477)+1)</f>
        <v>0</v>
      </c>
    </row>
    <row r="479" spans="1:15">
      <c r="A479" s="2">
        <f>'[01_Entry.xlsx]Book'!A479</f>
        <v/>
      </c>
      <c r="B479" s="2">
        <f>'[01_Entry.xlsx]Book'!B479</f>
        <v/>
      </c>
      <c r="C479" s="2">
        <f>'[01_Entry.xlsx]Book'!D479</f>
        <v/>
      </c>
      <c r="D479" s="2">
        <f>'[01_Entry.xlsx]Book'!E479</f>
        <v/>
      </c>
      <c r="E479" s="2">
        <f>'[01_Entry.xlsx]Book'!O479</f>
        <v/>
      </c>
      <c r="F479" s="2">
        <f>'[01_Entry.xlsx]Book'!N479</f>
        <v/>
      </c>
      <c r="G479" s="3">
        <f>'[01_Entry.xlsx]Book'!L479</f>
        <v/>
      </c>
      <c r="H479" s="3">
        <f>'[01_Entry.xlsx]Book'!M479</f>
        <v/>
      </c>
      <c r="I479" s="3">
        <f>'[01_Entry.xlsx]Book'!K479</f>
        <v/>
      </c>
      <c r="J479" s="3">
        <f>'[01_Entry.xlsx]Book'!P479</f>
        <v/>
      </c>
      <c r="K479" s="3">
        <f>'[01_Entry.xlsx]Book'!F479</f>
        <v/>
      </c>
      <c r="L479" s="3">
        <f>'[01_Entry.xlsx]Book'!G479</f>
        <v/>
      </c>
      <c r="M479" s="3">
        <f>'[01_Entry.xlsx]Book'!I479</f>
        <v/>
      </c>
      <c r="N479" s="2">
        <f>IF($A479="","",MID($A479,6,2))</f>
        <v>0</v>
      </c>
      <c r="O479" s="2">
        <f>IF(OR($C479="",$C479&lt;&gt;'Inv'!$D$12),"",N(O$478)+1)</f>
        <v>0</v>
      </c>
    </row>
    <row r="480" spans="1:15">
      <c r="A480" s="2">
        <f>'[01_Entry.xlsx]Book'!A480</f>
        <v/>
      </c>
      <c r="B480" s="2">
        <f>'[01_Entry.xlsx]Book'!B480</f>
        <v/>
      </c>
      <c r="C480" s="2">
        <f>'[01_Entry.xlsx]Book'!D480</f>
        <v/>
      </c>
      <c r="D480" s="2">
        <f>'[01_Entry.xlsx]Book'!E480</f>
        <v/>
      </c>
      <c r="E480" s="2">
        <f>'[01_Entry.xlsx]Book'!O480</f>
        <v/>
      </c>
      <c r="F480" s="2">
        <f>'[01_Entry.xlsx]Book'!N480</f>
        <v/>
      </c>
      <c r="G480" s="3">
        <f>'[01_Entry.xlsx]Book'!L480</f>
        <v/>
      </c>
      <c r="H480" s="3">
        <f>'[01_Entry.xlsx]Book'!M480</f>
        <v/>
      </c>
      <c r="I480" s="3">
        <f>'[01_Entry.xlsx]Book'!K480</f>
        <v/>
      </c>
      <c r="J480" s="3">
        <f>'[01_Entry.xlsx]Book'!P480</f>
        <v/>
      </c>
      <c r="K480" s="3">
        <f>'[01_Entry.xlsx]Book'!F480</f>
        <v/>
      </c>
      <c r="L480" s="3">
        <f>'[01_Entry.xlsx]Book'!G480</f>
        <v/>
      </c>
      <c r="M480" s="3">
        <f>'[01_Entry.xlsx]Book'!I480</f>
        <v/>
      </c>
      <c r="N480" s="2">
        <f>IF($A480="","",MID($A480,6,2))</f>
        <v>0</v>
      </c>
      <c r="O480" s="2">
        <f>IF(OR($C480="",$C480&lt;&gt;'Inv'!$D$12),"",N(O$479)+1)</f>
        <v>0</v>
      </c>
    </row>
    <row r="481" spans="1:15">
      <c r="A481" s="2">
        <f>'[01_Entry.xlsx]Book'!A481</f>
        <v/>
      </c>
      <c r="B481" s="2">
        <f>'[01_Entry.xlsx]Book'!B481</f>
        <v/>
      </c>
      <c r="C481" s="2">
        <f>'[01_Entry.xlsx]Book'!D481</f>
        <v/>
      </c>
      <c r="D481" s="2">
        <f>'[01_Entry.xlsx]Book'!E481</f>
        <v/>
      </c>
      <c r="E481" s="2">
        <f>'[01_Entry.xlsx]Book'!O481</f>
        <v/>
      </c>
      <c r="F481" s="2">
        <f>'[01_Entry.xlsx]Book'!N481</f>
        <v/>
      </c>
      <c r="G481" s="3">
        <f>'[01_Entry.xlsx]Book'!L481</f>
        <v/>
      </c>
      <c r="H481" s="3">
        <f>'[01_Entry.xlsx]Book'!M481</f>
        <v/>
      </c>
      <c r="I481" s="3">
        <f>'[01_Entry.xlsx]Book'!K481</f>
        <v/>
      </c>
      <c r="J481" s="3">
        <f>'[01_Entry.xlsx]Book'!P481</f>
        <v/>
      </c>
      <c r="K481" s="3">
        <f>'[01_Entry.xlsx]Book'!F481</f>
        <v/>
      </c>
      <c r="L481" s="3">
        <f>'[01_Entry.xlsx]Book'!G481</f>
        <v/>
      </c>
      <c r="M481" s="3">
        <f>'[01_Entry.xlsx]Book'!I481</f>
        <v/>
      </c>
      <c r="N481" s="2">
        <f>IF($A481="","",MID($A481,6,2))</f>
        <v>0</v>
      </c>
      <c r="O481" s="2">
        <f>IF(OR($C481="",$C481&lt;&gt;'Inv'!$D$12),"",N(O$480)+1)</f>
        <v>0</v>
      </c>
    </row>
    <row r="482" spans="1:15">
      <c r="A482" s="2">
        <f>'[01_Entry.xlsx]Book'!A482</f>
        <v/>
      </c>
      <c r="B482" s="2">
        <f>'[01_Entry.xlsx]Book'!B482</f>
        <v/>
      </c>
      <c r="C482" s="2">
        <f>'[01_Entry.xlsx]Book'!D482</f>
        <v/>
      </c>
      <c r="D482" s="2">
        <f>'[01_Entry.xlsx]Book'!E482</f>
        <v/>
      </c>
      <c r="E482" s="2">
        <f>'[01_Entry.xlsx]Book'!O482</f>
        <v/>
      </c>
      <c r="F482" s="2">
        <f>'[01_Entry.xlsx]Book'!N482</f>
        <v/>
      </c>
      <c r="G482" s="3">
        <f>'[01_Entry.xlsx]Book'!L482</f>
        <v/>
      </c>
      <c r="H482" s="3">
        <f>'[01_Entry.xlsx]Book'!M482</f>
        <v/>
      </c>
      <c r="I482" s="3">
        <f>'[01_Entry.xlsx]Book'!K482</f>
        <v/>
      </c>
      <c r="J482" s="3">
        <f>'[01_Entry.xlsx]Book'!P482</f>
        <v/>
      </c>
      <c r="K482" s="3">
        <f>'[01_Entry.xlsx]Book'!F482</f>
        <v/>
      </c>
      <c r="L482" s="3">
        <f>'[01_Entry.xlsx]Book'!G482</f>
        <v/>
      </c>
      <c r="M482" s="3">
        <f>'[01_Entry.xlsx]Book'!I482</f>
        <v/>
      </c>
      <c r="N482" s="2">
        <f>IF($A482="","",MID($A482,6,2))</f>
        <v>0</v>
      </c>
      <c r="O482" s="2">
        <f>IF(OR($C482="",$C482&lt;&gt;'Inv'!$D$12),"",N(O$481)+1)</f>
        <v>0</v>
      </c>
    </row>
    <row r="483" spans="1:15">
      <c r="A483" s="2">
        <f>'[01_Entry.xlsx]Book'!A483</f>
        <v/>
      </c>
      <c r="B483" s="2">
        <f>'[01_Entry.xlsx]Book'!B483</f>
        <v/>
      </c>
      <c r="C483" s="2">
        <f>'[01_Entry.xlsx]Book'!D483</f>
        <v/>
      </c>
      <c r="D483" s="2">
        <f>'[01_Entry.xlsx]Book'!E483</f>
        <v/>
      </c>
      <c r="E483" s="2">
        <f>'[01_Entry.xlsx]Book'!O483</f>
        <v/>
      </c>
      <c r="F483" s="2">
        <f>'[01_Entry.xlsx]Book'!N483</f>
        <v/>
      </c>
      <c r="G483" s="3">
        <f>'[01_Entry.xlsx]Book'!L483</f>
        <v/>
      </c>
      <c r="H483" s="3">
        <f>'[01_Entry.xlsx]Book'!M483</f>
        <v/>
      </c>
      <c r="I483" s="3">
        <f>'[01_Entry.xlsx]Book'!K483</f>
        <v/>
      </c>
      <c r="J483" s="3">
        <f>'[01_Entry.xlsx]Book'!P483</f>
        <v/>
      </c>
      <c r="K483" s="3">
        <f>'[01_Entry.xlsx]Book'!F483</f>
        <v/>
      </c>
      <c r="L483" s="3">
        <f>'[01_Entry.xlsx]Book'!G483</f>
        <v/>
      </c>
      <c r="M483" s="3">
        <f>'[01_Entry.xlsx]Book'!I483</f>
        <v/>
      </c>
      <c r="N483" s="2">
        <f>IF($A483="","",MID($A483,6,2))</f>
        <v>0</v>
      </c>
      <c r="O483" s="2">
        <f>IF(OR($C483="",$C483&lt;&gt;'Inv'!$D$12),"",N(O$482)+1)</f>
        <v>0</v>
      </c>
    </row>
    <row r="484" spans="1:15">
      <c r="A484" s="2">
        <f>'[01_Entry.xlsx]Book'!A484</f>
        <v/>
      </c>
      <c r="B484" s="2">
        <f>'[01_Entry.xlsx]Book'!B484</f>
        <v/>
      </c>
      <c r="C484" s="2">
        <f>'[01_Entry.xlsx]Book'!D484</f>
        <v/>
      </c>
      <c r="D484" s="2">
        <f>'[01_Entry.xlsx]Book'!E484</f>
        <v/>
      </c>
      <c r="E484" s="2">
        <f>'[01_Entry.xlsx]Book'!O484</f>
        <v/>
      </c>
      <c r="F484" s="2">
        <f>'[01_Entry.xlsx]Book'!N484</f>
        <v/>
      </c>
      <c r="G484" s="3">
        <f>'[01_Entry.xlsx]Book'!L484</f>
        <v/>
      </c>
      <c r="H484" s="3">
        <f>'[01_Entry.xlsx]Book'!M484</f>
        <v/>
      </c>
      <c r="I484" s="3">
        <f>'[01_Entry.xlsx]Book'!K484</f>
        <v/>
      </c>
      <c r="J484" s="3">
        <f>'[01_Entry.xlsx]Book'!P484</f>
        <v/>
      </c>
      <c r="K484" s="3">
        <f>'[01_Entry.xlsx]Book'!F484</f>
        <v/>
      </c>
      <c r="L484" s="3">
        <f>'[01_Entry.xlsx]Book'!G484</f>
        <v/>
      </c>
      <c r="M484" s="3">
        <f>'[01_Entry.xlsx]Book'!I484</f>
        <v/>
      </c>
      <c r="N484" s="2">
        <f>IF($A484="","",MID($A484,6,2))</f>
        <v>0</v>
      </c>
      <c r="O484" s="2">
        <f>IF(OR($C484="",$C484&lt;&gt;'Inv'!$D$12),"",N(O$483)+1)</f>
        <v>0</v>
      </c>
    </row>
    <row r="485" spans="1:15">
      <c r="A485" s="2">
        <f>'[01_Entry.xlsx]Book'!A485</f>
        <v/>
      </c>
      <c r="B485" s="2">
        <f>'[01_Entry.xlsx]Book'!B485</f>
        <v/>
      </c>
      <c r="C485" s="2">
        <f>'[01_Entry.xlsx]Book'!D485</f>
        <v/>
      </c>
      <c r="D485" s="2">
        <f>'[01_Entry.xlsx]Book'!E485</f>
        <v/>
      </c>
      <c r="E485" s="2">
        <f>'[01_Entry.xlsx]Book'!O485</f>
        <v/>
      </c>
      <c r="F485" s="2">
        <f>'[01_Entry.xlsx]Book'!N485</f>
        <v/>
      </c>
      <c r="G485" s="3">
        <f>'[01_Entry.xlsx]Book'!L485</f>
        <v/>
      </c>
      <c r="H485" s="3">
        <f>'[01_Entry.xlsx]Book'!M485</f>
        <v/>
      </c>
      <c r="I485" s="3">
        <f>'[01_Entry.xlsx]Book'!K485</f>
        <v/>
      </c>
      <c r="J485" s="3">
        <f>'[01_Entry.xlsx]Book'!P485</f>
        <v/>
      </c>
      <c r="K485" s="3">
        <f>'[01_Entry.xlsx]Book'!F485</f>
        <v/>
      </c>
      <c r="L485" s="3">
        <f>'[01_Entry.xlsx]Book'!G485</f>
        <v/>
      </c>
      <c r="M485" s="3">
        <f>'[01_Entry.xlsx]Book'!I485</f>
        <v/>
      </c>
      <c r="N485" s="2">
        <f>IF($A485="","",MID($A485,6,2))</f>
        <v>0</v>
      </c>
      <c r="O485" s="2">
        <f>IF(OR($C485="",$C485&lt;&gt;'Inv'!$D$12),"",N(O$484)+1)</f>
        <v>0</v>
      </c>
    </row>
    <row r="486" spans="1:15">
      <c r="A486" s="2">
        <f>'[01_Entry.xlsx]Book'!A486</f>
        <v/>
      </c>
      <c r="B486" s="2">
        <f>'[01_Entry.xlsx]Book'!B486</f>
        <v/>
      </c>
      <c r="C486" s="2">
        <f>'[01_Entry.xlsx]Book'!D486</f>
        <v/>
      </c>
      <c r="D486" s="2">
        <f>'[01_Entry.xlsx]Book'!E486</f>
        <v/>
      </c>
      <c r="E486" s="2">
        <f>'[01_Entry.xlsx]Book'!O486</f>
        <v/>
      </c>
      <c r="F486" s="2">
        <f>'[01_Entry.xlsx]Book'!N486</f>
        <v/>
      </c>
      <c r="G486" s="3">
        <f>'[01_Entry.xlsx]Book'!L486</f>
        <v/>
      </c>
      <c r="H486" s="3">
        <f>'[01_Entry.xlsx]Book'!M486</f>
        <v/>
      </c>
      <c r="I486" s="3">
        <f>'[01_Entry.xlsx]Book'!K486</f>
        <v/>
      </c>
      <c r="J486" s="3">
        <f>'[01_Entry.xlsx]Book'!P486</f>
        <v/>
      </c>
      <c r="K486" s="3">
        <f>'[01_Entry.xlsx]Book'!F486</f>
        <v/>
      </c>
      <c r="L486" s="3">
        <f>'[01_Entry.xlsx]Book'!G486</f>
        <v/>
      </c>
      <c r="M486" s="3">
        <f>'[01_Entry.xlsx]Book'!I486</f>
        <v/>
      </c>
      <c r="N486" s="2">
        <f>IF($A486="","",MID($A486,6,2))</f>
        <v>0</v>
      </c>
      <c r="O486" s="2">
        <f>IF(OR($C486="",$C486&lt;&gt;'Inv'!$D$12),"",N(O$485)+1)</f>
        <v>0</v>
      </c>
    </row>
    <row r="487" spans="1:15">
      <c r="A487" s="2">
        <f>'[01_Entry.xlsx]Book'!A487</f>
        <v/>
      </c>
      <c r="B487" s="2">
        <f>'[01_Entry.xlsx]Book'!B487</f>
        <v/>
      </c>
      <c r="C487" s="2">
        <f>'[01_Entry.xlsx]Book'!D487</f>
        <v/>
      </c>
      <c r="D487" s="2">
        <f>'[01_Entry.xlsx]Book'!E487</f>
        <v/>
      </c>
      <c r="E487" s="2">
        <f>'[01_Entry.xlsx]Book'!O487</f>
        <v/>
      </c>
      <c r="F487" s="2">
        <f>'[01_Entry.xlsx]Book'!N487</f>
        <v/>
      </c>
      <c r="G487" s="3">
        <f>'[01_Entry.xlsx]Book'!L487</f>
        <v/>
      </c>
      <c r="H487" s="3">
        <f>'[01_Entry.xlsx]Book'!M487</f>
        <v/>
      </c>
      <c r="I487" s="3">
        <f>'[01_Entry.xlsx]Book'!K487</f>
        <v/>
      </c>
      <c r="J487" s="3">
        <f>'[01_Entry.xlsx]Book'!P487</f>
        <v/>
      </c>
      <c r="K487" s="3">
        <f>'[01_Entry.xlsx]Book'!F487</f>
        <v/>
      </c>
      <c r="L487" s="3">
        <f>'[01_Entry.xlsx]Book'!G487</f>
        <v/>
      </c>
      <c r="M487" s="3">
        <f>'[01_Entry.xlsx]Book'!I487</f>
        <v/>
      </c>
      <c r="N487" s="2">
        <f>IF($A487="","",MID($A487,6,2))</f>
        <v>0</v>
      </c>
      <c r="O487" s="2">
        <f>IF(OR($C487="",$C487&lt;&gt;'Inv'!$D$12),"",N(O$486)+1)</f>
        <v>0</v>
      </c>
    </row>
    <row r="488" spans="1:15">
      <c r="A488" s="2">
        <f>'[01_Entry.xlsx]Book'!A488</f>
        <v/>
      </c>
      <c r="B488" s="2">
        <f>'[01_Entry.xlsx]Book'!B488</f>
        <v/>
      </c>
      <c r="C488" s="2">
        <f>'[01_Entry.xlsx]Book'!D488</f>
        <v/>
      </c>
      <c r="D488" s="2">
        <f>'[01_Entry.xlsx]Book'!E488</f>
        <v/>
      </c>
      <c r="E488" s="2">
        <f>'[01_Entry.xlsx]Book'!O488</f>
        <v/>
      </c>
      <c r="F488" s="2">
        <f>'[01_Entry.xlsx]Book'!N488</f>
        <v/>
      </c>
      <c r="G488" s="3">
        <f>'[01_Entry.xlsx]Book'!L488</f>
        <v/>
      </c>
      <c r="H488" s="3">
        <f>'[01_Entry.xlsx]Book'!M488</f>
        <v/>
      </c>
      <c r="I488" s="3">
        <f>'[01_Entry.xlsx]Book'!K488</f>
        <v/>
      </c>
      <c r="J488" s="3">
        <f>'[01_Entry.xlsx]Book'!P488</f>
        <v/>
      </c>
      <c r="K488" s="3">
        <f>'[01_Entry.xlsx]Book'!F488</f>
        <v/>
      </c>
      <c r="L488" s="3">
        <f>'[01_Entry.xlsx]Book'!G488</f>
        <v/>
      </c>
      <c r="M488" s="3">
        <f>'[01_Entry.xlsx]Book'!I488</f>
        <v/>
      </c>
      <c r="N488" s="2">
        <f>IF($A488="","",MID($A488,6,2))</f>
        <v>0</v>
      </c>
      <c r="O488" s="2">
        <f>IF(OR($C488="",$C488&lt;&gt;'Inv'!$D$12),"",N(O$487)+1)</f>
        <v>0</v>
      </c>
    </row>
    <row r="489" spans="1:15">
      <c r="A489" s="2">
        <f>'[01_Entry.xlsx]Book'!A489</f>
        <v/>
      </c>
      <c r="B489" s="2">
        <f>'[01_Entry.xlsx]Book'!B489</f>
        <v/>
      </c>
      <c r="C489" s="2">
        <f>'[01_Entry.xlsx]Book'!D489</f>
        <v/>
      </c>
      <c r="D489" s="2">
        <f>'[01_Entry.xlsx]Book'!E489</f>
        <v/>
      </c>
      <c r="E489" s="2">
        <f>'[01_Entry.xlsx]Book'!O489</f>
        <v/>
      </c>
      <c r="F489" s="2">
        <f>'[01_Entry.xlsx]Book'!N489</f>
        <v/>
      </c>
      <c r="G489" s="3">
        <f>'[01_Entry.xlsx]Book'!L489</f>
        <v/>
      </c>
      <c r="H489" s="3">
        <f>'[01_Entry.xlsx]Book'!M489</f>
        <v/>
      </c>
      <c r="I489" s="3">
        <f>'[01_Entry.xlsx]Book'!K489</f>
        <v/>
      </c>
      <c r="J489" s="3">
        <f>'[01_Entry.xlsx]Book'!P489</f>
        <v/>
      </c>
      <c r="K489" s="3">
        <f>'[01_Entry.xlsx]Book'!F489</f>
        <v/>
      </c>
      <c r="L489" s="3">
        <f>'[01_Entry.xlsx]Book'!G489</f>
        <v/>
      </c>
      <c r="M489" s="3">
        <f>'[01_Entry.xlsx]Book'!I489</f>
        <v/>
      </c>
      <c r="N489" s="2">
        <f>IF($A489="","",MID($A489,6,2))</f>
        <v>0</v>
      </c>
      <c r="O489" s="2">
        <f>IF(OR($C489="",$C489&lt;&gt;'Inv'!$D$12),"",N(O$488)+1)</f>
        <v>0</v>
      </c>
    </row>
    <row r="490" spans="1:15">
      <c r="A490" s="2">
        <f>'[01_Entry.xlsx]Book'!A490</f>
        <v/>
      </c>
      <c r="B490" s="2">
        <f>'[01_Entry.xlsx]Book'!B490</f>
        <v/>
      </c>
      <c r="C490" s="2">
        <f>'[01_Entry.xlsx]Book'!D490</f>
        <v/>
      </c>
      <c r="D490" s="2">
        <f>'[01_Entry.xlsx]Book'!E490</f>
        <v/>
      </c>
      <c r="E490" s="2">
        <f>'[01_Entry.xlsx]Book'!O490</f>
        <v/>
      </c>
      <c r="F490" s="2">
        <f>'[01_Entry.xlsx]Book'!N490</f>
        <v/>
      </c>
      <c r="G490" s="3">
        <f>'[01_Entry.xlsx]Book'!L490</f>
        <v/>
      </c>
      <c r="H490" s="3">
        <f>'[01_Entry.xlsx]Book'!M490</f>
        <v/>
      </c>
      <c r="I490" s="3">
        <f>'[01_Entry.xlsx]Book'!K490</f>
        <v/>
      </c>
      <c r="J490" s="3">
        <f>'[01_Entry.xlsx]Book'!P490</f>
        <v/>
      </c>
      <c r="K490" s="3">
        <f>'[01_Entry.xlsx]Book'!F490</f>
        <v/>
      </c>
      <c r="L490" s="3">
        <f>'[01_Entry.xlsx]Book'!G490</f>
        <v/>
      </c>
      <c r="M490" s="3">
        <f>'[01_Entry.xlsx]Book'!I490</f>
        <v/>
      </c>
      <c r="N490" s="2">
        <f>IF($A490="","",MID($A490,6,2))</f>
        <v>0</v>
      </c>
      <c r="O490" s="2">
        <f>IF(OR($C490="",$C490&lt;&gt;'Inv'!$D$12),"",N(O$489)+1)</f>
        <v>0</v>
      </c>
    </row>
    <row r="491" spans="1:15">
      <c r="A491" s="2">
        <f>'[01_Entry.xlsx]Book'!A491</f>
        <v/>
      </c>
      <c r="B491" s="2">
        <f>'[01_Entry.xlsx]Book'!B491</f>
        <v/>
      </c>
      <c r="C491" s="2">
        <f>'[01_Entry.xlsx]Book'!D491</f>
        <v/>
      </c>
      <c r="D491" s="2">
        <f>'[01_Entry.xlsx]Book'!E491</f>
        <v/>
      </c>
      <c r="E491" s="2">
        <f>'[01_Entry.xlsx]Book'!O491</f>
        <v/>
      </c>
      <c r="F491" s="2">
        <f>'[01_Entry.xlsx]Book'!N491</f>
        <v/>
      </c>
      <c r="G491" s="3">
        <f>'[01_Entry.xlsx]Book'!L491</f>
        <v/>
      </c>
      <c r="H491" s="3">
        <f>'[01_Entry.xlsx]Book'!M491</f>
        <v/>
      </c>
      <c r="I491" s="3">
        <f>'[01_Entry.xlsx]Book'!K491</f>
        <v/>
      </c>
      <c r="J491" s="3">
        <f>'[01_Entry.xlsx]Book'!P491</f>
        <v/>
      </c>
      <c r="K491" s="3">
        <f>'[01_Entry.xlsx]Book'!F491</f>
        <v/>
      </c>
      <c r="L491" s="3">
        <f>'[01_Entry.xlsx]Book'!G491</f>
        <v/>
      </c>
      <c r="M491" s="3">
        <f>'[01_Entry.xlsx]Book'!I491</f>
        <v/>
      </c>
      <c r="N491" s="2">
        <f>IF($A491="","",MID($A491,6,2))</f>
        <v>0</v>
      </c>
      <c r="O491" s="2">
        <f>IF(OR($C491="",$C491&lt;&gt;'Inv'!$D$12),"",N(O$490)+1)</f>
        <v>0</v>
      </c>
    </row>
    <row r="492" spans="1:15">
      <c r="A492" s="2">
        <f>'[01_Entry.xlsx]Book'!A492</f>
        <v/>
      </c>
      <c r="B492" s="2">
        <f>'[01_Entry.xlsx]Book'!B492</f>
        <v/>
      </c>
      <c r="C492" s="2">
        <f>'[01_Entry.xlsx]Book'!D492</f>
        <v/>
      </c>
      <c r="D492" s="2">
        <f>'[01_Entry.xlsx]Book'!E492</f>
        <v/>
      </c>
      <c r="E492" s="2">
        <f>'[01_Entry.xlsx]Book'!O492</f>
        <v/>
      </c>
      <c r="F492" s="2">
        <f>'[01_Entry.xlsx]Book'!N492</f>
        <v/>
      </c>
      <c r="G492" s="3">
        <f>'[01_Entry.xlsx]Book'!L492</f>
        <v/>
      </c>
      <c r="H492" s="3">
        <f>'[01_Entry.xlsx]Book'!M492</f>
        <v/>
      </c>
      <c r="I492" s="3">
        <f>'[01_Entry.xlsx]Book'!K492</f>
        <v/>
      </c>
      <c r="J492" s="3">
        <f>'[01_Entry.xlsx]Book'!P492</f>
        <v/>
      </c>
      <c r="K492" s="3">
        <f>'[01_Entry.xlsx]Book'!F492</f>
        <v/>
      </c>
      <c r="L492" s="3">
        <f>'[01_Entry.xlsx]Book'!G492</f>
        <v/>
      </c>
      <c r="M492" s="3">
        <f>'[01_Entry.xlsx]Book'!I492</f>
        <v/>
      </c>
      <c r="N492" s="2">
        <f>IF($A492="","",MID($A492,6,2))</f>
        <v>0</v>
      </c>
      <c r="O492" s="2">
        <f>IF(OR($C492="",$C492&lt;&gt;'Inv'!$D$12),"",N(O$491)+1)</f>
        <v>0</v>
      </c>
    </row>
    <row r="493" spans="1:15">
      <c r="A493" s="2">
        <f>'[01_Entry.xlsx]Book'!A493</f>
        <v/>
      </c>
      <c r="B493" s="2">
        <f>'[01_Entry.xlsx]Book'!B493</f>
        <v/>
      </c>
      <c r="C493" s="2">
        <f>'[01_Entry.xlsx]Book'!D493</f>
        <v/>
      </c>
      <c r="D493" s="2">
        <f>'[01_Entry.xlsx]Book'!E493</f>
        <v/>
      </c>
      <c r="E493" s="2">
        <f>'[01_Entry.xlsx]Book'!O493</f>
        <v/>
      </c>
      <c r="F493" s="2">
        <f>'[01_Entry.xlsx]Book'!N493</f>
        <v/>
      </c>
      <c r="G493" s="3">
        <f>'[01_Entry.xlsx]Book'!L493</f>
        <v/>
      </c>
      <c r="H493" s="3">
        <f>'[01_Entry.xlsx]Book'!M493</f>
        <v/>
      </c>
      <c r="I493" s="3">
        <f>'[01_Entry.xlsx]Book'!K493</f>
        <v/>
      </c>
      <c r="J493" s="3">
        <f>'[01_Entry.xlsx]Book'!P493</f>
        <v/>
      </c>
      <c r="K493" s="3">
        <f>'[01_Entry.xlsx]Book'!F493</f>
        <v/>
      </c>
      <c r="L493" s="3">
        <f>'[01_Entry.xlsx]Book'!G493</f>
        <v/>
      </c>
      <c r="M493" s="3">
        <f>'[01_Entry.xlsx]Book'!I493</f>
        <v/>
      </c>
      <c r="N493" s="2">
        <f>IF($A493="","",MID($A493,6,2))</f>
        <v>0</v>
      </c>
      <c r="O493" s="2">
        <f>IF(OR($C493="",$C493&lt;&gt;'Inv'!$D$12),"",N(O$492)+1)</f>
        <v>0</v>
      </c>
    </row>
    <row r="494" spans="1:15">
      <c r="A494" s="2">
        <f>'[01_Entry.xlsx]Book'!A494</f>
        <v/>
      </c>
      <c r="B494" s="2">
        <f>'[01_Entry.xlsx]Book'!B494</f>
        <v/>
      </c>
      <c r="C494" s="2">
        <f>'[01_Entry.xlsx]Book'!D494</f>
        <v/>
      </c>
      <c r="D494" s="2">
        <f>'[01_Entry.xlsx]Book'!E494</f>
        <v/>
      </c>
      <c r="E494" s="2">
        <f>'[01_Entry.xlsx]Book'!O494</f>
        <v/>
      </c>
      <c r="F494" s="2">
        <f>'[01_Entry.xlsx]Book'!N494</f>
        <v/>
      </c>
      <c r="G494" s="3">
        <f>'[01_Entry.xlsx]Book'!L494</f>
        <v/>
      </c>
      <c r="H494" s="3">
        <f>'[01_Entry.xlsx]Book'!M494</f>
        <v/>
      </c>
      <c r="I494" s="3">
        <f>'[01_Entry.xlsx]Book'!K494</f>
        <v/>
      </c>
      <c r="J494" s="3">
        <f>'[01_Entry.xlsx]Book'!P494</f>
        <v/>
      </c>
      <c r="K494" s="3">
        <f>'[01_Entry.xlsx]Book'!F494</f>
        <v/>
      </c>
      <c r="L494" s="3">
        <f>'[01_Entry.xlsx]Book'!G494</f>
        <v/>
      </c>
      <c r="M494" s="3">
        <f>'[01_Entry.xlsx]Book'!I494</f>
        <v/>
      </c>
      <c r="N494" s="2">
        <f>IF($A494="","",MID($A494,6,2))</f>
        <v>0</v>
      </c>
      <c r="O494" s="2">
        <f>IF(OR($C494="",$C494&lt;&gt;'Inv'!$D$12),"",N(O$493)+1)</f>
        <v>0</v>
      </c>
    </row>
    <row r="495" spans="1:15">
      <c r="A495" s="2">
        <f>'[01_Entry.xlsx]Book'!A495</f>
        <v/>
      </c>
      <c r="B495" s="2">
        <f>'[01_Entry.xlsx]Book'!B495</f>
        <v/>
      </c>
      <c r="C495" s="2">
        <f>'[01_Entry.xlsx]Book'!D495</f>
        <v/>
      </c>
      <c r="D495" s="2">
        <f>'[01_Entry.xlsx]Book'!E495</f>
        <v/>
      </c>
      <c r="E495" s="2">
        <f>'[01_Entry.xlsx]Book'!O495</f>
        <v/>
      </c>
      <c r="F495" s="2">
        <f>'[01_Entry.xlsx]Book'!N495</f>
        <v/>
      </c>
      <c r="G495" s="3">
        <f>'[01_Entry.xlsx]Book'!L495</f>
        <v/>
      </c>
      <c r="H495" s="3">
        <f>'[01_Entry.xlsx]Book'!M495</f>
        <v/>
      </c>
      <c r="I495" s="3">
        <f>'[01_Entry.xlsx]Book'!K495</f>
        <v/>
      </c>
      <c r="J495" s="3">
        <f>'[01_Entry.xlsx]Book'!P495</f>
        <v/>
      </c>
      <c r="K495" s="3">
        <f>'[01_Entry.xlsx]Book'!F495</f>
        <v/>
      </c>
      <c r="L495" s="3">
        <f>'[01_Entry.xlsx]Book'!G495</f>
        <v/>
      </c>
      <c r="M495" s="3">
        <f>'[01_Entry.xlsx]Book'!I495</f>
        <v/>
      </c>
      <c r="N495" s="2">
        <f>IF($A495="","",MID($A495,6,2))</f>
        <v>0</v>
      </c>
      <c r="O495" s="2">
        <f>IF(OR($C495="",$C495&lt;&gt;'Inv'!$D$12),"",N(O$494)+1)</f>
        <v>0</v>
      </c>
    </row>
    <row r="496" spans="1:15">
      <c r="A496" s="2">
        <f>'[01_Entry.xlsx]Book'!A496</f>
        <v/>
      </c>
      <c r="B496" s="2">
        <f>'[01_Entry.xlsx]Book'!B496</f>
        <v/>
      </c>
      <c r="C496" s="2">
        <f>'[01_Entry.xlsx]Book'!D496</f>
        <v/>
      </c>
      <c r="D496" s="2">
        <f>'[01_Entry.xlsx]Book'!E496</f>
        <v/>
      </c>
      <c r="E496" s="2">
        <f>'[01_Entry.xlsx]Book'!O496</f>
        <v/>
      </c>
      <c r="F496" s="2">
        <f>'[01_Entry.xlsx]Book'!N496</f>
        <v/>
      </c>
      <c r="G496" s="3">
        <f>'[01_Entry.xlsx]Book'!L496</f>
        <v/>
      </c>
      <c r="H496" s="3">
        <f>'[01_Entry.xlsx]Book'!M496</f>
        <v/>
      </c>
      <c r="I496" s="3">
        <f>'[01_Entry.xlsx]Book'!K496</f>
        <v/>
      </c>
      <c r="J496" s="3">
        <f>'[01_Entry.xlsx]Book'!P496</f>
        <v/>
      </c>
      <c r="K496" s="3">
        <f>'[01_Entry.xlsx]Book'!F496</f>
        <v/>
      </c>
      <c r="L496" s="3">
        <f>'[01_Entry.xlsx]Book'!G496</f>
        <v/>
      </c>
      <c r="M496" s="3">
        <f>'[01_Entry.xlsx]Book'!I496</f>
        <v/>
      </c>
      <c r="N496" s="2">
        <f>IF($A496="","",MID($A496,6,2))</f>
        <v>0</v>
      </c>
      <c r="O496" s="2">
        <f>IF(OR($C496="",$C496&lt;&gt;'Inv'!$D$12),"",N(O$495)+1)</f>
        <v>0</v>
      </c>
    </row>
    <row r="497" spans="1:15">
      <c r="A497" s="2">
        <f>'[01_Entry.xlsx]Book'!A497</f>
        <v/>
      </c>
      <c r="B497" s="2">
        <f>'[01_Entry.xlsx]Book'!B497</f>
        <v/>
      </c>
      <c r="C497" s="2">
        <f>'[01_Entry.xlsx]Book'!D497</f>
        <v/>
      </c>
      <c r="D497" s="2">
        <f>'[01_Entry.xlsx]Book'!E497</f>
        <v/>
      </c>
      <c r="E497" s="2">
        <f>'[01_Entry.xlsx]Book'!O497</f>
        <v/>
      </c>
      <c r="F497" s="2">
        <f>'[01_Entry.xlsx]Book'!N497</f>
        <v/>
      </c>
      <c r="G497" s="3">
        <f>'[01_Entry.xlsx]Book'!L497</f>
        <v/>
      </c>
      <c r="H497" s="3">
        <f>'[01_Entry.xlsx]Book'!M497</f>
        <v/>
      </c>
      <c r="I497" s="3">
        <f>'[01_Entry.xlsx]Book'!K497</f>
        <v/>
      </c>
      <c r="J497" s="3">
        <f>'[01_Entry.xlsx]Book'!P497</f>
        <v/>
      </c>
      <c r="K497" s="3">
        <f>'[01_Entry.xlsx]Book'!F497</f>
        <v/>
      </c>
      <c r="L497" s="3">
        <f>'[01_Entry.xlsx]Book'!G497</f>
        <v/>
      </c>
      <c r="M497" s="3">
        <f>'[01_Entry.xlsx]Book'!I497</f>
        <v/>
      </c>
      <c r="N497" s="2">
        <f>IF($A497="","",MID($A497,6,2))</f>
        <v>0</v>
      </c>
      <c r="O497" s="2">
        <f>IF(OR($C497="",$C497&lt;&gt;'Inv'!$D$12),"",N(O$496)+1)</f>
        <v>0</v>
      </c>
    </row>
    <row r="498" spans="1:15">
      <c r="A498" s="2">
        <f>'[01_Entry.xlsx]Book'!A498</f>
        <v/>
      </c>
      <c r="B498" s="2">
        <f>'[01_Entry.xlsx]Book'!B498</f>
        <v/>
      </c>
      <c r="C498" s="2">
        <f>'[01_Entry.xlsx]Book'!D498</f>
        <v/>
      </c>
      <c r="D498" s="2">
        <f>'[01_Entry.xlsx]Book'!E498</f>
        <v/>
      </c>
      <c r="E498" s="2">
        <f>'[01_Entry.xlsx]Book'!O498</f>
        <v/>
      </c>
      <c r="F498" s="2">
        <f>'[01_Entry.xlsx]Book'!N498</f>
        <v/>
      </c>
      <c r="G498" s="3">
        <f>'[01_Entry.xlsx]Book'!L498</f>
        <v/>
      </c>
      <c r="H498" s="3">
        <f>'[01_Entry.xlsx]Book'!M498</f>
        <v/>
      </c>
      <c r="I498" s="3">
        <f>'[01_Entry.xlsx]Book'!K498</f>
        <v/>
      </c>
      <c r="J498" s="3">
        <f>'[01_Entry.xlsx]Book'!P498</f>
        <v/>
      </c>
      <c r="K498" s="3">
        <f>'[01_Entry.xlsx]Book'!F498</f>
        <v/>
      </c>
      <c r="L498" s="3">
        <f>'[01_Entry.xlsx]Book'!G498</f>
        <v/>
      </c>
      <c r="M498" s="3">
        <f>'[01_Entry.xlsx]Book'!I498</f>
        <v/>
      </c>
      <c r="N498" s="2">
        <f>IF($A498="","",MID($A498,6,2))</f>
        <v>0</v>
      </c>
      <c r="O498" s="2">
        <f>IF(OR($C498="",$C498&lt;&gt;'Inv'!$D$12),"",N(O$497)+1)</f>
        <v>0</v>
      </c>
    </row>
    <row r="499" spans="1:15">
      <c r="A499" s="2">
        <f>'[01_Entry.xlsx]Book'!A499</f>
        <v/>
      </c>
      <c r="B499" s="2">
        <f>'[01_Entry.xlsx]Book'!B499</f>
        <v/>
      </c>
      <c r="C499" s="2">
        <f>'[01_Entry.xlsx]Book'!D499</f>
        <v/>
      </c>
      <c r="D499" s="2">
        <f>'[01_Entry.xlsx]Book'!E499</f>
        <v/>
      </c>
      <c r="E499" s="2">
        <f>'[01_Entry.xlsx]Book'!O499</f>
        <v/>
      </c>
      <c r="F499" s="2">
        <f>'[01_Entry.xlsx]Book'!N499</f>
        <v/>
      </c>
      <c r="G499" s="3">
        <f>'[01_Entry.xlsx]Book'!L499</f>
        <v/>
      </c>
      <c r="H499" s="3">
        <f>'[01_Entry.xlsx]Book'!M499</f>
        <v/>
      </c>
      <c r="I499" s="3">
        <f>'[01_Entry.xlsx]Book'!K499</f>
        <v/>
      </c>
      <c r="J499" s="3">
        <f>'[01_Entry.xlsx]Book'!P499</f>
        <v/>
      </c>
      <c r="K499" s="3">
        <f>'[01_Entry.xlsx]Book'!F499</f>
        <v/>
      </c>
      <c r="L499" s="3">
        <f>'[01_Entry.xlsx]Book'!G499</f>
        <v/>
      </c>
      <c r="M499" s="3">
        <f>'[01_Entry.xlsx]Book'!I499</f>
        <v/>
      </c>
      <c r="N499" s="2">
        <f>IF($A499="","",MID($A499,6,2))</f>
        <v>0</v>
      </c>
      <c r="O499" s="2">
        <f>IF(OR($C499="",$C499&lt;&gt;'Inv'!$D$12),"",N(O$498)+1)</f>
        <v>0</v>
      </c>
    </row>
    <row r="500" spans="1:15">
      <c r="A500" s="2">
        <f>'[01_Entry.xlsx]Book'!A500</f>
        <v/>
      </c>
      <c r="B500" s="2">
        <f>'[01_Entry.xlsx]Book'!B500</f>
        <v/>
      </c>
      <c r="C500" s="2">
        <f>'[01_Entry.xlsx]Book'!D500</f>
        <v/>
      </c>
      <c r="D500" s="2">
        <f>'[01_Entry.xlsx]Book'!E500</f>
        <v/>
      </c>
      <c r="E500" s="2">
        <f>'[01_Entry.xlsx]Book'!O500</f>
        <v/>
      </c>
      <c r="F500" s="2">
        <f>'[01_Entry.xlsx]Book'!N500</f>
        <v/>
      </c>
      <c r="G500" s="3">
        <f>'[01_Entry.xlsx]Book'!L500</f>
        <v/>
      </c>
      <c r="H500" s="3">
        <f>'[01_Entry.xlsx]Book'!M500</f>
        <v/>
      </c>
      <c r="I500" s="3">
        <f>'[01_Entry.xlsx]Book'!K500</f>
        <v/>
      </c>
      <c r="J500" s="3">
        <f>'[01_Entry.xlsx]Book'!P500</f>
        <v/>
      </c>
      <c r="K500" s="3">
        <f>'[01_Entry.xlsx]Book'!F500</f>
        <v/>
      </c>
      <c r="L500" s="3">
        <f>'[01_Entry.xlsx]Book'!G500</f>
        <v/>
      </c>
      <c r="M500" s="3">
        <f>'[01_Entry.xlsx]Book'!I500</f>
        <v/>
      </c>
      <c r="N500" s="2">
        <f>IF($A500="","",MID($A500,6,2))</f>
        <v>0</v>
      </c>
      <c r="O500" s="2">
        <f>IF(OR($C500="",$C500&lt;&gt;'Inv'!$D$12),"",N(O$499)+1)</f>
        <v>0</v>
      </c>
    </row>
    <row r="501" spans="1:15">
      <c r="A501" s="2">
        <f>'[01_Entry.xlsx]Book'!A501</f>
        <v/>
      </c>
      <c r="B501" s="2">
        <f>'[01_Entry.xlsx]Book'!B501</f>
        <v/>
      </c>
      <c r="C501" s="2">
        <f>'[01_Entry.xlsx]Book'!D501</f>
        <v/>
      </c>
      <c r="D501" s="2">
        <f>'[01_Entry.xlsx]Book'!E501</f>
        <v/>
      </c>
      <c r="E501" s="2">
        <f>'[01_Entry.xlsx]Book'!O501</f>
        <v/>
      </c>
      <c r="F501" s="2">
        <f>'[01_Entry.xlsx]Book'!N501</f>
        <v/>
      </c>
      <c r="G501" s="3">
        <f>'[01_Entry.xlsx]Book'!L501</f>
        <v/>
      </c>
      <c r="H501" s="3">
        <f>'[01_Entry.xlsx]Book'!M501</f>
        <v/>
      </c>
      <c r="I501" s="3">
        <f>'[01_Entry.xlsx]Book'!K501</f>
        <v/>
      </c>
      <c r="J501" s="3">
        <f>'[01_Entry.xlsx]Book'!P501</f>
        <v/>
      </c>
      <c r="K501" s="3">
        <f>'[01_Entry.xlsx]Book'!F501</f>
        <v/>
      </c>
      <c r="L501" s="3">
        <f>'[01_Entry.xlsx]Book'!G501</f>
        <v/>
      </c>
      <c r="M501" s="3">
        <f>'[01_Entry.xlsx]Book'!I501</f>
        <v/>
      </c>
      <c r="N501" s="2">
        <f>IF($A501="","",MID($A501,6,2))</f>
        <v>0</v>
      </c>
      <c r="O501" s="2">
        <f>IF(OR($C501="",$C501&lt;&gt;'Inv'!$D$12),"",N(O$500)+1)</f>
        <v>0</v>
      </c>
    </row>
    <row r="502" spans="1:15">
      <c r="A502" s="2">
        <f>'[01_Entry.xlsx]Book'!A502</f>
        <v/>
      </c>
      <c r="B502" s="2">
        <f>'[01_Entry.xlsx]Book'!B502</f>
        <v/>
      </c>
      <c r="C502" s="2">
        <f>'[01_Entry.xlsx]Book'!D502</f>
        <v/>
      </c>
      <c r="D502" s="2">
        <f>'[01_Entry.xlsx]Book'!E502</f>
        <v/>
      </c>
      <c r="E502" s="2">
        <f>'[01_Entry.xlsx]Book'!O502</f>
        <v/>
      </c>
      <c r="F502" s="2">
        <f>'[01_Entry.xlsx]Book'!N502</f>
        <v/>
      </c>
      <c r="G502" s="3">
        <f>'[01_Entry.xlsx]Book'!L502</f>
        <v/>
      </c>
      <c r="H502" s="3">
        <f>'[01_Entry.xlsx]Book'!M502</f>
        <v/>
      </c>
      <c r="I502" s="3">
        <f>'[01_Entry.xlsx]Book'!K502</f>
        <v/>
      </c>
      <c r="J502" s="3">
        <f>'[01_Entry.xlsx]Book'!P502</f>
        <v/>
      </c>
      <c r="K502" s="3">
        <f>'[01_Entry.xlsx]Book'!F502</f>
        <v/>
      </c>
      <c r="L502" s="3">
        <f>'[01_Entry.xlsx]Book'!G502</f>
        <v/>
      </c>
      <c r="M502" s="3">
        <f>'[01_Entry.xlsx]Book'!I502</f>
        <v/>
      </c>
      <c r="N502" s="2">
        <f>IF($A502="","",MID($A502,6,2))</f>
        <v>0</v>
      </c>
      <c r="O502" s="2">
        <f>IF(OR($C502="",$C502&lt;&gt;'Inv'!$D$12),"",N(O$501)+1)</f>
        <v>0</v>
      </c>
    </row>
    <row r="503" spans="1:15">
      <c r="A503" s="2">
        <f>'[01_Entry.xlsx]Book'!A503</f>
        <v/>
      </c>
      <c r="B503" s="2">
        <f>'[01_Entry.xlsx]Book'!B503</f>
        <v/>
      </c>
      <c r="C503" s="2">
        <f>'[01_Entry.xlsx]Book'!D503</f>
        <v/>
      </c>
      <c r="D503" s="2">
        <f>'[01_Entry.xlsx]Book'!E503</f>
        <v/>
      </c>
      <c r="E503" s="2">
        <f>'[01_Entry.xlsx]Book'!O503</f>
        <v/>
      </c>
      <c r="F503" s="2">
        <f>'[01_Entry.xlsx]Book'!N503</f>
        <v/>
      </c>
      <c r="G503" s="3">
        <f>'[01_Entry.xlsx]Book'!L503</f>
        <v/>
      </c>
      <c r="H503" s="3">
        <f>'[01_Entry.xlsx]Book'!M503</f>
        <v/>
      </c>
      <c r="I503" s="3">
        <f>'[01_Entry.xlsx]Book'!K503</f>
        <v/>
      </c>
      <c r="J503" s="3">
        <f>'[01_Entry.xlsx]Book'!P503</f>
        <v/>
      </c>
      <c r="K503" s="3">
        <f>'[01_Entry.xlsx]Book'!F503</f>
        <v/>
      </c>
      <c r="L503" s="3">
        <f>'[01_Entry.xlsx]Book'!G503</f>
        <v/>
      </c>
      <c r="M503" s="3">
        <f>'[01_Entry.xlsx]Book'!I503</f>
        <v/>
      </c>
      <c r="N503" s="2">
        <f>IF($A503="","",MID($A503,6,2))</f>
        <v>0</v>
      </c>
      <c r="O503" s="2">
        <f>IF(OR($C503="",$C503&lt;&gt;'Inv'!$D$12),"",N(O$502)+1)</f>
        <v>0</v>
      </c>
    </row>
    <row r="504" spans="1:15">
      <c r="A504" s="2">
        <f>'[01_Entry.xlsx]Book'!A504</f>
        <v/>
      </c>
      <c r="B504" s="2">
        <f>'[01_Entry.xlsx]Book'!B504</f>
        <v/>
      </c>
      <c r="C504" s="2">
        <f>'[01_Entry.xlsx]Book'!D504</f>
        <v/>
      </c>
      <c r="D504" s="2">
        <f>'[01_Entry.xlsx]Book'!E504</f>
        <v/>
      </c>
      <c r="E504" s="2">
        <f>'[01_Entry.xlsx]Book'!O504</f>
        <v/>
      </c>
      <c r="F504" s="2">
        <f>'[01_Entry.xlsx]Book'!N504</f>
        <v/>
      </c>
      <c r="G504" s="3">
        <f>'[01_Entry.xlsx]Book'!L504</f>
        <v/>
      </c>
      <c r="H504" s="3">
        <f>'[01_Entry.xlsx]Book'!M504</f>
        <v/>
      </c>
      <c r="I504" s="3">
        <f>'[01_Entry.xlsx]Book'!K504</f>
        <v/>
      </c>
      <c r="J504" s="3">
        <f>'[01_Entry.xlsx]Book'!P504</f>
        <v/>
      </c>
      <c r="K504" s="3">
        <f>'[01_Entry.xlsx]Book'!F504</f>
        <v/>
      </c>
      <c r="L504" s="3">
        <f>'[01_Entry.xlsx]Book'!G504</f>
        <v/>
      </c>
      <c r="M504" s="3">
        <f>'[01_Entry.xlsx]Book'!I504</f>
        <v/>
      </c>
      <c r="N504" s="2">
        <f>IF($A504="","",MID($A504,6,2))</f>
        <v>0</v>
      </c>
      <c r="O504" s="2">
        <f>IF(OR($C504="",$C504&lt;&gt;'Inv'!$D$12),"",N(O$503)+1)</f>
        <v>0</v>
      </c>
    </row>
    <row r="505" spans="1:15">
      <c r="A505" s="2">
        <f>'[01_Entry.xlsx]Book'!A505</f>
        <v/>
      </c>
      <c r="B505" s="2">
        <f>'[01_Entry.xlsx]Book'!B505</f>
        <v/>
      </c>
      <c r="C505" s="2">
        <f>'[01_Entry.xlsx]Book'!D505</f>
        <v/>
      </c>
      <c r="D505" s="2">
        <f>'[01_Entry.xlsx]Book'!E505</f>
        <v/>
      </c>
      <c r="E505" s="2">
        <f>'[01_Entry.xlsx]Book'!O505</f>
        <v/>
      </c>
      <c r="F505" s="2">
        <f>'[01_Entry.xlsx]Book'!N505</f>
        <v/>
      </c>
      <c r="G505" s="3">
        <f>'[01_Entry.xlsx]Book'!L505</f>
        <v/>
      </c>
      <c r="H505" s="3">
        <f>'[01_Entry.xlsx]Book'!M505</f>
        <v/>
      </c>
      <c r="I505" s="3">
        <f>'[01_Entry.xlsx]Book'!K505</f>
        <v/>
      </c>
      <c r="J505" s="3">
        <f>'[01_Entry.xlsx]Book'!P505</f>
        <v/>
      </c>
      <c r="K505" s="3">
        <f>'[01_Entry.xlsx]Book'!F505</f>
        <v/>
      </c>
      <c r="L505" s="3">
        <f>'[01_Entry.xlsx]Book'!G505</f>
        <v/>
      </c>
      <c r="M505" s="3">
        <f>'[01_Entry.xlsx]Book'!I505</f>
        <v/>
      </c>
      <c r="N505" s="2">
        <f>IF($A505="","",MID($A505,6,2))</f>
        <v>0</v>
      </c>
      <c r="O505" s="2">
        <f>IF(OR($C505="",$C505&lt;&gt;'Inv'!$D$12),"",N(O$504)+1)</f>
        <v>0</v>
      </c>
    </row>
    <row r="506" spans="1:15">
      <c r="A506" s="2">
        <f>'[01_Entry.xlsx]Book'!A506</f>
        <v/>
      </c>
      <c r="B506" s="2">
        <f>'[01_Entry.xlsx]Book'!B506</f>
        <v/>
      </c>
      <c r="C506" s="2">
        <f>'[01_Entry.xlsx]Book'!D506</f>
        <v/>
      </c>
      <c r="D506" s="2">
        <f>'[01_Entry.xlsx]Book'!E506</f>
        <v/>
      </c>
      <c r="E506" s="2">
        <f>'[01_Entry.xlsx]Book'!O506</f>
        <v/>
      </c>
      <c r="F506" s="2">
        <f>'[01_Entry.xlsx]Book'!N506</f>
        <v/>
      </c>
      <c r="G506" s="3">
        <f>'[01_Entry.xlsx]Book'!L506</f>
        <v/>
      </c>
      <c r="H506" s="3">
        <f>'[01_Entry.xlsx]Book'!M506</f>
        <v/>
      </c>
      <c r="I506" s="3">
        <f>'[01_Entry.xlsx]Book'!K506</f>
        <v/>
      </c>
      <c r="J506" s="3">
        <f>'[01_Entry.xlsx]Book'!P506</f>
        <v/>
      </c>
      <c r="K506" s="3">
        <f>'[01_Entry.xlsx]Book'!F506</f>
        <v/>
      </c>
      <c r="L506" s="3">
        <f>'[01_Entry.xlsx]Book'!G506</f>
        <v/>
      </c>
      <c r="M506" s="3">
        <f>'[01_Entry.xlsx]Book'!I506</f>
        <v/>
      </c>
      <c r="N506" s="2">
        <f>IF($A506="","",MID($A506,6,2))</f>
        <v>0</v>
      </c>
      <c r="O506" s="2">
        <f>IF(OR($C506="",$C506&lt;&gt;'Inv'!$D$12),"",N(O$505)+1)</f>
        <v>0</v>
      </c>
    </row>
    <row r="507" spans="1:15">
      <c r="A507" s="2">
        <f>'[01_Entry.xlsx]Book'!A507</f>
        <v/>
      </c>
      <c r="B507" s="2">
        <f>'[01_Entry.xlsx]Book'!B507</f>
        <v/>
      </c>
      <c r="C507" s="2">
        <f>'[01_Entry.xlsx]Book'!D507</f>
        <v/>
      </c>
      <c r="D507" s="2">
        <f>'[01_Entry.xlsx]Book'!E507</f>
        <v/>
      </c>
      <c r="E507" s="2">
        <f>'[01_Entry.xlsx]Book'!O507</f>
        <v/>
      </c>
      <c r="F507" s="2">
        <f>'[01_Entry.xlsx]Book'!N507</f>
        <v/>
      </c>
      <c r="G507" s="3">
        <f>'[01_Entry.xlsx]Book'!L507</f>
        <v/>
      </c>
      <c r="H507" s="3">
        <f>'[01_Entry.xlsx]Book'!M507</f>
        <v/>
      </c>
      <c r="I507" s="3">
        <f>'[01_Entry.xlsx]Book'!K507</f>
        <v/>
      </c>
      <c r="J507" s="3">
        <f>'[01_Entry.xlsx]Book'!P507</f>
        <v/>
      </c>
      <c r="K507" s="3">
        <f>'[01_Entry.xlsx]Book'!F507</f>
        <v/>
      </c>
      <c r="L507" s="3">
        <f>'[01_Entry.xlsx]Book'!G507</f>
        <v/>
      </c>
      <c r="M507" s="3">
        <f>'[01_Entry.xlsx]Book'!I507</f>
        <v/>
      </c>
      <c r="N507" s="2">
        <f>IF($A507="","",MID($A507,6,2))</f>
        <v>0</v>
      </c>
      <c r="O507" s="2">
        <f>IF(OR($C507="",$C507&lt;&gt;'Inv'!$D$12),"",N(O$506)+1)</f>
        <v>0</v>
      </c>
    </row>
    <row r="508" spans="1:15">
      <c r="A508" s="2">
        <f>'[01_Entry.xlsx]Book'!A508</f>
        <v/>
      </c>
      <c r="B508" s="2">
        <f>'[01_Entry.xlsx]Book'!B508</f>
        <v/>
      </c>
      <c r="C508" s="2">
        <f>'[01_Entry.xlsx]Book'!D508</f>
        <v/>
      </c>
      <c r="D508" s="2">
        <f>'[01_Entry.xlsx]Book'!E508</f>
        <v/>
      </c>
      <c r="E508" s="2">
        <f>'[01_Entry.xlsx]Book'!O508</f>
        <v/>
      </c>
      <c r="F508" s="2">
        <f>'[01_Entry.xlsx]Book'!N508</f>
        <v/>
      </c>
      <c r="G508" s="3">
        <f>'[01_Entry.xlsx]Book'!L508</f>
        <v/>
      </c>
      <c r="H508" s="3">
        <f>'[01_Entry.xlsx]Book'!M508</f>
        <v/>
      </c>
      <c r="I508" s="3">
        <f>'[01_Entry.xlsx]Book'!K508</f>
        <v/>
      </c>
      <c r="J508" s="3">
        <f>'[01_Entry.xlsx]Book'!P508</f>
        <v/>
      </c>
      <c r="K508" s="3">
        <f>'[01_Entry.xlsx]Book'!F508</f>
        <v/>
      </c>
      <c r="L508" s="3">
        <f>'[01_Entry.xlsx]Book'!G508</f>
        <v/>
      </c>
      <c r="M508" s="3">
        <f>'[01_Entry.xlsx]Book'!I508</f>
        <v/>
      </c>
      <c r="N508" s="2">
        <f>IF($A508="","",MID($A508,6,2))</f>
        <v>0</v>
      </c>
      <c r="O508" s="2">
        <f>IF(OR($C508="",$C508&lt;&gt;'Inv'!$D$12),"",N(O$507)+1)</f>
        <v>0</v>
      </c>
    </row>
    <row r="509" spans="1:15">
      <c r="A509" s="2">
        <f>'[01_Entry.xlsx]Book'!A509</f>
        <v/>
      </c>
      <c r="B509" s="2">
        <f>'[01_Entry.xlsx]Book'!B509</f>
        <v/>
      </c>
      <c r="C509" s="2">
        <f>'[01_Entry.xlsx]Book'!D509</f>
        <v/>
      </c>
      <c r="D509" s="2">
        <f>'[01_Entry.xlsx]Book'!E509</f>
        <v/>
      </c>
      <c r="E509" s="2">
        <f>'[01_Entry.xlsx]Book'!O509</f>
        <v/>
      </c>
      <c r="F509" s="2">
        <f>'[01_Entry.xlsx]Book'!N509</f>
        <v/>
      </c>
      <c r="G509" s="3">
        <f>'[01_Entry.xlsx]Book'!L509</f>
        <v/>
      </c>
      <c r="H509" s="3">
        <f>'[01_Entry.xlsx]Book'!M509</f>
        <v/>
      </c>
      <c r="I509" s="3">
        <f>'[01_Entry.xlsx]Book'!K509</f>
        <v/>
      </c>
      <c r="J509" s="3">
        <f>'[01_Entry.xlsx]Book'!P509</f>
        <v/>
      </c>
      <c r="K509" s="3">
        <f>'[01_Entry.xlsx]Book'!F509</f>
        <v/>
      </c>
      <c r="L509" s="3">
        <f>'[01_Entry.xlsx]Book'!G509</f>
        <v/>
      </c>
      <c r="M509" s="3">
        <f>'[01_Entry.xlsx]Book'!I509</f>
        <v/>
      </c>
      <c r="N509" s="2">
        <f>IF($A509="","",MID($A509,6,2))</f>
        <v>0</v>
      </c>
      <c r="O509" s="2">
        <f>IF(OR($C509="",$C509&lt;&gt;'Inv'!$D$12),"",N(O$508)+1)</f>
        <v>0</v>
      </c>
    </row>
    <row r="510" spans="1:15">
      <c r="A510" s="2">
        <f>'[01_Entry.xlsx]Book'!A510</f>
        <v/>
      </c>
      <c r="B510" s="2">
        <f>'[01_Entry.xlsx]Book'!B510</f>
        <v/>
      </c>
      <c r="C510" s="2">
        <f>'[01_Entry.xlsx]Book'!D510</f>
        <v/>
      </c>
      <c r="D510" s="2">
        <f>'[01_Entry.xlsx]Book'!E510</f>
        <v/>
      </c>
      <c r="E510" s="2">
        <f>'[01_Entry.xlsx]Book'!O510</f>
        <v/>
      </c>
      <c r="F510" s="2">
        <f>'[01_Entry.xlsx]Book'!N510</f>
        <v/>
      </c>
      <c r="G510" s="3">
        <f>'[01_Entry.xlsx]Book'!L510</f>
        <v/>
      </c>
      <c r="H510" s="3">
        <f>'[01_Entry.xlsx]Book'!M510</f>
        <v/>
      </c>
      <c r="I510" s="3">
        <f>'[01_Entry.xlsx]Book'!K510</f>
        <v/>
      </c>
      <c r="J510" s="3">
        <f>'[01_Entry.xlsx]Book'!P510</f>
        <v/>
      </c>
      <c r="K510" s="3">
        <f>'[01_Entry.xlsx]Book'!F510</f>
        <v/>
      </c>
      <c r="L510" s="3">
        <f>'[01_Entry.xlsx]Book'!G510</f>
        <v/>
      </c>
      <c r="M510" s="3">
        <f>'[01_Entry.xlsx]Book'!I510</f>
        <v/>
      </c>
      <c r="N510" s="2">
        <f>IF($A510="","",MID($A510,6,2))</f>
        <v>0</v>
      </c>
      <c r="O510" s="2">
        <f>IF(OR($C510="",$C510&lt;&gt;'Inv'!$D$12),"",N(O$509)+1)</f>
        <v>0</v>
      </c>
    </row>
    <row r="511" spans="1:15">
      <c r="A511" s="2">
        <f>'[01_Entry.xlsx]Book'!A511</f>
        <v/>
      </c>
      <c r="B511" s="2">
        <f>'[01_Entry.xlsx]Book'!B511</f>
        <v/>
      </c>
      <c r="C511" s="2">
        <f>'[01_Entry.xlsx]Book'!D511</f>
        <v/>
      </c>
      <c r="D511" s="2">
        <f>'[01_Entry.xlsx]Book'!E511</f>
        <v/>
      </c>
      <c r="E511" s="2">
        <f>'[01_Entry.xlsx]Book'!O511</f>
        <v/>
      </c>
      <c r="F511" s="2">
        <f>'[01_Entry.xlsx]Book'!N511</f>
        <v/>
      </c>
      <c r="G511" s="3">
        <f>'[01_Entry.xlsx]Book'!L511</f>
        <v/>
      </c>
      <c r="H511" s="3">
        <f>'[01_Entry.xlsx]Book'!M511</f>
        <v/>
      </c>
      <c r="I511" s="3">
        <f>'[01_Entry.xlsx]Book'!K511</f>
        <v/>
      </c>
      <c r="J511" s="3">
        <f>'[01_Entry.xlsx]Book'!P511</f>
        <v/>
      </c>
      <c r="K511" s="3">
        <f>'[01_Entry.xlsx]Book'!F511</f>
        <v/>
      </c>
      <c r="L511" s="3">
        <f>'[01_Entry.xlsx]Book'!G511</f>
        <v/>
      </c>
      <c r="M511" s="3">
        <f>'[01_Entry.xlsx]Book'!I511</f>
        <v/>
      </c>
      <c r="N511" s="2">
        <f>IF($A511="","",MID($A511,6,2))</f>
        <v>0</v>
      </c>
      <c r="O511" s="2">
        <f>IF(OR($C511="",$C511&lt;&gt;'Inv'!$D$12),"",N(O$510)+1)</f>
        <v>0</v>
      </c>
    </row>
    <row r="512" spans="1:15">
      <c r="A512" s="2">
        <f>'[01_Entry.xlsx]Book'!A512</f>
        <v/>
      </c>
      <c r="B512" s="2">
        <f>'[01_Entry.xlsx]Book'!B512</f>
        <v/>
      </c>
      <c r="C512" s="2">
        <f>'[01_Entry.xlsx]Book'!D512</f>
        <v/>
      </c>
      <c r="D512" s="2">
        <f>'[01_Entry.xlsx]Book'!E512</f>
        <v/>
      </c>
      <c r="E512" s="2">
        <f>'[01_Entry.xlsx]Book'!O512</f>
        <v/>
      </c>
      <c r="F512" s="2">
        <f>'[01_Entry.xlsx]Book'!N512</f>
        <v/>
      </c>
      <c r="G512" s="3">
        <f>'[01_Entry.xlsx]Book'!L512</f>
        <v/>
      </c>
      <c r="H512" s="3">
        <f>'[01_Entry.xlsx]Book'!M512</f>
        <v/>
      </c>
      <c r="I512" s="3">
        <f>'[01_Entry.xlsx]Book'!K512</f>
        <v/>
      </c>
      <c r="J512" s="3">
        <f>'[01_Entry.xlsx]Book'!P512</f>
        <v/>
      </c>
      <c r="K512" s="3">
        <f>'[01_Entry.xlsx]Book'!F512</f>
        <v/>
      </c>
      <c r="L512" s="3">
        <f>'[01_Entry.xlsx]Book'!G512</f>
        <v/>
      </c>
      <c r="M512" s="3">
        <f>'[01_Entry.xlsx]Book'!I512</f>
        <v/>
      </c>
      <c r="N512" s="2">
        <f>IF($A512="","",MID($A512,6,2))</f>
        <v>0</v>
      </c>
      <c r="O512" s="2">
        <f>IF(OR($C512="",$C512&lt;&gt;'Inv'!$D$12),"",N(O$511)+1)</f>
        <v>0</v>
      </c>
    </row>
    <row r="513" spans="1:15">
      <c r="A513" s="2">
        <f>'[01_Entry.xlsx]Book'!A513</f>
        <v/>
      </c>
      <c r="B513" s="2">
        <f>'[01_Entry.xlsx]Book'!B513</f>
        <v/>
      </c>
      <c r="C513" s="2">
        <f>'[01_Entry.xlsx]Book'!D513</f>
        <v/>
      </c>
      <c r="D513" s="2">
        <f>'[01_Entry.xlsx]Book'!E513</f>
        <v/>
      </c>
      <c r="E513" s="2">
        <f>'[01_Entry.xlsx]Book'!O513</f>
        <v/>
      </c>
      <c r="F513" s="2">
        <f>'[01_Entry.xlsx]Book'!N513</f>
        <v/>
      </c>
      <c r="G513" s="3">
        <f>'[01_Entry.xlsx]Book'!L513</f>
        <v/>
      </c>
      <c r="H513" s="3">
        <f>'[01_Entry.xlsx]Book'!M513</f>
        <v/>
      </c>
      <c r="I513" s="3">
        <f>'[01_Entry.xlsx]Book'!K513</f>
        <v/>
      </c>
      <c r="J513" s="3">
        <f>'[01_Entry.xlsx]Book'!P513</f>
        <v/>
      </c>
      <c r="K513" s="3">
        <f>'[01_Entry.xlsx]Book'!F513</f>
        <v/>
      </c>
      <c r="L513" s="3">
        <f>'[01_Entry.xlsx]Book'!G513</f>
        <v/>
      </c>
      <c r="M513" s="3">
        <f>'[01_Entry.xlsx]Book'!I513</f>
        <v/>
      </c>
      <c r="N513" s="2">
        <f>IF($A513="","",MID($A513,6,2))</f>
        <v>0</v>
      </c>
      <c r="O513" s="2">
        <f>IF(OR($C513="",$C513&lt;&gt;'Inv'!$D$12),"",N(O$512)+1)</f>
        <v>0</v>
      </c>
    </row>
    <row r="514" spans="1:15">
      <c r="A514" s="2">
        <f>'[01_Entry.xlsx]Book'!A514</f>
        <v/>
      </c>
      <c r="B514" s="2">
        <f>'[01_Entry.xlsx]Book'!B514</f>
        <v/>
      </c>
      <c r="C514" s="2">
        <f>'[01_Entry.xlsx]Book'!D514</f>
        <v/>
      </c>
      <c r="D514" s="2">
        <f>'[01_Entry.xlsx]Book'!E514</f>
        <v/>
      </c>
      <c r="E514" s="2">
        <f>'[01_Entry.xlsx]Book'!O514</f>
        <v/>
      </c>
      <c r="F514" s="2">
        <f>'[01_Entry.xlsx]Book'!N514</f>
        <v/>
      </c>
      <c r="G514" s="3">
        <f>'[01_Entry.xlsx]Book'!L514</f>
        <v/>
      </c>
      <c r="H514" s="3">
        <f>'[01_Entry.xlsx]Book'!M514</f>
        <v/>
      </c>
      <c r="I514" s="3">
        <f>'[01_Entry.xlsx]Book'!K514</f>
        <v/>
      </c>
      <c r="J514" s="3">
        <f>'[01_Entry.xlsx]Book'!P514</f>
        <v/>
      </c>
      <c r="K514" s="3">
        <f>'[01_Entry.xlsx]Book'!F514</f>
        <v/>
      </c>
      <c r="L514" s="3">
        <f>'[01_Entry.xlsx]Book'!G514</f>
        <v/>
      </c>
      <c r="M514" s="3">
        <f>'[01_Entry.xlsx]Book'!I514</f>
        <v/>
      </c>
      <c r="N514" s="2">
        <f>IF($A514="","",MID($A514,6,2))</f>
        <v>0</v>
      </c>
      <c r="O514" s="2">
        <f>IF(OR($C514="",$C514&lt;&gt;'Inv'!$D$12),"",N(O$513)+1)</f>
        <v>0</v>
      </c>
    </row>
    <row r="515" spans="1:15">
      <c r="A515" s="2">
        <f>'[01_Entry.xlsx]Book'!A515</f>
        <v/>
      </c>
      <c r="B515" s="2">
        <f>'[01_Entry.xlsx]Book'!B515</f>
        <v/>
      </c>
      <c r="C515" s="2">
        <f>'[01_Entry.xlsx]Book'!D515</f>
        <v/>
      </c>
      <c r="D515" s="2">
        <f>'[01_Entry.xlsx]Book'!E515</f>
        <v/>
      </c>
      <c r="E515" s="2">
        <f>'[01_Entry.xlsx]Book'!O515</f>
        <v/>
      </c>
      <c r="F515" s="2">
        <f>'[01_Entry.xlsx]Book'!N515</f>
        <v/>
      </c>
      <c r="G515" s="3">
        <f>'[01_Entry.xlsx]Book'!L515</f>
        <v/>
      </c>
      <c r="H515" s="3">
        <f>'[01_Entry.xlsx]Book'!M515</f>
        <v/>
      </c>
      <c r="I515" s="3">
        <f>'[01_Entry.xlsx]Book'!K515</f>
        <v/>
      </c>
      <c r="J515" s="3">
        <f>'[01_Entry.xlsx]Book'!P515</f>
        <v/>
      </c>
      <c r="K515" s="3">
        <f>'[01_Entry.xlsx]Book'!F515</f>
        <v/>
      </c>
      <c r="L515" s="3">
        <f>'[01_Entry.xlsx]Book'!G515</f>
        <v/>
      </c>
      <c r="M515" s="3">
        <f>'[01_Entry.xlsx]Book'!I515</f>
        <v/>
      </c>
      <c r="N515" s="2">
        <f>IF($A515="","",MID($A515,6,2))</f>
        <v>0</v>
      </c>
      <c r="O515" s="2">
        <f>IF(OR($C515="",$C515&lt;&gt;'Inv'!$D$12),"",N(O$514)+1)</f>
        <v>0</v>
      </c>
    </row>
    <row r="516" spans="1:15">
      <c r="A516" s="2">
        <f>'[01_Entry.xlsx]Book'!A516</f>
        <v/>
      </c>
      <c r="B516" s="2">
        <f>'[01_Entry.xlsx]Book'!B516</f>
        <v/>
      </c>
      <c r="C516" s="2">
        <f>'[01_Entry.xlsx]Book'!D516</f>
        <v/>
      </c>
      <c r="D516" s="2">
        <f>'[01_Entry.xlsx]Book'!E516</f>
        <v/>
      </c>
      <c r="E516" s="2">
        <f>'[01_Entry.xlsx]Book'!O516</f>
        <v/>
      </c>
      <c r="F516" s="2">
        <f>'[01_Entry.xlsx]Book'!N516</f>
        <v/>
      </c>
      <c r="G516" s="3">
        <f>'[01_Entry.xlsx]Book'!L516</f>
        <v/>
      </c>
      <c r="H516" s="3">
        <f>'[01_Entry.xlsx]Book'!M516</f>
        <v/>
      </c>
      <c r="I516" s="3">
        <f>'[01_Entry.xlsx]Book'!K516</f>
        <v/>
      </c>
      <c r="J516" s="3">
        <f>'[01_Entry.xlsx]Book'!P516</f>
        <v/>
      </c>
      <c r="K516" s="3">
        <f>'[01_Entry.xlsx]Book'!F516</f>
        <v/>
      </c>
      <c r="L516" s="3">
        <f>'[01_Entry.xlsx]Book'!G516</f>
        <v/>
      </c>
      <c r="M516" s="3">
        <f>'[01_Entry.xlsx]Book'!I516</f>
        <v/>
      </c>
      <c r="N516" s="2">
        <f>IF($A516="","",MID($A516,6,2))</f>
        <v>0</v>
      </c>
      <c r="O516" s="2">
        <f>IF(OR($C516="",$C516&lt;&gt;'Inv'!$D$12),"",N(O$515)+1)</f>
        <v>0</v>
      </c>
    </row>
    <row r="517" spans="1:15">
      <c r="A517" s="2">
        <f>'[01_Entry.xlsx]Book'!A517</f>
        <v/>
      </c>
      <c r="B517" s="2">
        <f>'[01_Entry.xlsx]Book'!B517</f>
        <v/>
      </c>
      <c r="C517" s="2">
        <f>'[01_Entry.xlsx]Book'!D517</f>
        <v/>
      </c>
      <c r="D517" s="2">
        <f>'[01_Entry.xlsx]Book'!E517</f>
        <v/>
      </c>
      <c r="E517" s="2">
        <f>'[01_Entry.xlsx]Book'!O517</f>
        <v/>
      </c>
      <c r="F517" s="2">
        <f>'[01_Entry.xlsx]Book'!N517</f>
        <v/>
      </c>
      <c r="G517" s="3">
        <f>'[01_Entry.xlsx]Book'!L517</f>
        <v/>
      </c>
      <c r="H517" s="3">
        <f>'[01_Entry.xlsx]Book'!M517</f>
        <v/>
      </c>
      <c r="I517" s="3">
        <f>'[01_Entry.xlsx]Book'!K517</f>
        <v/>
      </c>
      <c r="J517" s="3">
        <f>'[01_Entry.xlsx]Book'!P517</f>
        <v/>
      </c>
      <c r="K517" s="3">
        <f>'[01_Entry.xlsx]Book'!F517</f>
        <v/>
      </c>
      <c r="L517" s="3">
        <f>'[01_Entry.xlsx]Book'!G517</f>
        <v/>
      </c>
      <c r="M517" s="3">
        <f>'[01_Entry.xlsx]Book'!I517</f>
        <v/>
      </c>
      <c r="N517" s="2">
        <f>IF($A517="","",MID($A517,6,2))</f>
        <v>0</v>
      </c>
      <c r="O517" s="2">
        <f>IF(OR($C517="",$C517&lt;&gt;'Inv'!$D$12),"",N(O$516)+1)</f>
        <v>0</v>
      </c>
    </row>
    <row r="518" spans="1:15">
      <c r="A518" s="2">
        <f>'[01_Entry.xlsx]Book'!A518</f>
        <v/>
      </c>
      <c r="B518" s="2">
        <f>'[01_Entry.xlsx]Book'!B518</f>
        <v/>
      </c>
      <c r="C518" s="2">
        <f>'[01_Entry.xlsx]Book'!D518</f>
        <v/>
      </c>
      <c r="D518" s="2">
        <f>'[01_Entry.xlsx]Book'!E518</f>
        <v/>
      </c>
      <c r="E518" s="2">
        <f>'[01_Entry.xlsx]Book'!O518</f>
        <v/>
      </c>
      <c r="F518" s="2">
        <f>'[01_Entry.xlsx]Book'!N518</f>
        <v/>
      </c>
      <c r="G518" s="3">
        <f>'[01_Entry.xlsx]Book'!L518</f>
        <v/>
      </c>
      <c r="H518" s="3">
        <f>'[01_Entry.xlsx]Book'!M518</f>
        <v/>
      </c>
      <c r="I518" s="3">
        <f>'[01_Entry.xlsx]Book'!K518</f>
        <v/>
      </c>
      <c r="J518" s="3">
        <f>'[01_Entry.xlsx]Book'!P518</f>
        <v/>
      </c>
      <c r="K518" s="3">
        <f>'[01_Entry.xlsx]Book'!F518</f>
        <v/>
      </c>
      <c r="L518" s="3">
        <f>'[01_Entry.xlsx]Book'!G518</f>
        <v/>
      </c>
      <c r="M518" s="3">
        <f>'[01_Entry.xlsx]Book'!I518</f>
        <v/>
      </c>
      <c r="N518" s="2">
        <f>IF($A518="","",MID($A518,6,2))</f>
        <v>0</v>
      </c>
      <c r="O518" s="2">
        <f>IF(OR($C518="",$C518&lt;&gt;'Inv'!$D$12),"",N(O$517)+1)</f>
        <v>0</v>
      </c>
    </row>
    <row r="519" spans="1:15">
      <c r="A519" s="2">
        <f>'[01_Entry.xlsx]Book'!A519</f>
        <v/>
      </c>
      <c r="B519" s="2">
        <f>'[01_Entry.xlsx]Book'!B519</f>
        <v/>
      </c>
      <c r="C519" s="2">
        <f>'[01_Entry.xlsx]Book'!D519</f>
        <v/>
      </c>
      <c r="D519" s="2">
        <f>'[01_Entry.xlsx]Book'!E519</f>
        <v/>
      </c>
      <c r="E519" s="2">
        <f>'[01_Entry.xlsx]Book'!O519</f>
        <v/>
      </c>
      <c r="F519" s="2">
        <f>'[01_Entry.xlsx]Book'!N519</f>
        <v/>
      </c>
      <c r="G519" s="3">
        <f>'[01_Entry.xlsx]Book'!L519</f>
        <v/>
      </c>
      <c r="H519" s="3">
        <f>'[01_Entry.xlsx]Book'!M519</f>
        <v/>
      </c>
      <c r="I519" s="3">
        <f>'[01_Entry.xlsx]Book'!K519</f>
        <v/>
      </c>
      <c r="J519" s="3">
        <f>'[01_Entry.xlsx]Book'!P519</f>
        <v/>
      </c>
      <c r="K519" s="3">
        <f>'[01_Entry.xlsx]Book'!F519</f>
        <v/>
      </c>
      <c r="L519" s="3">
        <f>'[01_Entry.xlsx]Book'!G519</f>
        <v/>
      </c>
      <c r="M519" s="3">
        <f>'[01_Entry.xlsx]Book'!I519</f>
        <v/>
      </c>
      <c r="N519" s="2">
        <f>IF($A519="","",MID($A519,6,2))</f>
        <v>0</v>
      </c>
      <c r="O519" s="2">
        <f>IF(OR($C519="",$C519&lt;&gt;'Inv'!$D$12),"",N(O$518)+1)</f>
        <v>0</v>
      </c>
    </row>
    <row r="520" spans="1:15">
      <c r="A520" s="2">
        <f>'[01_Entry.xlsx]Book'!A520</f>
        <v/>
      </c>
      <c r="B520" s="2">
        <f>'[01_Entry.xlsx]Book'!B520</f>
        <v/>
      </c>
      <c r="C520" s="2">
        <f>'[01_Entry.xlsx]Book'!D520</f>
        <v/>
      </c>
      <c r="D520" s="2">
        <f>'[01_Entry.xlsx]Book'!E520</f>
        <v/>
      </c>
      <c r="E520" s="2">
        <f>'[01_Entry.xlsx]Book'!O520</f>
        <v/>
      </c>
      <c r="F520" s="2">
        <f>'[01_Entry.xlsx]Book'!N520</f>
        <v/>
      </c>
      <c r="G520" s="3">
        <f>'[01_Entry.xlsx]Book'!L520</f>
        <v/>
      </c>
      <c r="H520" s="3">
        <f>'[01_Entry.xlsx]Book'!M520</f>
        <v/>
      </c>
      <c r="I520" s="3">
        <f>'[01_Entry.xlsx]Book'!K520</f>
        <v/>
      </c>
      <c r="J520" s="3">
        <f>'[01_Entry.xlsx]Book'!P520</f>
        <v/>
      </c>
      <c r="K520" s="3">
        <f>'[01_Entry.xlsx]Book'!F520</f>
        <v/>
      </c>
      <c r="L520" s="3">
        <f>'[01_Entry.xlsx]Book'!G520</f>
        <v/>
      </c>
      <c r="M520" s="3">
        <f>'[01_Entry.xlsx]Book'!I520</f>
        <v/>
      </c>
      <c r="N520" s="2">
        <f>IF($A520="","",MID($A520,6,2))</f>
        <v>0</v>
      </c>
      <c r="O520" s="2">
        <f>IF(OR($C520="",$C520&lt;&gt;'Inv'!$D$12),"",N(O$519)+1)</f>
        <v>0</v>
      </c>
    </row>
    <row r="521" spans="1:15">
      <c r="A521" s="2">
        <f>'[01_Entry.xlsx]Book'!A521</f>
        <v/>
      </c>
      <c r="B521" s="2">
        <f>'[01_Entry.xlsx]Book'!B521</f>
        <v/>
      </c>
      <c r="C521" s="2">
        <f>'[01_Entry.xlsx]Book'!D521</f>
        <v/>
      </c>
      <c r="D521" s="2">
        <f>'[01_Entry.xlsx]Book'!E521</f>
        <v/>
      </c>
      <c r="E521" s="2">
        <f>'[01_Entry.xlsx]Book'!O521</f>
        <v/>
      </c>
      <c r="F521" s="2">
        <f>'[01_Entry.xlsx]Book'!N521</f>
        <v/>
      </c>
      <c r="G521" s="3">
        <f>'[01_Entry.xlsx]Book'!L521</f>
        <v/>
      </c>
      <c r="H521" s="3">
        <f>'[01_Entry.xlsx]Book'!M521</f>
        <v/>
      </c>
      <c r="I521" s="3">
        <f>'[01_Entry.xlsx]Book'!K521</f>
        <v/>
      </c>
      <c r="J521" s="3">
        <f>'[01_Entry.xlsx]Book'!P521</f>
        <v/>
      </c>
      <c r="K521" s="3">
        <f>'[01_Entry.xlsx]Book'!F521</f>
        <v/>
      </c>
      <c r="L521" s="3">
        <f>'[01_Entry.xlsx]Book'!G521</f>
        <v/>
      </c>
      <c r="M521" s="3">
        <f>'[01_Entry.xlsx]Book'!I521</f>
        <v/>
      </c>
      <c r="N521" s="2">
        <f>IF($A521="","",MID($A521,6,2))</f>
        <v>0</v>
      </c>
      <c r="O521" s="2">
        <f>IF(OR($C521="",$C521&lt;&gt;'Inv'!$D$12),"",N(O$520)+1)</f>
        <v>0</v>
      </c>
    </row>
    <row r="522" spans="1:15">
      <c r="A522" s="2">
        <f>'[01_Entry.xlsx]Book'!A522</f>
        <v/>
      </c>
      <c r="B522" s="2">
        <f>'[01_Entry.xlsx]Book'!B522</f>
        <v/>
      </c>
      <c r="C522" s="2">
        <f>'[01_Entry.xlsx]Book'!D522</f>
        <v/>
      </c>
      <c r="D522" s="2">
        <f>'[01_Entry.xlsx]Book'!E522</f>
        <v/>
      </c>
      <c r="E522" s="2">
        <f>'[01_Entry.xlsx]Book'!O522</f>
        <v/>
      </c>
      <c r="F522" s="2">
        <f>'[01_Entry.xlsx]Book'!N522</f>
        <v/>
      </c>
      <c r="G522" s="3">
        <f>'[01_Entry.xlsx]Book'!L522</f>
        <v/>
      </c>
      <c r="H522" s="3">
        <f>'[01_Entry.xlsx]Book'!M522</f>
        <v/>
      </c>
      <c r="I522" s="3">
        <f>'[01_Entry.xlsx]Book'!K522</f>
        <v/>
      </c>
      <c r="J522" s="3">
        <f>'[01_Entry.xlsx]Book'!P522</f>
        <v/>
      </c>
      <c r="K522" s="3">
        <f>'[01_Entry.xlsx]Book'!F522</f>
        <v/>
      </c>
      <c r="L522" s="3">
        <f>'[01_Entry.xlsx]Book'!G522</f>
        <v/>
      </c>
      <c r="M522" s="3">
        <f>'[01_Entry.xlsx]Book'!I522</f>
        <v/>
      </c>
      <c r="N522" s="2">
        <f>IF($A522="","",MID($A522,6,2))</f>
        <v>0</v>
      </c>
      <c r="O522" s="2">
        <f>IF(OR($C522="",$C522&lt;&gt;'Inv'!$D$12),"",N(O$521)+1)</f>
        <v>0</v>
      </c>
    </row>
    <row r="523" spans="1:15">
      <c r="A523" s="2">
        <f>'[01_Entry.xlsx]Book'!A523</f>
        <v/>
      </c>
      <c r="B523" s="2">
        <f>'[01_Entry.xlsx]Book'!B523</f>
        <v/>
      </c>
      <c r="C523" s="2">
        <f>'[01_Entry.xlsx]Book'!D523</f>
        <v/>
      </c>
      <c r="D523" s="2">
        <f>'[01_Entry.xlsx]Book'!E523</f>
        <v/>
      </c>
      <c r="E523" s="2">
        <f>'[01_Entry.xlsx]Book'!O523</f>
        <v/>
      </c>
      <c r="F523" s="2">
        <f>'[01_Entry.xlsx]Book'!N523</f>
        <v/>
      </c>
      <c r="G523" s="3">
        <f>'[01_Entry.xlsx]Book'!L523</f>
        <v/>
      </c>
      <c r="H523" s="3">
        <f>'[01_Entry.xlsx]Book'!M523</f>
        <v/>
      </c>
      <c r="I523" s="3">
        <f>'[01_Entry.xlsx]Book'!K523</f>
        <v/>
      </c>
      <c r="J523" s="3">
        <f>'[01_Entry.xlsx]Book'!P523</f>
        <v/>
      </c>
      <c r="K523" s="3">
        <f>'[01_Entry.xlsx]Book'!F523</f>
        <v/>
      </c>
      <c r="L523" s="3">
        <f>'[01_Entry.xlsx]Book'!G523</f>
        <v/>
      </c>
      <c r="M523" s="3">
        <f>'[01_Entry.xlsx]Book'!I523</f>
        <v/>
      </c>
      <c r="N523" s="2">
        <f>IF($A523="","",MID($A523,6,2))</f>
        <v>0</v>
      </c>
      <c r="O523" s="2">
        <f>IF(OR($C523="",$C523&lt;&gt;'Inv'!$D$12),"",N(O$522)+1)</f>
        <v>0</v>
      </c>
    </row>
    <row r="524" spans="1:15">
      <c r="A524" s="2">
        <f>'[01_Entry.xlsx]Book'!A524</f>
        <v/>
      </c>
      <c r="B524" s="2">
        <f>'[01_Entry.xlsx]Book'!B524</f>
        <v/>
      </c>
      <c r="C524" s="2">
        <f>'[01_Entry.xlsx]Book'!D524</f>
        <v/>
      </c>
      <c r="D524" s="2">
        <f>'[01_Entry.xlsx]Book'!E524</f>
        <v/>
      </c>
      <c r="E524" s="2">
        <f>'[01_Entry.xlsx]Book'!O524</f>
        <v/>
      </c>
      <c r="F524" s="2">
        <f>'[01_Entry.xlsx]Book'!N524</f>
        <v/>
      </c>
      <c r="G524" s="3">
        <f>'[01_Entry.xlsx]Book'!L524</f>
        <v/>
      </c>
      <c r="H524" s="3">
        <f>'[01_Entry.xlsx]Book'!M524</f>
        <v/>
      </c>
      <c r="I524" s="3">
        <f>'[01_Entry.xlsx]Book'!K524</f>
        <v/>
      </c>
      <c r="J524" s="3">
        <f>'[01_Entry.xlsx]Book'!P524</f>
        <v/>
      </c>
      <c r="K524" s="3">
        <f>'[01_Entry.xlsx]Book'!F524</f>
        <v/>
      </c>
      <c r="L524" s="3">
        <f>'[01_Entry.xlsx]Book'!G524</f>
        <v/>
      </c>
      <c r="M524" s="3">
        <f>'[01_Entry.xlsx]Book'!I524</f>
        <v/>
      </c>
      <c r="N524" s="2">
        <f>IF($A524="","",MID($A524,6,2))</f>
        <v>0</v>
      </c>
      <c r="O524" s="2">
        <f>IF(OR($C524="",$C524&lt;&gt;'Inv'!$D$12),"",N(O$523)+1)</f>
        <v>0</v>
      </c>
    </row>
    <row r="525" spans="1:15">
      <c r="A525" s="2">
        <f>'[01_Entry.xlsx]Book'!A525</f>
        <v/>
      </c>
      <c r="B525" s="2">
        <f>'[01_Entry.xlsx]Book'!B525</f>
        <v/>
      </c>
      <c r="C525" s="2">
        <f>'[01_Entry.xlsx]Book'!D525</f>
        <v/>
      </c>
      <c r="D525" s="2">
        <f>'[01_Entry.xlsx]Book'!E525</f>
        <v/>
      </c>
      <c r="E525" s="2">
        <f>'[01_Entry.xlsx]Book'!O525</f>
        <v/>
      </c>
      <c r="F525" s="2">
        <f>'[01_Entry.xlsx]Book'!N525</f>
        <v/>
      </c>
      <c r="G525" s="3">
        <f>'[01_Entry.xlsx]Book'!L525</f>
        <v/>
      </c>
      <c r="H525" s="3">
        <f>'[01_Entry.xlsx]Book'!M525</f>
        <v/>
      </c>
      <c r="I525" s="3">
        <f>'[01_Entry.xlsx]Book'!K525</f>
        <v/>
      </c>
      <c r="J525" s="3">
        <f>'[01_Entry.xlsx]Book'!P525</f>
        <v/>
      </c>
      <c r="K525" s="3">
        <f>'[01_Entry.xlsx]Book'!F525</f>
        <v/>
      </c>
      <c r="L525" s="3">
        <f>'[01_Entry.xlsx]Book'!G525</f>
        <v/>
      </c>
      <c r="M525" s="3">
        <f>'[01_Entry.xlsx]Book'!I525</f>
        <v/>
      </c>
      <c r="N525" s="2">
        <f>IF($A525="","",MID($A525,6,2))</f>
        <v>0</v>
      </c>
      <c r="O525" s="2">
        <f>IF(OR($C525="",$C525&lt;&gt;'Inv'!$D$12),"",N(O$524)+1)</f>
        <v>0</v>
      </c>
    </row>
    <row r="526" spans="1:15">
      <c r="A526" s="2">
        <f>'[01_Entry.xlsx]Book'!A526</f>
        <v/>
      </c>
      <c r="B526" s="2">
        <f>'[01_Entry.xlsx]Book'!B526</f>
        <v/>
      </c>
      <c r="C526" s="2">
        <f>'[01_Entry.xlsx]Book'!D526</f>
        <v/>
      </c>
      <c r="D526" s="2">
        <f>'[01_Entry.xlsx]Book'!E526</f>
        <v/>
      </c>
      <c r="E526" s="2">
        <f>'[01_Entry.xlsx]Book'!O526</f>
        <v/>
      </c>
      <c r="F526" s="2">
        <f>'[01_Entry.xlsx]Book'!N526</f>
        <v/>
      </c>
      <c r="G526" s="3">
        <f>'[01_Entry.xlsx]Book'!L526</f>
        <v/>
      </c>
      <c r="H526" s="3">
        <f>'[01_Entry.xlsx]Book'!M526</f>
        <v/>
      </c>
      <c r="I526" s="3">
        <f>'[01_Entry.xlsx]Book'!K526</f>
        <v/>
      </c>
      <c r="J526" s="3">
        <f>'[01_Entry.xlsx]Book'!P526</f>
        <v/>
      </c>
      <c r="K526" s="3">
        <f>'[01_Entry.xlsx]Book'!F526</f>
        <v/>
      </c>
      <c r="L526" s="3">
        <f>'[01_Entry.xlsx]Book'!G526</f>
        <v/>
      </c>
      <c r="M526" s="3">
        <f>'[01_Entry.xlsx]Book'!I526</f>
        <v/>
      </c>
      <c r="N526" s="2">
        <f>IF($A526="","",MID($A526,6,2))</f>
        <v>0</v>
      </c>
      <c r="O526" s="2">
        <f>IF(OR($C526="",$C526&lt;&gt;'Inv'!$D$12),"",N(O$525)+1)</f>
        <v>0</v>
      </c>
    </row>
    <row r="527" spans="1:15">
      <c r="A527" s="2">
        <f>'[01_Entry.xlsx]Book'!A527</f>
        <v/>
      </c>
      <c r="B527" s="2">
        <f>'[01_Entry.xlsx]Book'!B527</f>
        <v/>
      </c>
      <c r="C527" s="2">
        <f>'[01_Entry.xlsx]Book'!D527</f>
        <v/>
      </c>
      <c r="D527" s="2">
        <f>'[01_Entry.xlsx]Book'!E527</f>
        <v/>
      </c>
      <c r="E527" s="2">
        <f>'[01_Entry.xlsx]Book'!O527</f>
        <v/>
      </c>
      <c r="F527" s="2">
        <f>'[01_Entry.xlsx]Book'!N527</f>
        <v/>
      </c>
      <c r="G527" s="3">
        <f>'[01_Entry.xlsx]Book'!L527</f>
        <v/>
      </c>
      <c r="H527" s="3">
        <f>'[01_Entry.xlsx]Book'!M527</f>
        <v/>
      </c>
      <c r="I527" s="3">
        <f>'[01_Entry.xlsx]Book'!K527</f>
        <v/>
      </c>
      <c r="J527" s="3">
        <f>'[01_Entry.xlsx]Book'!P527</f>
        <v/>
      </c>
      <c r="K527" s="3">
        <f>'[01_Entry.xlsx]Book'!F527</f>
        <v/>
      </c>
      <c r="L527" s="3">
        <f>'[01_Entry.xlsx]Book'!G527</f>
        <v/>
      </c>
      <c r="M527" s="3">
        <f>'[01_Entry.xlsx]Book'!I527</f>
        <v/>
      </c>
      <c r="N527" s="2">
        <f>IF($A527="","",MID($A527,6,2))</f>
        <v>0</v>
      </c>
      <c r="O527" s="2">
        <f>IF(OR($C527="",$C527&lt;&gt;'Inv'!$D$12),"",N(O$526)+1)</f>
        <v>0</v>
      </c>
    </row>
    <row r="528" spans="1:15">
      <c r="A528" s="2">
        <f>'[01_Entry.xlsx]Book'!A528</f>
        <v/>
      </c>
      <c r="B528" s="2">
        <f>'[01_Entry.xlsx]Book'!B528</f>
        <v/>
      </c>
      <c r="C528" s="2">
        <f>'[01_Entry.xlsx]Book'!D528</f>
        <v/>
      </c>
      <c r="D528" s="2">
        <f>'[01_Entry.xlsx]Book'!E528</f>
        <v/>
      </c>
      <c r="E528" s="2">
        <f>'[01_Entry.xlsx]Book'!O528</f>
        <v/>
      </c>
      <c r="F528" s="2">
        <f>'[01_Entry.xlsx]Book'!N528</f>
        <v/>
      </c>
      <c r="G528" s="3">
        <f>'[01_Entry.xlsx]Book'!L528</f>
        <v/>
      </c>
      <c r="H528" s="3">
        <f>'[01_Entry.xlsx]Book'!M528</f>
        <v/>
      </c>
      <c r="I528" s="3">
        <f>'[01_Entry.xlsx]Book'!K528</f>
        <v/>
      </c>
      <c r="J528" s="3">
        <f>'[01_Entry.xlsx]Book'!P528</f>
        <v/>
      </c>
      <c r="K528" s="3">
        <f>'[01_Entry.xlsx]Book'!F528</f>
        <v/>
      </c>
      <c r="L528" s="3">
        <f>'[01_Entry.xlsx]Book'!G528</f>
        <v/>
      </c>
      <c r="M528" s="3">
        <f>'[01_Entry.xlsx]Book'!I528</f>
        <v/>
      </c>
      <c r="N528" s="2">
        <f>IF($A528="","",MID($A528,6,2))</f>
        <v>0</v>
      </c>
      <c r="O528" s="2">
        <f>IF(OR($C528="",$C528&lt;&gt;'Inv'!$D$12),"",N(O$527)+1)</f>
        <v>0</v>
      </c>
    </row>
    <row r="529" spans="1:15">
      <c r="A529" s="2">
        <f>'[01_Entry.xlsx]Book'!A529</f>
        <v/>
      </c>
      <c r="B529" s="2">
        <f>'[01_Entry.xlsx]Book'!B529</f>
        <v/>
      </c>
      <c r="C529" s="2">
        <f>'[01_Entry.xlsx]Book'!D529</f>
        <v/>
      </c>
      <c r="D529" s="2">
        <f>'[01_Entry.xlsx]Book'!E529</f>
        <v/>
      </c>
      <c r="E529" s="2">
        <f>'[01_Entry.xlsx]Book'!O529</f>
        <v/>
      </c>
      <c r="F529" s="2">
        <f>'[01_Entry.xlsx]Book'!N529</f>
        <v/>
      </c>
      <c r="G529" s="3">
        <f>'[01_Entry.xlsx]Book'!L529</f>
        <v/>
      </c>
      <c r="H529" s="3">
        <f>'[01_Entry.xlsx]Book'!M529</f>
        <v/>
      </c>
      <c r="I529" s="3">
        <f>'[01_Entry.xlsx]Book'!K529</f>
        <v/>
      </c>
      <c r="J529" s="3">
        <f>'[01_Entry.xlsx]Book'!P529</f>
        <v/>
      </c>
      <c r="K529" s="3">
        <f>'[01_Entry.xlsx]Book'!F529</f>
        <v/>
      </c>
      <c r="L529" s="3">
        <f>'[01_Entry.xlsx]Book'!G529</f>
        <v/>
      </c>
      <c r="M529" s="3">
        <f>'[01_Entry.xlsx]Book'!I529</f>
        <v/>
      </c>
      <c r="N529" s="2">
        <f>IF($A529="","",MID($A529,6,2))</f>
        <v>0</v>
      </c>
      <c r="O529" s="2">
        <f>IF(OR($C529="",$C529&lt;&gt;'Inv'!$D$12),"",N(O$528)+1)</f>
        <v>0</v>
      </c>
    </row>
    <row r="530" spans="1:15">
      <c r="A530" s="2">
        <f>'[01_Entry.xlsx]Book'!A530</f>
        <v/>
      </c>
      <c r="B530" s="2">
        <f>'[01_Entry.xlsx]Book'!B530</f>
        <v/>
      </c>
      <c r="C530" s="2">
        <f>'[01_Entry.xlsx]Book'!D530</f>
        <v/>
      </c>
      <c r="D530" s="2">
        <f>'[01_Entry.xlsx]Book'!E530</f>
        <v/>
      </c>
      <c r="E530" s="2">
        <f>'[01_Entry.xlsx]Book'!O530</f>
        <v/>
      </c>
      <c r="F530" s="2">
        <f>'[01_Entry.xlsx]Book'!N530</f>
        <v/>
      </c>
      <c r="G530" s="3">
        <f>'[01_Entry.xlsx]Book'!L530</f>
        <v/>
      </c>
      <c r="H530" s="3">
        <f>'[01_Entry.xlsx]Book'!M530</f>
        <v/>
      </c>
      <c r="I530" s="3">
        <f>'[01_Entry.xlsx]Book'!K530</f>
        <v/>
      </c>
      <c r="J530" s="3">
        <f>'[01_Entry.xlsx]Book'!P530</f>
        <v/>
      </c>
      <c r="K530" s="3">
        <f>'[01_Entry.xlsx]Book'!F530</f>
        <v/>
      </c>
      <c r="L530" s="3">
        <f>'[01_Entry.xlsx]Book'!G530</f>
        <v/>
      </c>
      <c r="M530" s="3">
        <f>'[01_Entry.xlsx]Book'!I530</f>
        <v/>
      </c>
      <c r="N530" s="2">
        <f>IF($A530="","",MID($A530,6,2))</f>
        <v>0</v>
      </c>
      <c r="O530" s="2">
        <f>IF(OR($C530="",$C530&lt;&gt;'Inv'!$D$12),"",N(O$529)+1)</f>
        <v>0</v>
      </c>
    </row>
    <row r="531" spans="1:15">
      <c r="A531" s="2">
        <f>'[01_Entry.xlsx]Book'!A531</f>
        <v/>
      </c>
      <c r="B531" s="2">
        <f>'[01_Entry.xlsx]Book'!B531</f>
        <v/>
      </c>
      <c r="C531" s="2">
        <f>'[01_Entry.xlsx]Book'!D531</f>
        <v/>
      </c>
      <c r="D531" s="2">
        <f>'[01_Entry.xlsx]Book'!E531</f>
        <v/>
      </c>
      <c r="E531" s="2">
        <f>'[01_Entry.xlsx]Book'!O531</f>
        <v/>
      </c>
      <c r="F531" s="2">
        <f>'[01_Entry.xlsx]Book'!N531</f>
        <v/>
      </c>
      <c r="G531" s="3">
        <f>'[01_Entry.xlsx]Book'!L531</f>
        <v/>
      </c>
      <c r="H531" s="3">
        <f>'[01_Entry.xlsx]Book'!M531</f>
        <v/>
      </c>
      <c r="I531" s="3">
        <f>'[01_Entry.xlsx]Book'!K531</f>
        <v/>
      </c>
      <c r="J531" s="3">
        <f>'[01_Entry.xlsx]Book'!P531</f>
        <v/>
      </c>
      <c r="K531" s="3">
        <f>'[01_Entry.xlsx]Book'!F531</f>
        <v/>
      </c>
      <c r="L531" s="3">
        <f>'[01_Entry.xlsx]Book'!G531</f>
        <v/>
      </c>
      <c r="M531" s="3">
        <f>'[01_Entry.xlsx]Book'!I531</f>
        <v/>
      </c>
      <c r="N531" s="2">
        <f>IF($A531="","",MID($A531,6,2))</f>
        <v>0</v>
      </c>
      <c r="O531" s="2">
        <f>IF(OR($C531="",$C531&lt;&gt;'Inv'!$D$12),"",N(O$530)+1)</f>
        <v>0</v>
      </c>
    </row>
    <row r="532" spans="1:15">
      <c r="A532" s="2">
        <f>'[01_Entry.xlsx]Book'!A532</f>
        <v/>
      </c>
      <c r="B532" s="2">
        <f>'[01_Entry.xlsx]Book'!B532</f>
        <v/>
      </c>
      <c r="C532" s="2">
        <f>'[01_Entry.xlsx]Book'!D532</f>
        <v/>
      </c>
      <c r="D532" s="2">
        <f>'[01_Entry.xlsx]Book'!E532</f>
        <v/>
      </c>
      <c r="E532" s="2">
        <f>'[01_Entry.xlsx]Book'!O532</f>
        <v/>
      </c>
      <c r="F532" s="2">
        <f>'[01_Entry.xlsx]Book'!N532</f>
        <v/>
      </c>
      <c r="G532" s="3">
        <f>'[01_Entry.xlsx]Book'!L532</f>
        <v/>
      </c>
      <c r="H532" s="3">
        <f>'[01_Entry.xlsx]Book'!M532</f>
        <v/>
      </c>
      <c r="I532" s="3">
        <f>'[01_Entry.xlsx]Book'!K532</f>
        <v/>
      </c>
      <c r="J532" s="3">
        <f>'[01_Entry.xlsx]Book'!P532</f>
        <v/>
      </c>
      <c r="K532" s="3">
        <f>'[01_Entry.xlsx]Book'!F532</f>
        <v/>
      </c>
      <c r="L532" s="3">
        <f>'[01_Entry.xlsx]Book'!G532</f>
        <v/>
      </c>
      <c r="M532" s="3">
        <f>'[01_Entry.xlsx]Book'!I532</f>
        <v/>
      </c>
      <c r="N532" s="2">
        <f>IF($A532="","",MID($A532,6,2))</f>
        <v>0</v>
      </c>
      <c r="O532" s="2">
        <f>IF(OR($C532="",$C532&lt;&gt;'Inv'!$D$12),"",N(O$531)+1)</f>
        <v>0</v>
      </c>
    </row>
    <row r="533" spans="1:15">
      <c r="A533" s="2">
        <f>'[01_Entry.xlsx]Book'!A533</f>
        <v/>
      </c>
      <c r="B533" s="2">
        <f>'[01_Entry.xlsx]Book'!B533</f>
        <v/>
      </c>
      <c r="C533" s="2">
        <f>'[01_Entry.xlsx]Book'!D533</f>
        <v/>
      </c>
      <c r="D533" s="2">
        <f>'[01_Entry.xlsx]Book'!E533</f>
        <v/>
      </c>
      <c r="E533" s="2">
        <f>'[01_Entry.xlsx]Book'!O533</f>
        <v/>
      </c>
      <c r="F533" s="2">
        <f>'[01_Entry.xlsx]Book'!N533</f>
        <v/>
      </c>
      <c r="G533" s="3">
        <f>'[01_Entry.xlsx]Book'!L533</f>
        <v/>
      </c>
      <c r="H533" s="3">
        <f>'[01_Entry.xlsx]Book'!M533</f>
        <v/>
      </c>
      <c r="I533" s="3">
        <f>'[01_Entry.xlsx]Book'!K533</f>
        <v/>
      </c>
      <c r="J533" s="3">
        <f>'[01_Entry.xlsx]Book'!P533</f>
        <v/>
      </c>
      <c r="K533" s="3">
        <f>'[01_Entry.xlsx]Book'!F533</f>
        <v/>
      </c>
      <c r="L533" s="3">
        <f>'[01_Entry.xlsx]Book'!G533</f>
        <v/>
      </c>
      <c r="M533" s="3">
        <f>'[01_Entry.xlsx]Book'!I533</f>
        <v/>
      </c>
      <c r="N533" s="2">
        <f>IF($A533="","",MID($A533,6,2))</f>
        <v>0</v>
      </c>
      <c r="O533" s="2">
        <f>IF(OR($C533="",$C533&lt;&gt;'Inv'!$D$12),"",N(O$532)+1)</f>
        <v>0</v>
      </c>
    </row>
    <row r="534" spans="1:15">
      <c r="A534" s="2">
        <f>'[01_Entry.xlsx]Book'!A534</f>
        <v/>
      </c>
      <c r="B534" s="2">
        <f>'[01_Entry.xlsx]Book'!B534</f>
        <v/>
      </c>
      <c r="C534" s="2">
        <f>'[01_Entry.xlsx]Book'!D534</f>
        <v/>
      </c>
      <c r="D534" s="2">
        <f>'[01_Entry.xlsx]Book'!E534</f>
        <v/>
      </c>
      <c r="E534" s="2">
        <f>'[01_Entry.xlsx]Book'!O534</f>
        <v/>
      </c>
      <c r="F534" s="2">
        <f>'[01_Entry.xlsx]Book'!N534</f>
        <v/>
      </c>
      <c r="G534" s="3">
        <f>'[01_Entry.xlsx]Book'!L534</f>
        <v/>
      </c>
      <c r="H534" s="3">
        <f>'[01_Entry.xlsx]Book'!M534</f>
        <v/>
      </c>
      <c r="I534" s="3">
        <f>'[01_Entry.xlsx]Book'!K534</f>
        <v/>
      </c>
      <c r="J534" s="3">
        <f>'[01_Entry.xlsx]Book'!P534</f>
        <v/>
      </c>
      <c r="K534" s="3">
        <f>'[01_Entry.xlsx]Book'!F534</f>
        <v/>
      </c>
      <c r="L534" s="3">
        <f>'[01_Entry.xlsx]Book'!G534</f>
        <v/>
      </c>
      <c r="M534" s="3">
        <f>'[01_Entry.xlsx]Book'!I534</f>
        <v/>
      </c>
      <c r="N534" s="2">
        <f>IF($A534="","",MID($A534,6,2))</f>
        <v>0</v>
      </c>
      <c r="O534" s="2">
        <f>IF(OR($C534="",$C534&lt;&gt;'Inv'!$D$12),"",N(O$533)+1)</f>
        <v>0</v>
      </c>
    </row>
    <row r="535" spans="1:15">
      <c r="A535" s="2">
        <f>'[01_Entry.xlsx]Book'!A535</f>
        <v/>
      </c>
      <c r="B535" s="2">
        <f>'[01_Entry.xlsx]Book'!B535</f>
        <v/>
      </c>
      <c r="C535" s="2">
        <f>'[01_Entry.xlsx]Book'!D535</f>
        <v/>
      </c>
      <c r="D535" s="2">
        <f>'[01_Entry.xlsx]Book'!E535</f>
        <v/>
      </c>
      <c r="E535" s="2">
        <f>'[01_Entry.xlsx]Book'!O535</f>
        <v/>
      </c>
      <c r="F535" s="2">
        <f>'[01_Entry.xlsx]Book'!N535</f>
        <v/>
      </c>
      <c r="G535" s="3">
        <f>'[01_Entry.xlsx]Book'!L535</f>
        <v/>
      </c>
      <c r="H535" s="3">
        <f>'[01_Entry.xlsx]Book'!M535</f>
        <v/>
      </c>
      <c r="I535" s="3">
        <f>'[01_Entry.xlsx]Book'!K535</f>
        <v/>
      </c>
      <c r="J535" s="3">
        <f>'[01_Entry.xlsx]Book'!P535</f>
        <v/>
      </c>
      <c r="K535" s="3">
        <f>'[01_Entry.xlsx]Book'!F535</f>
        <v/>
      </c>
      <c r="L535" s="3">
        <f>'[01_Entry.xlsx]Book'!G535</f>
        <v/>
      </c>
      <c r="M535" s="3">
        <f>'[01_Entry.xlsx]Book'!I535</f>
        <v/>
      </c>
      <c r="N535" s="2">
        <f>IF($A535="","",MID($A535,6,2))</f>
        <v>0</v>
      </c>
      <c r="O535" s="2">
        <f>IF(OR($C535="",$C535&lt;&gt;'Inv'!$D$12),"",N(O$534)+1)</f>
        <v>0</v>
      </c>
    </row>
    <row r="536" spans="1:15">
      <c r="A536" s="2">
        <f>'[01_Entry.xlsx]Book'!A536</f>
        <v/>
      </c>
      <c r="B536" s="2">
        <f>'[01_Entry.xlsx]Book'!B536</f>
        <v/>
      </c>
      <c r="C536" s="2">
        <f>'[01_Entry.xlsx]Book'!D536</f>
        <v/>
      </c>
      <c r="D536" s="2">
        <f>'[01_Entry.xlsx]Book'!E536</f>
        <v/>
      </c>
      <c r="E536" s="2">
        <f>'[01_Entry.xlsx]Book'!O536</f>
        <v/>
      </c>
      <c r="F536" s="2">
        <f>'[01_Entry.xlsx]Book'!N536</f>
        <v/>
      </c>
      <c r="G536" s="3">
        <f>'[01_Entry.xlsx]Book'!L536</f>
        <v/>
      </c>
      <c r="H536" s="3">
        <f>'[01_Entry.xlsx]Book'!M536</f>
        <v/>
      </c>
      <c r="I536" s="3">
        <f>'[01_Entry.xlsx]Book'!K536</f>
        <v/>
      </c>
      <c r="J536" s="3">
        <f>'[01_Entry.xlsx]Book'!P536</f>
        <v/>
      </c>
      <c r="K536" s="3">
        <f>'[01_Entry.xlsx]Book'!F536</f>
        <v/>
      </c>
      <c r="L536" s="3">
        <f>'[01_Entry.xlsx]Book'!G536</f>
        <v/>
      </c>
      <c r="M536" s="3">
        <f>'[01_Entry.xlsx]Book'!I536</f>
        <v/>
      </c>
      <c r="N536" s="2">
        <f>IF($A536="","",MID($A536,6,2))</f>
        <v>0</v>
      </c>
      <c r="O536" s="2">
        <f>IF(OR($C536="",$C536&lt;&gt;'Inv'!$D$12),"",N(O$535)+1)</f>
        <v>0</v>
      </c>
    </row>
    <row r="537" spans="1:15">
      <c r="A537" s="2">
        <f>'[01_Entry.xlsx]Book'!A537</f>
        <v/>
      </c>
      <c r="B537" s="2">
        <f>'[01_Entry.xlsx]Book'!B537</f>
        <v/>
      </c>
      <c r="C537" s="2">
        <f>'[01_Entry.xlsx]Book'!D537</f>
        <v/>
      </c>
      <c r="D537" s="2">
        <f>'[01_Entry.xlsx]Book'!E537</f>
        <v/>
      </c>
      <c r="E537" s="2">
        <f>'[01_Entry.xlsx]Book'!O537</f>
        <v/>
      </c>
      <c r="F537" s="2">
        <f>'[01_Entry.xlsx]Book'!N537</f>
        <v/>
      </c>
      <c r="G537" s="3">
        <f>'[01_Entry.xlsx]Book'!L537</f>
        <v/>
      </c>
      <c r="H537" s="3">
        <f>'[01_Entry.xlsx]Book'!M537</f>
        <v/>
      </c>
      <c r="I537" s="3">
        <f>'[01_Entry.xlsx]Book'!K537</f>
        <v/>
      </c>
      <c r="J537" s="3">
        <f>'[01_Entry.xlsx]Book'!P537</f>
        <v/>
      </c>
      <c r="K537" s="3">
        <f>'[01_Entry.xlsx]Book'!F537</f>
        <v/>
      </c>
      <c r="L537" s="3">
        <f>'[01_Entry.xlsx]Book'!G537</f>
        <v/>
      </c>
      <c r="M537" s="3">
        <f>'[01_Entry.xlsx]Book'!I537</f>
        <v/>
      </c>
      <c r="N537" s="2">
        <f>IF($A537="","",MID($A537,6,2))</f>
        <v>0</v>
      </c>
      <c r="O537" s="2">
        <f>IF(OR($C537="",$C537&lt;&gt;'Inv'!$D$12),"",N(O$536)+1)</f>
        <v>0</v>
      </c>
    </row>
    <row r="538" spans="1:15">
      <c r="A538" s="2">
        <f>'[01_Entry.xlsx]Book'!A538</f>
        <v/>
      </c>
      <c r="B538" s="2">
        <f>'[01_Entry.xlsx]Book'!B538</f>
        <v/>
      </c>
      <c r="C538" s="2">
        <f>'[01_Entry.xlsx]Book'!D538</f>
        <v/>
      </c>
      <c r="D538" s="2">
        <f>'[01_Entry.xlsx]Book'!E538</f>
        <v/>
      </c>
      <c r="E538" s="2">
        <f>'[01_Entry.xlsx]Book'!O538</f>
        <v/>
      </c>
      <c r="F538" s="2">
        <f>'[01_Entry.xlsx]Book'!N538</f>
        <v/>
      </c>
      <c r="G538" s="3">
        <f>'[01_Entry.xlsx]Book'!L538</f>
        <v/>
      </c>
      <c r="H538" s="3">
        <f>'[01_Entry.xlsx]Book'!M538</f>
        <v/>
      </c>
      <c r="I538" s="3">
        <f>'[01_Entry.xlsx]Book'!K538</f>
        <v/>
      </c>
      <c r="J538" s="3">
        <f>'[01_Entry.xlsx]Book'!P538</f>
        <v/>
      </c>
      <c r="K538" s="3">
        <f>'[01_Entry.xlsx]Book'!F538</f>
        <v/>
      </c>
      <c r="L538" s="3">
        <f>'[01_Entry.xlsx]Book'!G538</f>
        <v/>
      </c>
      <c r="M538" s="3">
        <f>'[01_Entry.xlsx]Book'!I538</f>
        <v/>
      </c>
      <c r="N538" s="2">
        <f>IF($A538="","",MID($A538,6,2))</f>
        <v>0</v>
      </c>
      <c r="O538" s="2">
        <f>IF(OR($C538="",$C538&lt;&gt;'Inv'!$D$12),"",N(O$537)+1)</f>
        <v>0</v>
      </c>
    </row>
    <row r="539" spans="1:15">
      <c r="A539" s="2">
        <f>'[01_Entry.xlsx]Book'!A539</f>
        <v/>
      </c>
      <c r="B539" s="2">
        <f>'[01_Entry.xlsx]Book'!B539</f>
        <v/>
      </c>
      <c r="C539" s="2">
        <f>'[01_Entry.xlsx]Book'!D539</f>
        <v/>
      </c>
      <c r="D539" s="2">
        <f>'[01_Entry.xlsx]Book'!E539</f>
        <v/>
      </c>
      <c r="E539" s="2">
        <f>'[01_Entry.xlsx]Book'!O539</f>
        <v/>
      </c>
      <c r="F539" s="2">
        <f>'[01_Entry.xlsx]Book'!N539</f>
        <v/>
      </c>
      <c r="G539" s="3">
        <f>'[01_Entry.xlsx]Book'!L539</f>
        <v/>
      </c>
      <c r="H539" s="3">
        <f>'[01_Entry.xlsx]Book'!M539</f>
        <v/>
      </c>
      <c r="I539" s="3">
        <f>'[01_Entry.xlsx]Book'!K539</f>
        <v/>
      </c>
      <c r="J539" s="3">
        <f>'[01_Entry.xlsx]Book'!P539</f>
        <v/>
      </c>
      <c r="K539" s="3">
        <f>'[01_Entry.xlsx]Book'!F539</f>
        <v/>
      </c>
      <c r="L539" s="3">
        <f>'[01_Entry.xlsx]Book'!G539</f>
        <v/>
      </c>
      <c r="M539" s="3">
        <f>'[01_Entry.xlsx]Book'!I539</f>
        <v/>
      </c>
      <c r="N539" s="2">
        <f>IF($A539="","",MID($A539,6,2))</f>
        <v>0</v>
      </c>
      <c r="O539" s="2">
        <f>IF(OR($C539="",$C539&lt;&gt;'Inv'!$D$12),"",N(O$538)+1)</f>
        <v>0</v>
      </c>
    </row>
    <row r="540" spans="1:15">
      <c r="A540" s="2">
        <f>'[01_Entry.xlsx]Book'!A540</f>
        <v/>
      </c>
      <c r="B540" s="2">
        <f>'[01_Entry.xlsx]Book'!B540</f>
        <v/>
      </c>
      <c r="C540" s="2">
        <f>'[01_Entry.xlsx]Book'!D540</f>
        <v/>
      </c>
      <c r="D540" s="2">
        <f>'[01_Entry.xlsx]Book'!E540</f>
        <v/>
      </c>
      <c r="E540" s="2">
        <f>'[01_Entry.xlsx]Book'!O540</f>
        <v/>
      </c>
      <c r="F540" s="2">
        <f>'[01_Entry.xlsx]Book'!N540</f>
        <v/>
      </c>
      <c r="G540" s="3">
        <f>'[01_Entry.xlsx]Book'!L540</f>
        <v/>
      </c>
      <c r="H540" s="3">
        <f>'[01_Entry.xlsx]Book'!M540</f>
        <v/>
      </c>
      <c r="I540" s="3">
        <f>'[01_Entry.xlsx]Book'!K540</f>
        <v/>
      </c>
      <c r="J540" s="3">
        <f>'[01_Entry.xlsx]Book'!P540</f>
        <v/>
      </c>
      <c r="K540" s="3">
        <f>'[01_Entry.xlsx]Book'!F540</f>
        <v/>
      </c>
      <c r="L540" s="3">
        <f>'[01_Entry.xlsx]Book'!G540</f>
        <v/>
      </c>
      <c r="M540" s="3">
        <f>'[01_Entry.xlsx]Book'!I540</f>
        <v/>
      </c>
      <c r="N540" s="2">
        <f>IF($A540="","",MID($A540,6,2))</f>
        <v>0</v>
      </c>
      <c r="O540" s="2">
        <f>IF(OR($C540="",$C540&lt;&gt;'Inv'!$D$12),"",N(O$539)+1)</f>
        <v>0</v>
      </c>
    </row>
    <row r="541" spans="1:15">
      <c r="A541" s="2">
        <f>'[01_Entry.xlsx]Book'!A541</f>
        <v/>
      </c>
      <c r="B541" s="2">
        <f>'[01_Entry.xlsx]Book'!B541</f>
        <v/>
      </c>
      <c r="C541" s="2">
        <f>'[01_Entry.xlsx]Book'!D541</f>
        <v/>
      </c>
      <c r="D541" s="2">
        <f>'[01_Entry.xlsx]Book'!E541</f>
        <v/>
      </c>
      <c r="E541" s="2">
        <f>'[01_Entry.xlsx]Book'!O541</f>
        <v/>
      </c>
      <c r="F541" s="2">
        <f>'[01_Entry.xlsx]Book'!N541</f>
        <v/>
      </c>
      <c r="G541" s="3">
        <f>'[01_Entry.xlsx]Book'!L541</f>
        <v/>
      </c>
      <c r="H541" s="3">
        <f>'[01_Entry.xlsx]Book'!M541</f>
        <v/>
      </c>
      <c r="I541" s="3">
        <f>'[01_Entry.xlsx]Book'!K541</f>
        <v/>
      </c>
      <c r="J541" s="3">
        <f>'[01_Entry.xlsx]Book'!P541</f>
        <v/>
      </c>
      <c r="K541" s="3">
        <f>'[01_Entry.xlsx]Book'!F541</f>
        <v/>
      </c>
      <c r="L541" s="3">
        <f>'[01_Entry.xlsx]Book'!G541</f>
        <v/>
      </c>
      <c r="M541" s="3">
        <f>'[01_Entry.xlsx]Book'!I541</f>
        <v/>
      </c>
      <c r="N541" s="2">
        <f>IF($A541="","",MID($A541,6,2))</f>
        <v>0</v>
      </c>
      <c r="O541" s="2">
        <f>IF(OR($C541="",$C541&lt;&gt;'Inv'!$D$12),"",N(O$540)+1)</f>
        <v>0</v>
      </c>
    </row>
    <row r="542" spans="1:15">
      <c r="A542" s="2">
        <f>'[01_Entry.xlsx]Book'!A542</f>
        <v/>
      </c>
      <c r="B542" s="2">
        <f>'[01_Entry.xlsx]Book'!B542</f>
        <v/>
      </c>
      <c r="C542" s="2">
        <f>'[01_Entry.xlsx]Book'!D542</f>
        <v/>
      </c>
      <c r="D542" s="2">
        <f>'[01_Entry.xlsx]Book'!E542</f>
        <v/>
      </c>
      <c r="E542" s="2">
        <f>'[01_Entry.xlsx]Book'!O542</f>
        <v/>
      </c>
      <c r="F542" s="2">
        <f>'[01_Entry.xlsx]Book'!N542</f>
        <v/>
      </c>
      <c r="G542" s="3">
        <f>'[01_Entry.xlsx]Book'!L542</f>
        <v/>
      </c>
      <c r="H542" s="3">
        <f>'[01_Entry.xlsx]Book'!M542</f>
        <v/>
      </c>
      <c r="I542" s="3">
        <f>'[01_Entry.xlsx]Book'!K542</f>
        <v/>
      </c>
      <c r="J542" s="3">
        <f>'[01_Entry.xlsx]Book'!P542</f>
        <v/>
      </c>
      <c r="K542" s="3">
        <f>'[01_Entry.xlsx]Book'!F542</f>
        <v/>
      </c>
      <c r="L542" s="3">
        <f>'[01_Entry.xlsx]Book'!G542</f>
        <v/>
      </c>
      <c r="M542" s="3">
        <f>'[01_Entry.xlsx]Book'!I542</f>
        <v/>
      </c>
      <c r="N542" s="2">
        <f>IF($A542="","",MID($A542,6,2))</f>
        <v>0</v>
      </c>
      <c r="O542" s="2">
        <f>IF(OR($C542="",$C542&lt;&gt;'Inv'!$D$12),"",N(O$541)+1)</f>
        <v>0</v>
      </c>
    </row>
    <row r="543" spans="1:15">
      <c r="A543" s="2">
        <f>'[01_Entry.xlsx]Book'!A543</f>
        <v/>
      </c>
      <c r="B543" s="2">
        <f>'[01_Entry.xlsx]Book'!B543</f>
        <v/>
      </c>
      <c r="C543" s="2">
        <f>'[01_Entry.xlsx]Book'!D543</f>
        <v/>
      </c>
      <c r="D543" s="2">
        <f>'[01_Entry.xlsx]Book'!E543</f>
        <v/>
      </c>
      <c r="E543" s="2">
        <f>'[01_Entry.xlsx]Book'!O543</f>
        <v/>
      </c>
      <c r="F543" s="2">
        <f>'[01_Entry.xlsx]Book'!N543</f>
        <v/>
      </c>
      <c r="G543" s="3">
        <f>'[01_Entry.xlsx]Book'!L543</f>
        <v/>
      </c>
      <c r="H543" s="3">
        <f>'[01_Entry.xlsx]Book'!M543</f>
        <v/>
      </c>
      <c r="I543" s="3">
        <f>'[01_Entry.xlsx]Book'!K543</f>
        <v/>
      </c>
      <c r="J543" s="3">
        <f>'[01_Entry.xlsx]Book'!P543</f>
        <v/>
      </c>
      <c r="K543" s="3">
        <f>'[01_Entry.xlsx]Book'!F543</f>
        <v/>
      </c>
      <c r="L543" s="3">
        <f>'[01_Entry.xlsx]Book'!G543</f>
        <v/>
      </c>
      <c r="M543" s="3">
        <f>'[01_Entry.xlsx]Book'!I543</f>
        <v/>
      </c>
      <c r="N543" s="2">
        <f>IF($A543="","",MID($A543,6,2))</f>
        <v>0</v>
      </c>
      <c r="O543" s="2">
        <f>IF(OR($C543="",$C543&lt;&gt;'Inv'!$D$12),"",N(O$542)+1)</f>
        <v>0</v>
      </c>
    </row>
    <row r="544" spans="1:15">
      <c r="A544" s="2">
        <f>'[01_Entry.xlsx]Book'!A544</f>
        <v/>
      </c>
      <c r="B544" s="2">
        <f>'[01_Entry.xlsx]Book'!B544</f>
        <v/>
      </c>
      <c r="C544" s="2">
        <f>'[01_Entry.xlsx]Book'!D544</f>
        <v/>
      </c>
      <c r="D544" s="2">
        <f>'[01_Entry.xlsx]Book'!E544</f>
        <v/>
      </c>
      <c r="E544" s="2">
        <f>'[01_Entry.xlsx]Book'!O544</f>
        <v/>
      </c>
      <c r="F544" s="2">
        <f>'[01_Entry.xlsx]Book'!N544</f>
        <v/>
      </c>
      <c r="G544" s="3">
        <f>'[01_Entry.xlsx]Book'!L544</f>
        <v/>
      </c>
      <c r="H544" s="3">
        <f>'[01_Entry.xlsx]Book'!M544</f>
        <v/>
      </c>
      <c r="I544" s="3">
        <f>'[01_Entry.xlsx]Book'!K544</f>
        <v/>
      </c>
      <c r="J544" s="3">
        <f>'[01_Entry.xlsx]Book'!P544</f>
        <v/>
      </c>
      <c r="K544" s="3">
        <f>'[01_Entry.xlsx]Book'!F544</f>
        <v/>
      </c>
      <c r="L544" s="3">
        <f>'[01_Entry.xlsx]Book'!G544</f>
        <v/>
      </c>
      <c r="M544" s="3">
        <f>'[01_Entry.xlsx]Book'!I544</f>
        <v/>
      </c>
      <c r="N544" s="2">
        <f>IF($A544="","",MID($A544,6,2))</f>
        <v>0</v>
      </c>
      <c r="O544" s="2">
        <f>IF(OR($C544="",$C544&lt;&gt;'Inv'!$D$12),"",N(O$543)+1)</f>
        <v>0</v>
      </c>
    </row>
    <row r="545" spans="1:15">
      <c r="A545" s="2">
        <f>'[01_Entry.xlsx]Book'!A545</f>
        <v/>
      </c>
      <c r="B545" s="2">
        <f>'[01_Entry.xlsx]Book'!B545</f>
        <v/>
      </c>
      <c r="C545" s="2">
        <f>'[01_Entry.xlsx]Book'!D545</f>
        <v/>
      </c>
      <c r="D545" s="2">
        <f>'[01_Entry.xlsx]Book'!E545</f>
        <v/>
      </c>
      <c r="E545" s="2">
        <f>'[01_Entry.xlsx]Book'!O545</f>
        <v/>
      </c>
      <c r="F545" s="2">
        <f>'[01_Entry.xlsx]Book'!N545</f>
        <v/>
      </c>
      <c r="G545" s="3">
        <f>'[01_Entry.xlsx]Book'!L545</f>
        <v/>
      </c>
      <c r="H545" s="3">
        <f>'[01_Entry.xlsx]Book'!M545</f>
        <v/>
      </c>
      <c r="I545" s="3">
        <f>'[01_Entry.xlsx]Book'!K545</f>
        <v/>
      </c>
      <c r="J545" s="3">
        <f>'[01_Entry.xlsx]Book'!P545</f>
        <v/>
      </c>
      <c r="K545" s="3">
        <f>'[01_Entry.xlsx]Book'!F545</f>
        <v/>
      </c>
      <c r="L545" s="3">
        <f>'[01_Entry.xlsx]Book'!G545</f>
        <v/>
      </c>
      <c r="M545" s="3">
        <f>'[01_Entry.xlsx]Book'!I545</f>
        <v/>
      </c>
      <c r="N545" s="2">
        <f>IF($A545="","",MID($A545,6,2))</f>
        <v>0</v>
      </c>
      <c r="O545" s="2">
        <f>IF(OR($C545="",$C545&lt;&gt;'Inv'!$D$12),"",N(O$544)+1)</f>
        <v>0</v>
      </c>
    </row>
    <row r="546" spans="1:15">
      <c r="A546" s="2">
        <f>'[01_Entry.xlsx]Book'!A546</f>
        <v/>
      </c>
      <c r="B546" s="2">
        <f>'[01_Entry.xlsx]Book'!B546</f>
        <v/>
      </c>
      <c r="C546" s="2">
        <f>'[01_Entry.xlsx]Book'!D546</f>
        <v/>
      </c>
      <c r="D546" s="2">
        <f>'[01_Entry.xlsx]Book'!E546</f>
        <v/>
      </c>
      <c r="E546" s="2">
        <f>'[01_Entry.xlsx]Book'!O546</f>
        <v/>
      </c>
      <c r="F546" s="2">
        <f>'[01_Entry.xlsx]Book'!N546</f>
        <v/>
      </c>
      <c r="G546" s="3">
        <f>'[01_Entry.xlsx]Book'!L546</f>
        <v/>
      </c>
      <c r="H546" s="3">
        <f>'[01_Entry.xlsx]Book'!M546</f>
        <v/>
      </c>
      <c r="I546" s="3">
        <f>'[01_Entry.xlsx]Book'!K546</f>
        <v/>
      </c>
      <c r="J546" s="3">
        <f>'[01_Entry.xlsx]Book'!P546</f>
        <v/>
      </c>
      <c r="K546" s="3">
        <f>'[01_Entry.xlsx]Book'!F546</f>
        <v/>
      </c>
      <c r="L546" s="3">
        <f>'[01_Entry.xlsx]Book'!G546</f>
        <v/>
      </c>
      <c r="M546" s="3">
        <f>'[01_Entry.xlsx]Book'!I546</f>
        <v/>
      </c>
      <c r="N546" s="2">
        <f>IF($A546="","",MID($A546,6,2))</f>
        <v>0</v>
      </c>
      <c r="O546" s="2">
        <f>IF(OR($C546="",$C546&lt;&gt;'Inv'!$D$12),"",N(O$545)+1)</f>
        <v>0</v>
      </c>
    </row>
    <row r="547" spans="1:15">
      <c r="A547" s="2">
        <f>'[01_Entry.xlsx]Book'!A547</f>
        <v/>
      </c>
      <c r="B547" s="2">
        <f>'[01_Entry.xlsx]Book'!B547</f>
        <v/>
      </c>
      <c r="C547" s="2">
        <f>'[01_Entry.xlsx]Book'!D547</f>
        <v/>
      </c>
      <c r="D547" s="2">
        <f>'[01_Entry.xlsx]Book'!E547</f>
        <v/>
      </c>
      <c r="E547" s="2">
        <f>'[01_Entry.xlsx]Book'!O547</f>
        <v/>
      </c>
      <c r="F547" s="2">
        <f>'[01_Entry.xlsx]Book'!N547</f>
        <v/>
      </c>
      <c r="G547" s="3">
        <f>'[01_Entry.xlsx]Book'!L547</f>
        <v/>
      </c>
      <c r="H547" s="3">
        <f>'[01_Entry.xlsx]Book'!M547</f>
        <v/>
      </c>
      <c r="I547" s="3">
        <f>'[01_Entry.xlsx]Book'!K547</f>
        <v/>
      </c>
      <c r="J547" s="3">
        <f>'[01_Entry.xlsx]Book'!P547</f>
        <v/>
      </c>
      <c r="K547" s="3">
        <f>'[01_Entry.xlsx]Book'!F547</f>
        <v/>
      </c>
      <c r="L547" s="3">
        <f>'[01_Entry.xlsx]Book'!G547</f>
        <v/>
      </c>
      <c r="M547" s="3">
        <f>'[01_Entry.xlsx]Book'!I547</f>
        <v/>
      </c>
      <c r="N547" s="2">
        <f>IF($A547="","",MID($A547,6,2))</f>
        <v>0</v>
      </c>
      <c r="O547" s="2">
        <f>IF(OR($C547="",$C547&lt;&gt;'Inv'!$D$12),"",N(O$546)+1)</f>
        <v>0</v>
      </c>
    </row>
    <row r="548" spans="1:15">
      <c r="A548" s="2">
        <f>'[01_Entry.xlsx]Book'!A548</f>
        <v/>
      </c>
      <c r="B548" s="2">
        <f>'[01_Entry.xlsx]Book'!B548</f>
        <v/>
      </c>
      <c r="C548" s="2">
        <f>'[01_Entry.xlsx]Book'!D548</f>
        <v/>
      </c>
      <c r="D548" s="2">
        <f>'[01_Entry.xlsx]Book'!E548</f>
        <v/>
      </c>
      <c r="E548" s="2">
        <f>'[01_Entry.xlsx]Book'!O548</f>
        <v/>
      </c>
      <c r="F548" s="2">
        <f>'[01_Entry.xlsx]Book'!N548</f>
        <v/>
      </c>
      <c r="G548" s="3">
        <f>'[01_Entry.xlsx]Book'!L548</f>
        <v/>
      </c>
      <c r="H548" s="3">
        <f>'[01_Entry.xlsx]Book'!M548</f>
        <v/>
      </c>
      <c r="I548" s="3">
        <f>'[01_Entry.xlsx]Book'!K548</f>
        <v/>
      </c>
      <c r="J548" s="3">
        <f>'[01_Entry.xlsx]Book'!P548</f>
        <v/>
      </c>
      <c r="K548" s="3">
        <f>'[01_Entry.xlsx]Book'!F548</f>
        <v/>
      </c>
      <c r="L548" s="3">
        <f>'[01_Entry.xlsx]Book'!G548</f>
        <v/>
      </c>
      <c r="M548" s="3">
        <f>'[01_Entry.xlsx]Book'!I548</f>
        <v/>
      </c>
      <c r="N548" s="2">
        <f>IF($A548="","",MID($A548,6,2))</f>
        <v>0</v>
      </c>
      <c r="O548" s="2">
        <f>IF(OR($C548="",$C548&lt;&gt;'Inv'!$D$12),"",N(O$547)+1)</f>
        <v>0</v>
      </c>
    </row>
    <row r="549" spans="1:15">
      <c r="A549" s="2">
        <f>'[01_Entry.xlsx]Book'!A549</f>
        <v/>
      </c>
      <c r="B549" s="2">
        <f>'[01_Entry.xlsx]Book'!B549</f>
        <v/>
      </c>
      <c r="C549" s="2">
        <f>'[01_Entry.xlsx]Book'!D549</f>
        <v/>
      </c>
      <c r="D549" s="2">
        <f>'[01_Entry.xlsx]Book'!E549</f>
        <v/>
      </c>
      <c r="E549" s="2">
        <f>'[01_Entry.xlsx]Book'!O549</f>
        <v/>
      </c>
      <c r="F549" s="2">
        <f>'[01_Entry.xlsx]Book'!N549</f>
        <v/>
      </c>
      <c r="G549" s="3">
        <f>'[01_Entry.xlsx]Book'!L549</f>
        <v/>
      </c>
      <c r="H549" s="3">
        <f>'[01_Entry.xlsx]Book'!M549</f>
        <v/>
      </c>
      <c r="I549" s="3">
        <f>'[01_Entry.xlsx]Book'!K549</f>
        <v/>
      </c>
      <c r="J549" s="3">
        <f>'[01_Entry.xlsx]Book'!P549</f>
        <v/>
      </c>
      <c r="K549" s="3">
        <f>'[01_Entry.xlsx]Book'!F549</f>
        <v/>
      </c>
      <c r="L549" s="3">
        <f>'[01_Entry.xlsx]Book'!G549</f>
        <v/>
      </c>
      <c r="M549" s="3">
        <f>'[01_Entry.xlsx]Book'!I549</f>
        <v/>
      </c>
      <c r="N549" s="2">
        <f>IF($A549="","",MID($A549,6,2))</f>
        <v>0</v>
      </c>
      <c r="O549" s="2">
        <f>IF(OR($C549="",$C549&lt;&gt;'Inv'!$D$12),"",N(O$548)+1)</f>
        <v>0</v>
      </c>
    </row>
    <row r="550" spans="1:15">
      <c r="A550" s="2">
        <f>'[01_Entry.xlsx]Book'!A550</f>
        <v/>
      </c>
      <c r="B550" s="2">
        <f>'[01_Entry.xlsx]Book'!B550</f>
        <v/>
      </c>
      <c r="C550" s="2">
        <f>'[01_Entry.xlsx]Book'!D550</f>
        <v/>
      </c>
      <c r="D550" s="2">
        <f>'[01_Entry.xlsx]Book'!E550</f>
        <v/>
      </c>
      <c r="E550" s="2">
        <f>'[01_Entry.xlsx]Book'!O550</f>
        <v/>
      </c>
      <c r="F550" s="2">
        <f>'[01_Entry.xlsx]Book'!N550</f>
        <v/>
      </c>
      <c r="G550" s="3">
        <f>'[01_Entry.xlsx]Book'!L550</f>
        <v/>
      </c>
      <c r="H550" s="3">
        <f>'[01_Entry.xlsx]Book'!M550</f>
        <v/>
      </c>
      <c r="I550" s="3">
        <f>'[01_Entry.xlsx]Book'!K550</f>
        <v/>
      </c>
      <c r="J550" s="3">
        <f>'[01_Entry.xlsx]Book'!P550</f>
        <v/>
      </c>
      <c r="K550" s="3">
        <f>'[01_Entry.xlsx]Book'!F550</f>
        <v/>
      </c>
      <c r="L550" s="3">
        <f>'[01_Entry.xlsx]Book'!G550</f>
        <v/>
      </c>
      <c r="M550" s="3">
        <f>'[01_Entry.xlsx]Book'!I550</f>
        <v/>
      </c>
      <c r="N550" s="2">
        <f>IF($A550="","",MID($A550,6,2))</f>
        <v>0</v>
      </c>
      <c r="O550" s="2">
        <f>IF(OR($C550="",$C550&lt;&gt;'Inv'!$D$12),"",N(O$549)+1)</f>
        <v>0</v>
      </c>
    </row>
    <row r="551" spans="1:15">
      <c r="A551" s="2">
        <f>'[01_Entry.xlsx]Book'!A551</f>
        <v/>
      </c>
      <c r="B551" s="2">
        <f>'[01_Entry.xlsx]Book'!B551</f>
        <v/>
      </c>
      <c r="C551" s="2">
        <f>'[01_Entry.xlsx]Book'!D551</f>
        <v/>
      </c>
      <c r="D551" s="2">
        <f>'[01_Entry.xlsx]Book'!E551</f>
        <v/>
      </c>
      <c r="E551" s="2">
        <f>'[01_Entry.xlsx]Book'!O551</f>
        <v/>
      </c>
      <c r="F551" s="2">
        <f>'[01_Entry.xlsx]Book'!N551</f>
        <v/>
      </c>
      <c r="G551" s="3">
        <f>'[01_Entry.xlsx]Book'!L551</f>
        <v/>
      </c>
      <c r="H551" s="3">
        <f>'[01_Entry.xlsx]Book'!M551</f>
        <v/>
      </c>
      <c r="I551" s="3">
        <f>'[01_Entry.xlsx]Book'!K551</f>
        <v/>
      </c>
      <c r="J551" s="3">
        <f>'[01_Entry.xlsx]Book'!P551</f>
        <v/>
      </c>
      <c r="K551" s="3">
        <f>'[01_Entry.xlsx]Book'!F551</f>
        <v/>
      </c>
      <c r="L551" s="3">
        <f>'[01_Entry.xlsx]Book'!G551</f>
        <v/>
      </c>
      <c r="M551" s="3">
        <f>'[01_Entry.xlsx]Book'!I551</f>
        <v/>
      </c>
      <c r="N551" s="2">
        <f>IF($A551="","",MID($A551,6,2))</f>
        <v>0</v>
      </c>
      <c r="O551" s="2">
        <f>IF(OR($C551="",$C551&lt;&gt;'Inv'!$D$12),"",N(O$550)+1)</f>
        <v>0</v>
      </c>
    </row>
    <row r="552" spans="1:15">
      <c r="A552" s="2">
        <f>'[01_Entry.xlsx]Book'!A552</f>
        <v/>
      </c>
      <c r="B552" s="2">
        <f>'[01_Entry.xlsx]Book'!B552</f>
        <v/>
      </c>
      <c r="C552" s="2">
        <f>'[01_Entry.xlsx]Book'!D552</f>
        <v/>
      </c>
      <c r="D552" s="2">
        <f>'[01_Entry.xlsx]Book'!E552</f>
        <v/>
      </c>
      <c r="E552" s="2">
        <f>'[01_Entry.xlsx]Book'!O552</f>
        <v/>
      </c>
      <c r="F552" s="2">
        <f>'[01_Entry.xlsx]Book'!N552</f>
        <v/>
      </c>
      <c r="G552" s="3">
        <f>'[01_Entry.xlsx]Book'!L552</f>
        <v/>
      </c>
      <c r="H552" s="3">
        <f>'[01_Entry.xlsx]Book'!M552</f>
        <v/>
      </c>
      <c r="I552" s="3">
        <f>'[01_Entry.xlsx]Book'!K552</f>
        <v/>
      </c>
      <c r="J552" s="3">
        <f>'[01_Entry.xlsx]Book'!P552</f>
        <v/>
      </c>
      <c r="K552" s="3">
        <f>'[01_Entry.xlsx]Book'!F552</f>
        <v/>
      </c>
      <c r="L552" s="3">
        <f>'[01_Entry.xlsx]Book'!G552</f>
        <v/>
      </c>
      <c r="M552" s="3">
        <f>'[01_Entry.xlsx]Book'!I552</f>
        <v/>
      </c>
      <c r="N552" s="2">
        <f>IF($A552="","",MID($A552,6,2))</f>
        <v>0</v>
      </c>
      <c r="O552" s="2">
        <f>IF(OR($C552="",$C552&lt;&gt;'Inv'!$D$12),"",N(O$551)+1)</f>
        <v>0</v>
      </c>
    </row>
    <row r="553" spans="1:15">
      <c r="A553" s="2">
        <f>'[01_Entry.xlsx]Book'!A553</f>
        <v/>
      </c>
      <c r="B553" s="2">
        <f>'[01_Entry.xlsx]Book'!B553</f>
        <v/>
      </c>
      <c r="C553" s="2">
        <f>'[01_Entry.xlsx]Book'!D553</f>
        <v/>
      </c>
      <c r="D553" s="2">
        <f>'[01_Entry.xlsx]Book'!E553</f>
        <v/>
      </c>
      <c r="E553" s="2">
        <f>'[01_Entry.xlsx]Book'!O553</f>
        <v/>
      </c>
      <c r="F553" s="2">
        <f>'[01_Entry.xlsx]Book'!N553</f>
        <v/>
      </c>
      <c r="G553" s="3">
        <f>'[01_Entry.xlsx]Book'!L553</f>
        <v/>
      </c>
      <c r="H553" s="3">
        <f>'[01_Entry.xlsx]Book'!M553</f>
        <v/>
      </c>
      <c r="I553" s="3">
        <f>'[01_Entry.xlsx]Book'!K553</f>
        <v/>
      </c>
      <c r="J553" s="3">
        <f>'[01_Entry.xlsx]Book'!P553</f>
        <v/>
      </c>
      <c r="K553" s="3">
        <f>'[01_Entry.xlsx]Book'!F553</f>
        <v/>
      </c>
      <c r="L553" s="3">
        <f>'[01_Entry.xlsx]Book'!G553</f>
        <v/>
      </c>
      <c r="M553" s="3">
        <f>'[01_Entry.xlsx]Book'!I553</f>
        <v/>
      </c>
      <c r="N553" s="2">
        <f>IF($A553="","",MID($A553,6,2))</f>
        <v>0</v>
      </c>
      <c r="O553" s="2">
        <f>IF(OR($C553="",$C553&lt;&gt;'Inv'!$D$12),"",N(O$552)+1)</f>
        <v>0</v>
      </c>
    </row>
    <row r="554" spans="1:15">
      <c r="A554" s="2">
        <f>'[01_Entry.xlsx]Book'!A554</f>
        <v/>
      </c>
      <c r="B554" s="2">
        <f>'[01_Entry.xlsx]Book'!B554</f>
        <v/>
      </c>
      <c r="C554" s="2">
        <f>'[01_Entry.xlsx]Book'!D554</f>
        <v/>
      </c>
      <c r="D554" s="2">
        <f>'[01_Entry.xlsx]Book'!E554</f>
        <v/>
      </c>
      <c r="E554" s="2">
        <f>'[01_Entry.xlsx]Book'!O554</f>
        <v/>
      </c>
      <c r="F554" s="2">
        <f>'[01_Entry.xlsx]Book'!N554</f>
        <v/>
      </c>
      <c r="G554" s="3">
        <f>'[01_Entry.xlsx]Book'!L554</f>
        <v/>
      </c>
      <c r="H554" s="3">
        <f>'[01_Entry.xlsx]Book'!M554</f>
        <v/>
      </c>
      <c r="I554" s="3">
        <f>'[01_Entry.xlsx]Book'!K554</f>
        <v/>
      </c>
      <c r="J554" s="3">
        <f>'[01_Entry.xlsx]Book'!P554</f>
        <v/>
      </c>
      <c r="K554" s="3">
        <f>'[01_Entry.xlsx]Book'!F554</f>
        <v/>
      </c>
      <c r="L554" s="3">
        <f>'[01_Entry.xlsx]Book'!G554</f>
        <v/>
      </c>
      <c r="M554" s="3">
        <f>'[01_Entry.xlsx]Book'!I554</f>
        <v/>
      </c>
      <c r="N554" s="2">
        <f>IF($A554="","",MID($A554,6,2))</f>
        <v>0</v>
      </c>
      <c r="O554" s="2">
        <f>IF(OR($C554="",$C554&lt;&gt;'Inv'!$D$12),"",N(O$553)+1)</f>
        <v>0</v>
      </c>
    </row>
    <row r="555" spans="1:15">
      <c r="A555" s="2">
        <f>'[01_Entry.xlsx]Book'!A555</f>
        <v/>
      </c>
      <c r="B555" s="2">
        <f>'[01_Entry.xlsx]Book'!B555</f>
        <v/>
      </c>
      <c r="C555" s="2">
        <f>'[01_Entry.xlsx]Book'!D555</f>
        <v/>
      </c>
      <c r="D555" s="2">
        <f>'[01_Entry.xlsx]Book'!E555</f>
        <v/>
      </c>
      <c r="E555" s="2">
        <f>'[01_Entry.xlsx]Book'!O555</f>
        <v/>
      </c>
      <c r="F555" s="2">
        <f>'[01_Entry.xlsx]Book'!N555</f>
        <v/>
      </c>
      <c r="G555" s="3">
        <f>'[01_Entry.xlsx]Book'!L555</f>
        <v/>
      </c>
      <c r="H555" s="3">
        <f>'[01_Entry.xlsx]Book'!M555</f>
        <v/>
      </c>
      <c r="I555" s="3">
        <f>'[01_Entry.xlsx]Book'!K555</f>
        <v/>
      </c>
      <c r="J555" s="3">
        <f>'[01_Entry.xlsx]Book'!P555</f>
        <v/>
      </c>
      <c r="K555" s="3">
        <f>'[01_Entry.xlsx]Book'!F555</f>
        <v/>
      </c>
      <c r="L555" s="3">
        <f>'[01_Entry.xlsx]Book'!G555</f>
        <v/>
      </c>
      <c r="M555" s="3">
        <f>'[01_Entry.xlsx]Book'!I555</f>
        <v/>
      </c>
      <c r="N555" s="2">
        <f>IF($A555="","",MID($A555,6,2))</f>
        <v>0</v>
      </c>
      <c r="O555" s="2">
        <f>IF(OR($C555="",$C555&lt;&gt;'Inv'!$D$12),"",N(O$554)+1)</f>
        <v>0</v>
      </c>
    </row>
    <row r="556" spans="1:15">
      <c r="A556" s="2">
        <f>'[01_Entry.xlsx]Book'!A556</f>
        <v/>
      </c>
      <c r="B556" s="2">
        <f>'[01_Entry.xlsx]Book'!B556</f>
        <v/>
      </c>
      <c r="C556" s="2">
        <f>'[01_Entry.xlsx]Book'!D556</f>
        <v/>
      </c>
      <c r="D556" s="2">
        <f>'[01_Entry.xlsx]Book'!E556</f>
        <v/>
      </c>
      <c r="E556" s="2">
        <f>'[01_Entry.xlsx]Book'!O556</f>
        <v/>
      </c>
      <c r="F556" s="2">
        <f>'[01_Entry.xlsx]Book'!N556</f>
        <v/>
      </c>
      <c r="G556" s="3">
        <f>'[01_Entry.xlsx]Book'!L556</f>
        <v/>
      </c>
      <c r="H556" s="3">
        <f>'[01_Entry.xlsx]Book'!M556</f>
        <v/>
      </c>
      <c r="I556" s="3">
        <f>'[01_Entry.xlsx]Book'!K556</f>
        <v/>
      </c>
      <c r="J556" s="3">
        <f>'[01_Entry.xlsx]Book'!P556</f>
        <v/>
      </c>
      <c r="K556" s="3">
        <f>'[01_Entry.xlsx]Book'!F556</f>
        <v/>
      </c>
      <c r="L556" s="3">
        <f>'[01_Entry.xlsx]Book'!G556</f>
        <v/>
      </c>
      <c r="M556" s="3">
        <f>'[01_Entry.xlsx]Book'!I556</f>
        <v/>
      </c>
      <c r="N556" s="2">
        <f>IF($A556="","",MID($A556,6,2))</f>
        <v>0</v>
      </c>
      <c r="O556" s="2">
        <f>IF(OR($C556="",$C556&lt;&gt;'Inv'!$D$12),"",N(O$555)+1)</f>
        <v>0</v>
      </c>
    </row>
    <row r="557" spans="1:15">
      <c r="A557" s="2">
        <f>'[01_Entry.xlsx]Book'!A557</f>
        <v/>
      </c>
      <c r="B557" s="2">
        <f>'[01_Entry.xlsx]Book'!B557</f>
        <v/>
      </c>
      <c r="C557" s="2">
        <f>'[01_Entry.xlsx]Book'!D557</f>
        <v/>
      </c>
      <c r="D557" s="2">
        <f>'[01_Entry.xlsx]Book'!E557</f>
        <v/>
      </c>
      <c r="E557" s="2">
        <f>'[01_Entry.xlsx]Book'!O557</f>
        <v/>
      </c>
      <c r="F557" s="2">
        <f>'[01_Entry.xlsx]Book'!N557</f>
        <v/>
      </c>
      <c r="G557" s="3">
        <f>'[01_Entry.xlsx]Book'!L557</f>
        <v/>
      </c>
      <c r="H557" s="3">
        <f>'[01_Entry.xlsx]Book'!M557</f>
        <v/>
      </c>
      <c r="I557" s="3">
        <f>'[01_Entry.xlsx]Book'!K557</f>
        <v/>
      </c>
      <c r="J557" s="3">
        <f>'[01_Entry.xlsx]Book'!P557</f>
        <v/>
      </c>
      <c r="K557" s="3">
        <f>'[01_Entry.xlsx]Book'!F557</f>
        <v/>
      </c>
      <c r="L557" s="3">
        <f>'[01_Entry.xlsx]Book'!G557</f>
        <v/>
      </c>
      <c r="M557" s="3">
        <f>'[01_Entry.xlsx]Book'!I557</f>
        <v/>
      </c>
      <c r="N557" s="2">
        <f>IF($A557="","",MID($A557,6,2))</f>
        <v>0</v>
      </c>
      <c r="O557" s="2">
        <f>IF(OR($C557="",$C557&lt;&gt;'Inv'!$D$12),"",N(O$556)+1)</f>
        <v>0</v>
      </c>
    </row>
    <row r="558" spans="1:15">
      <c r="A558" s="2">
        <f>'[01_Entry.xlsx]Book'!A558</f>
        <v/>
      </c>
      <c r="B558" s="2">
        <f>'[01_Entry.xlsx]Book'!B558</f>
        <v/>
      </c>
      <c r="C558" s="2">
        <f>'[01_Entry.xlsx]Book'!D558</f>
        <v/>
      </c>
      <c r="D558" s="2">
        <f>'[01_Entry.xlsx]Book'!E558</f>
        <v/>
      </c>
      <c r="E558" s="2">
        <f>'[01_Entry.xlsx]Book'!O558</f>
        <v/>
      </c>
      <c r="F558" s="2">
        <f>'[01_Entry.xlsx]Book'!N558</f>
        <v/>
      </c>
      <c r="G558" s="3">
        <f>'[01_Entry.xlsx]Book'!L558</f>
        <v/>
      </c>
      <c r="H558" s="3">
        <f>'[01_Entry.xlsx]Book'!M558</f>
        <v/>
      </c>
      <c r="I558" s="3">
        <f>'[01_Entry.xlsx]Book'!K558</f>
        <v/>
      </c>
      <c r="J558" s="3">
        <f>'[01_Entry.xlsx]Book'!P558</f>
        <v/>
      </c>
      <c r="K558" s="3">
        <f>'[01_Entry.xlsx]Book'!F558</f>
        <v/>
      </c>
      <c r="L558" s="3">
        <f>'[01_Entry.xlsx]Book'!G558</f>
        <v/>
      </c>
      <c r="M558" s="3">
        <f>'[01_Entry.xlsx]Book'!I558</f>
        <v/>
      </c>
      <c r="N558" s="2">
        <f>IF($A558="","",MID($A558,6,2))</f>
        <v>0</v>
      </c>
      <c r="O558" s="2">
        <f>IF(OR($C558="",$C558&lt;&gt;'Inv'!$D$12),"",N(O$557)+1)</f>
        <v>0</v>
      </c>
    </row>
    <row r="559" spans="1:15">
      <c r="A559" s="2">
        <f>'[01_Entry.xlsx]Book'!A559</f>
        <v/>
      </c>
      <c r="B559" s="2">
        <f>'[01_Entry.xlsx]Book'!B559</f>
        <v/>
      </c>
      <c r="C559" s="2">
        <f>'[01_Entry.xlsx]Book'!D559</f>
        <v/>
      </c>
      <c r="D559" s="2">
        <f>'[01_Entry.xlsx]Book'!E559</f>
        <v/>
      </c>
      <c r="E559" s="2">
        <f>'[01_Entry.xlsx]Book'!O559</f>
        <v/>
      </c>
      <c r="F559" s="2">
        <f>'[01_Entry.xlsx]Book'!N559</f>
        <v/>
      </c>
      <c r="G559" s="3">
        <f>'[01_Entry.xlsx]Book'!L559</f>
        <v/>
      </c>
      <c r="H559" s="3">
        <f>'[01_Entry.xlsx]Book'!M559</f>
        <v/>
      </c>
      <c r="I559" s="3">
        <f>'[01_Entry.xlsx]Book'!K559</f>
        <v/>
      </c>
      <c r="J559" s="3">
        <f>'[01_Entry.xlsx]Book'!P559</f>
        <v/>
      </c>
      <c r="K559" s="3">
        <f>'[01_Entry.xlsx]Book'!F559</f>
        <v/>
      </c>
      <c r="L559" s="3">
        <f>'[01_Entry.xlsx]Book'!G559</f>
        <v/>
      </c>
      <c r="M559" s="3">
        <f>'[01_Entry.xlsx]Book'!I559</f>
        <v/>
      </c>
      <c r="N559" s="2">
        <f>IF($A559="","",MID($A559,6,2))</f>
        <v>0</v>
      </c>
      <c r="O559" s="2">
        <f>IF(OR($C559="",$C559&lt;&gt;'Inv'!$D$12),"",N(O$558)+1)</f>
        <v>0</v>
      </c>
    </row>
    <row r="560" spans="1:15">
      <c r="A560" s="2">
        <f>'[01_Entry.xlsx]Book'!A560</f>
        <v/>
      </c>
      <c r="B560" s="2">
        <f>'[01_Entry.xlsx]Book'!B560</f>
        <v/>
      </c>
      <c r="C560" s="2">
        <f>'[01_Entry.xlsx]Book'!D560</f>
        <v/>
      </c>
      <c r="D560" s="2">
        <f>'[01_Entry.xlsx]Book'!E560</f>
        <v/>
      </c>
      <c r="E560" s="2">
        <f>'[01_Entry.xlsx]Book'!O560</f>
        <v/>
      </c>
      <c r="F560" s="2">
        <f>'[01_Entry.xlsx]Book'!N560</f>
        <v/>
      </c>
      <c r="G560" s="3">
        <f>'[01_Entry.xlsx]Book'!L560</f>
        <v/>
      </c>
      <c r="H560" s="3">
        <f>'[01_Entry.xlsx]Book'!M560</f>
        <v/>
      </c>
      <c r="I560" s="3">
        <f>'[01_Entry.xlsx]Book'!K560</f>
        <v/>
      </c>
      <c r="J560" s="3">
        <f>'[01_Entry.xlsx]Book'!P560</f>
        <v/>
      </c>
      <c r="K560" s="3">
        <f>'[01_Entry.xlsx]Book'!F560</f>
        <v/>
      </c>
      <c r="L560" s="3">
        <f>'[01_Entry.xlsx]Book'!G560</f>
        <v/>
      </c>
      <c r="M560" s="3">
        <f>'[01_Entry.xlsx]Book'!I560</f>
        <v/>
      </c>
      <c r="N560" s="2">
        <f>IF($A560="","",MID($A560,6,2))</f>
        <v>0</v>
      </c>
      <c r="O560" s="2">
        <f>IF(OR($C560="",$C560&lt;&gt;'Inv'!$D$12),"",N(O$559)+1)</f>
        <v>0</v>
      </c>
    </row>
    <row r="561" spans="1:15">
      <c r="A561" s="2">
        <f>'[01_Entry.xlsx]Book'!A561</f>
        <v/>
      </c>
      <c r="B561" s="2">
        <f>'[01_Entry.xlsx]Book'!B561</f>
        <v/>
      </c>
      <c r="C561" s="2">
        <f>'[01_Entry.xlsx]Book'!D561</f>
        <v/>
      </c>
      <c r="D561" s="2">
        <f>'[01_Entry.xlsx]Book'!E561</f>
        <v/>
      </c>
      <c r="E561" s="2">
        <f>'[01_Entry.xlsx]Book'!O561</f>
        <v/>
      </c>
      <c r="F561" s="2">
        <f>'[01_Entry.xlsx]Book'!N561</f>
        <v/>
      </c>
      <c r="G561" s="3">
        <f>'[01_Entry.xlsx]Book'!L561</f>
        <v/>
      </c>
      <c r="H561" s="3">
        <f>'[01_Entry.xlsx]Book'!M561</f>
        <v/>
      </c>
      <c r="I561" s="3">
        <f>'[01_Entry.xlsx]Book'!K561</f>
        <v/>
      </c>
      <c r="J561" s="3">
        <f>'[01_Entry.xlsx]Book'!P561</f>
        <v/>
      </c>
      <c r="K561" s="3">
        <f>'[01_Entry.xlsx]Book'!F561</f>
        <v/>
      </c>
      <c r="L561" s="3">
        <f>'[01_Entry.xlsx]Book'!G561</f>
        <v/>
      </c>
      <c r="M561" s="3">
        <f>'[01_Entry.xlsx]Book'!I561</f>
        <v/>
      </c>
      <c r="N561" s="2">
        <f>IF($A561="","",MID($A561,6,2))</f>
        <v>0</v>
      </c>
      <c r="O561" s="2">
        <f>IF(OR($C561="",$C561&lt;&gt;'Inv'!$D$12),"",N(O$560)+1)</f>
        <v>0</v>
      </c>
    </row>
    <row r="562" spans="1:15">
      <c r="A562" s="2">
        <f>'[01_Entry.xlsx]Book'!A562</f>
        <v/>
      </c>
      <c r="B562" s="2">
        <f>'[01_Entry.xlsx]Book'!B562</f>
        <v/>
      </c>
      <c r="C562" s="2">
        <f>'[01_Entry.xlsx]Book'!D562</f>
        <v/>
      </c>
      <c r="D562" s="2">
        <f>'[01_Entry.xlsx]Book'!E562</f>
        <v/>
      </c>
      <c r="E562" s="2">
        <f>'[01_Entry.xlsx]Book'!O562</f>
        <v/>
      </c>
      <c r="F562" s="2">
        <f>'[01_Entry.xlsx]Book'!N562</f>
        <v/>
      </c>
      <c r="G562" s="3">
        <f>'[01_Entry.xlsx]Book'!L562</f>
        <v/>
      </c>
      <c r="H562" s="3">
        <f>'[01_Entry.xlsx]Book'!M562</f>
        <v/>
      </c>
      <c r="I562" s="3">
        <f>'[01_Entry.xlsx]Book'!K562</f>
        <v/>
      </c>
      <c r="J562" s="3">
        <f>'[01_Entry.xlsx]Book'!P562</f>
        <v/>
      </c>
      <c r="K562" s="3">
        <f>'[01_Entry.xlsx]Book'!F562</f>
        <v/>
      </c>
      <c r="L562" s="3">
        <f>'[01_Entry.xlsx]Book'!G562</f>
        <v/>
      </c>
      <c r="M562" s="3">
        <f>'[01_Entry.xlsx]Book'!I562</f>
        <v/>
      </c>
      <c r="N562" s="2">
        <f>IF($A562="","",MID($A562,6,2))</f>
        <v>0</v>
      </c>
      <c r="O562" s="2">
        <f>IF(OR($C562="",$C562&lt;&gt;'Inv'!$D$12),"",N(O$561)+1)</f>
        <v>0</v>
      </c>
    </row>
    <row r="563" spans="1:15">
      <c r="A563" s="2">
        <f>'[01_Entry.xlsx]Book'!A563</f>
        <v/>
      </c>
      <c r="B563" s="2">
        <f>'[01_Entry.xlsx]Book'!B563</f>
        <v/>
      </c>
      <c r="C563" s="2">
        <f>'[01_Entry.xlsx]Book'!D563</f>
        <v/>
      </c>
      <c r="D563" s="2">
        <f>'[01_Entry.xlsx]Book'!E563</f>
        <v/>
      </c>
      <c r="E563" s="2">
        <f>'[01_Entry.xlsx]Book'!O563</f>
        <v/>
      </c>
      <c r="F563" s="2">
        <f>'[01_Entry.xlsx]Book'!N563</f>
        <v/>
      </c>
      <c r="G563" s="3">
        <f>'[01_Entry.xlsx]Book'!L563</f>
        <v/>
      </c>
      <c r="H563" s="3">
        <f>'[01_Entry.xlsx]Book'!M563</f>
        <v/>
      </c>
      <c r="I563" s="3">
        <f>'[01_Entry.xlsx]Book'!K563</f>
        <v/>
      </c>
      <c r="J563" s="3">
        <f>'[01_Entry.xlsx]Book'!P563</f>
        <v/>
      </c>
      <c r="K563" s="3">
        <f>'[01_Entry.xlsx]Book'!F563</f>
        <v/>
      </c>
      <c r="L563" s="3">
        <f>'[01_Entry.xlsx]Book'!G563</f>
        <v/>
      </c>
      <c r="M563" s="3">
        <f>'[01_Entry.xlsx]Book'!I563</f>
        <v/>
      </c>
      <c r="N563" s="2">
        <f>IF($A563="","",MID($A563,6,2))</f>
        <v>0</v>
      </c>
      <c r="O563" s="2">
        <f>IF(OR($C563="",$C563&lt;&gt;'Inv'!$D$12),"",N(O$562)+1)</f>
        <v>0</v>
      </c>
    </row>
    <row r="564" spans="1:15">
      <c r="A564" s="2">
        <f>'[01_Entry.xlsx]Book'!A564</f>
        <v/>
      </c>
      <c r="B564" s="2">
        <f>'[01_Entry.xlsx]Book'!B564</f>
        <v/>
      </c>
      <c r="C564" s="2">
        <f>'[01_Entry.xlsx]Book'!D564</f>
        <v/>
      </c>
      <c r="D564" s="2">
        <f>'[01_Entry.xlsx]Book'!E564</f>
        <v/>
      </c>
      <c r="E564" s="2">
        <f>'[01_Entry.xlsx]Book'!O564</f>
        <v/>
      </c>
      <c r="F564" s="2">
        <f>'[01_Entry.xlsx]Book'!N564</f>
        <v/>
      </c>
      <c r="G564" s="3">
        <f>'[01_Entry.xlsx]Book'!L564</f>
        <v/>
      </c>
      <c r="H564" s="3">
        <f>'[01_Entry.xlsx]Book'!M564</f>
        <v/>
      </c>
      <c r="I564" s="3">
        <f>'[01_Entry.xlsx]Book'!K564</f>
        <v/>
      </c>
      <c r="J564" s="3">
        <f>'[01_Entry.xlsx]Book'!P564</f>
        <v/>
      </c>
      <c r="K564" s="3">
        <f>'[01_Entry.xlsx]Book'!F564</f>
        <v/>
      </c>
      <c r="L564" s="3">
        <f>'[01_Entry.xlsx]Book'!G564</f>
        <v/>
      </c>
      <c r="M564" s="3">
        <f>'[01_Entry.xlsx]Book'!I564</f>
        <v/>
      </c>
      <c r="N564" s="2">
        <f>IF($A564="","",MID($A564,6,2))</f>
        <v>0</v>
      </c>
      <c r="O564" s="2">
        <f>IF(OR($C564="",$C564&lt;&gt;'Inv'!$D$12),"",N(O$563)+1)</f>
        <v>0</v>
      </c>
    </row>
    <row r="565" spans="1:15">
      <c r="A565" s="2">
        <f>'[01_Entry.xlsx]Book'!A565</f>
        <v/>
      </c>
      <c r="B565" s="2">
        <f>'[01_Entry.xlsx]Book'!B565</f>
        <v/>
      </c>
      <c r="C565" s="2">
        <f>'[01_Entry.xlsx]Book'!D565</f>
        <v/>
      </c>
      <c r="D565" s="2">
        <f>'[01_Entry.xlsx]Book'!E565</f>
        <v/>
      </c>
      <c r="E565" s="2">
        <f>'[01_Entry.xlsx]Book'!O565</f>
        <v/>
      </c>
      <c r="F565" s="2">
        <f>'[01_Entry.xlsx]Book'!N565</f>
        <v/>
      </c>
      <c r="G565" s="3">
        <f>'[01_Entry.xlsx]Book'!L565</f>
        <v/>
      </c>
      <c r="H565" s="3">
        <f>'[01_Entry.xlsx]Book'!M565</f>
        <v/>
      </c>
      <c r="I565" s="3">
        <f>'[01_Entry.xlsx]Book'!K565</f>
        <v/>
      </c>
      <c r="J565" s="3">
        <f>'[01_Entry.xlsx]Book'!P565</f>
        <v/>
      </c>
      <c r="K565" s="3">
        <f>'[01_Entry.xlsx]Book'!F565</f>
        <v/>
      </c>
      <c r="L565" s="3">
        <f>'[01_Entry.xlsx]Book'!G565</f>
        <v/>
      </c>
      <c r="M565" s="3">
        <f>'[01_Entry.xlsx]Book'!I565</f>
        <v/>
      </c>
      <c r="N565" s="2">
        <f>IF($A565="","",MID($A565,6,2))</f>
        <v>0</v>
      </c>
      <c r="O565" s="2">
        <f>IF(OR($C565="",$C565&lt;&gt;'Inv'!$D$12),"",N(O$564)+1)</f>
        <v>0</v>
      </c>
    </row>
    <row r="566" spans="1:15">
      <c r="A566" s="2">
        <f>'[01_Entry.xlsx]Book'!A566</f>
        <v/>
      </c>
      <c r="B566" s="2">
        <f>'[01_Entry.xlsx]Book'!B566</f>
        <v/>
      </c>
      <c r="C566" s="2">
        <f>'[01_Entry.xlsx]Book'!D566</f>
        <v/>
      </c>
      <c r="D566" s="2">
        <f>'[01_Entry.xlsx]Book'!E566</f>
        <v/>
      </c>
      <c r="E566" s="2">
        <f>'[01_Entry.xlsx]Book'!O566</f>
        <v/>
      </c>
      <c r="F566" s="2">
        <f>'[01_Entry.xlsx]Book'!N566</f>
        <v/>
      </c>
      <c r="G566" s="3">
        <f>'[01_Entry.xlsx]Book'!L566</f>
        <v/>
      </c>
      <c r="H566" s="3">
        <f>'[01_Entry.xlsx]Book'!M566</f>
        <v/>
      </c>
      <c r="I566" s="3">
        <f>'[01_Entry.xlsx]Book'!K566</f>
        <v/>
      </c>
      <c r="J566" s="3">
        <f>'[01_Entry.xlsx]Book'!P566</f>
        <v/>
      </c>
      <c r="K566" s="3">
        <f>'[01_Entry.xlsx]Book'!F566</f>
        <v/>
      </c>
      <c r="L566" s="3">
        <f>'[01_Entry.xlsx]Book'!G566</f>
        <v/>
      </c>
      <c r="M566" s="3">
        <f>'[01_Entry.xlsx]Book'!I566</f>
        <v/>
      </c>
      <c r="N566" s="2">
        <f>IF($A566="","",MID($A566,6,2))</f>
        <v>0</v>
      </c>
      <c r="O566" s="2">
        <f>IF(OR($C566="",$C566&lt;&gt;'Inv'!$D$12),"",N(O$565)+1)</f>
        <v>0</v>
      </c>
    </row>
    <row r="567" spans="1:15">
      <c r="A567" s="2">
        <f>'[01_Entry.xlsx]Book'!A567</f>
        <v/>
      </c>
      <c r="B567" s="2">
        <f>'[01_Entry.xlsx]Book'!B567</f>
        <v/>
      </c>
      <c r="C567" s="2">
        <f>'[01_Entry.xlsx]Book'!D567</f>
        <v/>
      </c>
      <c r="D567" s="2">
        <f>'[01_Entry.xlsx]Book'!E567</f>
        <v/>
      </c>
      <c r="E567" s="2">
        <f>'[01_Entry.xlsx]Book'!O567</f>
        <v/>
      </c>
      <c r="F567" s="2">
        <f>'[01_Entry.xlsx]Book'!N567</f>
        <v/>
      </c>
      <c r="G567" s="3">
        <f>'[01_Entry.xlsx]Book'!L567</f>
        <v/>
      </c>
      <c r="H567" s="3">
        <f>'[01_Entry.xlsx]Book'!M567</f>
        <v/>
      </c>
      <c r="I567" s="3">
        <f>'[01_Entry.xlsx]Book'!K567</f>
        <v/>
      </c>
      <c r="J567" s="3">
        <f>'[01_Entry.xlsx]Book'!P567</f>
        <v/>
      </c>
      <c r="K567" s="3">
        <f>'[01_Entry.xlsx]Book'!F567</f>
        <v/>
      </c>
      <c r="L567" s="3">
        <f>'[01_Entry.xlsx]Book'!G567</f>
        <v/>
      </c>
      <c r="M567" s="3">
        <f>'[01_Entry.xlsx]Book'!I567</f>
        <v/>
      </c>
      <c r="N567" s="2">
        <f>IF($A567="","",MID($A567,6,2))</f>
        <v>0</v>
      </c>
      <c r="O567" s="2">
        <f>IF(OR($C567="",$C567&lt;&gt;'Inv'!$D$12),"",N(O$566)+1)</f>
        <v>0</v>
      </c>
    </row>
    <row r="568" spans="1:15">
      <c r="A568" s="2">
        <f>'[01_Entry.xlsx]Book'!A568</f>
        <v/>
      </c>
      <c r="B568" s="2">
        <f>'[01_Entry.xlsx]Book'!B568</f>
        <v/>
      </c>
      <c r="C568" s="2">
        <f>'[01_Entry.xlsx]Book'!D568</f>
        <v/>
      </c>
      <c r="D568" s="2">
        <f>'[01_Entry.xlsx]Book'!E568</f>
        <v/>
      </c>
      <c r="E568" s="2">
        <f>'[01_Entry.xlsx]Book'!O568</f>
        <v/>
      </c>
      <c r="F568" s="2">
        <f>'[01_Entry.xlsx]Book'!N568</f>
        <v/>
      </c>
      <c r="G568" s="3">
        <f>'[01_Entry.xlsx]Book'!L568</f>
        <v/>
      </c>
      <c r="H568" s="3">
        <f>'[01_Entry.xlsx]Book'!M568</f>
        <v/>
      </c>
      <c r="I568" s="3">
        <f>'[01_Entry.xlsx]Book'!K568</f>
        <v/>
      </c>
      <c r="J568" s="3">
        <f>'[01_Entry.xlsx]Book'!P568</f>
        <v/>
      </c>
      <c r="K568" s="3">
        <f>'[01_Entry.xlsx]Book'!F568</f>
        <v/>
      </c>
      <c r="L568" s="3">
        <f>'[01_Entry.xlsx]Book'!G568</f>
        <v/>
      </c>
      <c r="M568" s="3">
        <f>'[01_Entry.xlsx]Book'!I568</f>
        <v/>
      </c>
      <c r="N568" s="2">
        <f>IF($A568="","",MID($A568,6,2))</f>
        <v>0</v>
      </c>
      <c r="O568" s="2">
        <f>IF(OR($C568="",$C568&lt;&gt;'Inv'!$D$12),"",N(O$567)+1)</f>
        <v>0</v>
      </c>
    </row>
    <row r="569" spans="1:15">
      <c r="A569" s="2">
        <f>'[01_Entry.xlsx]Book'!A569</f>
        <v/>
      </c>
      <c r="B569" s="2">
        <f>'[01_Entry.xlsx]Book'!B569</f>
        <v/>
      </c>
      <c r="C569" s="2">
        <f>'[01_Entry.xlsx]Book'!D569</f>
        <v/>
      </c>
      <c r="D569" s="2">
        <f>'[01_Entry.xlsx]Book'!E569</f>
        <v/>
      </c>
      <c r="E569" s="2">
        <f>'[01_Entry.xlsx]Book'!O569</f>
        <v/>
      </c>
      <c r="F569" s="2">
        <f>'[01_Entry.xlsx]Book'!N569</f>
        <v/>
      </c>
      <c r="G569" s="3">
        <f>'[01_Entry.xlsx]Book'!L569</f>
        <v/>
      </c>
      <c r="H569" s="3">
        <f>'[01_Entry.xlsx]Book'!M569</f>
        <v/>
      </c>
      <c r="I569" s="3">
        <f>'[01_Entry.xlsx]Book'!K569</f>
        <v/>
      </c>
      <c r="J569" s="3">
        <f>'[01_Entry.xlsx]Book'!P569</f>
        <v/>
      </c>
      <c r="K569" s="3">
        <f>'[01_Entry.xlsx]Book'!F569</f>
        <v/>
      </c>
      <c r="L569" s="3">
        <f>'[01_Entry.xlsx]Book'!G569</f>
        <v/>
      </c>
      <c r="M569" s="3">
        <f>'[01_Entry.xlsx]Book'!I569</f>
        <v/>
      </c>
      <c r="N569" s="2">
        <f>IF($A569="","",MID($A569,6,2))</f>
        <v>0</v>
      </c>
      <c r="O569" s="2">
        <f>IF(OR($C569="",$C569&lt;&gt;'Inv'!$D$12),"",N(O$568)+1)</f>
        <v>0</v>
      </c>
    </row>
    <row r="570" spans="1:15">
      <c r="A570" s="2">
        <f>'[01_Entry.xlsx]Book'!A570</f>
        <v/>
      </c>
      <c r="B570" s="2">
        <f>'[01_Entry.xlsx]Book'!B570</f>
        <v/>
      </c>
      <c r="C570" s="2">
        <f>'[01_Entry.xlsx]Book'!D570</f>
        <v/>
      </c>
      <c r="D570" s="2">
        <f>'[01_Entry.xlsx]Book'!E570</f>
        <v/>
      </c>
      <c r="E570" s="2">
        <f>'[01_Entry.xlsx]Book'!O570</f>
        <v/>
      </c>
      <c r="F570" s="2">
        <f>'[01_Entry.xlsx]Book'!N570</f>
        <v/>
      </c>
      <c r="G570" s="3">
        <f>'[01_Entry.xlsx]Book'!L570</f>
        <v/>
      </c>
      <c r="H570" s="3">
        <f>'[01_Entry.xlsx]Book'!M570</f>
        <v/>
      </c>
      <c r="I570" s="3">
        <f>'[01_Entry.xlsx]Book'!K570</f>
        <v/>
      </c>
      <c r="J570" s="3">
        <f>'[01_Entry.xlsx]Book'!P570</f>
        <v/>
      </c>
      <c r="K570" s="3">
        <f>'[01_Entry.xlsx]Book'!F570</f>
        <v/>
      </c>
      <c r="L570" s="3">
        <f>'[01_Entry.xlsx]Book'!G570</f>
        <v/>
      </c>
      <c r="M570" s="3">
        <f>'[01_Entry.xlsx]Book'!I570</f>
        <v/>
      </c>
      <c r="N570" s="2">
        <f>IF($A570="","",MID($A570,6,2))</f>
        <v>0</v>
      </c>
      <c r="O570" s="2">
        <f>IF(OR($C570="",$C570&lt;&gt;'Inv'!$D$12),"",N(O$569)+1)</f>
        <v>0</v>
      </c>
    </row>
    <row r="571" spans="1:15">
      <c r="A571" s="2">
        <f>'[01_Entry.xlsx]Book'!A571</f>
        <v/>
      </c>
      <c r="B571" s="2">
        <f>'[01_Entry.xlsx]Book'!B571</f>
        <v/>
      </c>
      <c r="C571" s="2">
        <f>'[01_Entry.xlsx]Book'!D571</f>
        <v/>
      </c>
      <c r="D571" s="2">
        <f>'[01_Entry.xlsx]Book'!E571</f>
        <v/>
      </c>
      <c r="E571" s="2">
        <f>'[01_Entry.xlsx]Book'!O571</f>
        <v/>
      </c>
      <c r="F571" s="2">
        <f>'[01_Entry.xlsx]Book'!N571</f>
        <v/>
      </c>
      <c r="G571" s="3">
        <f>'[01_Entry.xlsx]Book'!L571</f>
        <v/>
      </c>
      <c r="H571" s="3">
        <f>'[01_Entry.xlsx]Book'!M571</f>
        <v/>
      </c>
      <c r="I571" s="3">
        <f>'[01_Entry.xlsx]Book'!K571</f>
        <v/>
      </c>
      <c r="J571" s="3">
        <f>'[01_Entry.xlsx]Book'!P571</f>
        <v/>
      </c>
      <c r="K571" s="3">
        <f>'[01_Entry.xlsx]Book'!F571</f>
        <v/>
      </c>
      <c r="L571" s="3">
        <f>'[01_Entry.xlsx]Book'!G571</f>
        <v/>
      </c>
      <c r="M571" s="3">
        <f>'[01_Entry.xlsx]Book'!I571</f>
        <v/>
      </c>
      <c r="N571" s="2">
        <f>IF($A571="","",MID($A571,6,2))</f>
        <v>0</v>
      </c>
      <c r="O571" s="2">
        <f>IF(OR($C571="",$C571&lt;&gt;'Inv'!$D$12),"",N(O$570)+1)</f>
        <v>0</v>
      </c>
    </row>
    <row r="572" spans="1:15">
      <c r="A572" s="2">
        <f>'[01_Entry.xlsx]Book'!A572</f>
        <v/>
      </c>
      <c r="B572" s="2">
        <f>'[01_Entry.xlsx]Book'!B572</f>
        <v/>
      </c>
      <c r="C572" s="2">
        <f>'[01_Entry.xlsx]Book'!D572</f>
        <v/>
      </c>
      <c r="D572" s="2">
        <f>'[01_Entry.xlsx]Book'!E572</f>
        <v/>
      </c>
      <c r="E572" s="2">
        <f>'[01_Entry.xlsx]Book'!O572</f>
        <v/>
      </c>
      <c r="F572" s="2">
        <f>'[01_Entry.xlsx]Book'!N572</f>
        <v/>
      </c>
      <c r="G572" s="3">
        <f>'[01_Entry.xlsx]Book'!L572</f>
        <v/>
      </c>
      <c r="H572" s="3">
        <f>'[01_Entry.xlsx]Book'!M572</f>
        <v/>
      </c>
      <c r="I572" s="3">
        <f>'[01_Entry.xlsx]Book'!K572</f>
        <v/>
      </c>
      <c r="J572" s="3">
        <f>'[01_Entry.xlsx]Book'!P572</f>
        <v/>
      </c>
      <c r="K572" s="3">
        <f>'[01_Entry.xlsx]Book'!F572</f>
        <v/>
      </c>
      <c r="L572" s="3">
        <f>'[01_Entry.xlsx]Book'!G572</f>
        <v/>
      </c>
      <c r="M572" s="3">
        <f>'[01_Entry.xlsx]Book'!I572</f>
        <v/>
      </c>
      <c r="N572" s="2">
        <f>IF($A572="","",MID($A572,6,2))</f>
        <v>0</v>
      </c>
      <c r="O572" s="2">
        <f>IF(OR($C572="",$C572&lt;&gt;'Inv'!$D$12),"",N(O$571)+1)</f>
        <v>0</v>
      </c>
    </row>
    <row r="573" spans="1:15">
      <c r="A573" s="2">
        <f>'[01_Entry.xlsx]Book'!A573</f>
        <v/>
      </c>
      <c r="B573" s="2">
        <f>'[01_Entry.xlsx]Book'!B573</f>
        <v/>
      </c>
      <c r="C573" s="2">
        <f>'[01_Entry.xlsx]Book'!D573</f>
        <v/>
      </c>
      <c r="D573" s="2">
        <f>'[01_Entry.xlsx]Book'!E573</f>
        <v/>
      </c>
      <c r="E573" s="2">
        <f>'[01_Entry.xlsx]Book'!O573</f>
        <v/>
      </c>
      <c r="F573" s="2">
        <f>'[01_Entry.xlsx]Book'!N573</f>
        <v/>
      </c>
      <c r="G573" s="3">
        <f>'[01_Entry.xlsx]Book'!L573</f>
        <v/>
      </c>
      <c r="H573" s="3">
        <f>'[01_Entry.xlsx]Book'!M573</f>
        <v/>
      </c>
      <c r="I573" s="3">
        <f>'[01_Entry.xlsx]Book'!K573</f>
        <v/>
      </c>
      <c r="J573" s="3">
        <f>'[01_Entry.xlsx]Book'!P573</f>
        <v/>
      </c>
      <c r="K573" s="3">
        <f>'[01_Entry.xlsx]Book'!F573</f>
        <v/>
      </c>
      <c r="L573" s="3">
        <f>'[01_Entry.xlsx]Book'!G573</f>
        <v/>
      </c>
      <c r="M573" s="3">
        <f>'[01_Entry.xlsx]Book'!I573</f>
        <v/>
      </c>
      <c r="N573" s="2">
        <f>IF($A573="","",MID($A573,6,2))</f>
        <v>0</v>
      </c>
      <c r="O573" s="2">
        <f>IF(OR($C573="",$C573&lt;&gt;'Inv'!$D$12),"",N(O$572)+1)</f>
        <v>0</v>
      </c>
    </row>
    <row r="574" spans="1:15">
      <c r="A574" s="2">
        <f>'[01_Entry.xlsx]Book'!A574</f>
        <v/>
      </c>
      <c r="B574" s="2">
        <f>'[01_Entry.xlsx]Book'!B574</f>
        <v/>
      </c>
      <c r="C574" s="2">
        <f>'[01_Entry.xlsx]Book'!D574</f>
        <v/>
      </c>
      <c r="D574" s="2">
        <f>'[01_Entry.xlsx]Book'!E574</f>
        <v/>
      </c>
      <c r="E574" s="2">
        <f>'[01_Entry.xlsx]Book'!O574</f>
        <v/>
      </c>
      <c r="F574" s="2">
        <f>'[01_Entry.xlsx]Book'!N574</f>
        <v/>
      </c>
      <c r="G574" s="3">
        <f>'[01_Entry.xlsx]Book'!L574</f>
        <v/>
      </c>
      <c r="H574" s="3">
        <f>'[01_Entry.xlsx]Book'!M574</f>
        <v/>
      </c>
      <c r="I574" s="3">
        <f>'[01_Entry.xlsx]Book'!K574</f>
        <v/>
      </c>
      <c r="J574" s="3">
        <f>'[01_Entry.xlsx]Book'!P574</f>
        <v/>
      </c>
      <c r="K574" s="3">
        <f>'[01_Entry.xlsx]Book'!F574</f>
        <v/>
      </c>
      <c r="L574" s="3">
        <f>'[01_Entry.xlsx]Book'!G574</f>
        <v/>
      </c>
      <c r="M574" s="3">
        <f>'[01_Entry.xlsx]Book'!I574</f>
        <v/>
      </c>
      <c r="N574" s="2">
        <f>IF($A574="","",MID($A574,6,2))</f>
        <v>0</v>
      </c>
      <c r="O574" s="2">
        <f>IF(OR($C574="",$C574&lt;&gt;'Inv'!$D$12),"",N(O$573)+1)</f>
        <v>0</v>
      </c>
    </row>
    <row r="575" spans="1:15">
      <c r="A575" s="2">
        <f>'[01_Entry.xlsx]Book'!A575</f>
        <v/>
      </c>
      <c r="B575" s="2">
        <f>'[01_Entry.xlsx]Book'!B575</f>
        <v/>
      </c>
      <c r="C575" s="2">
        <f>'[01_Entry.xlsx]Book'!D575</f>
        <v/>
      </c>
      <c r="D575" s="2">
        <f>'[01_Entry.xlsx]Book'!E575</f>
        <v/>
      </c>
      <c r="E575" s="2">
        <f>'[01_Entry.xlsx]Book'!O575</f>
        <v/>
      </c>
      <c r="F575" s="2">
        <f>'[01_Entry.xlsx]Book'!N575</f>
        <v/>
      </c>
      <c r="G575" s="3">
        <f>'[01_Entry.xlsx]Book'!L575</f>
        <v/>
      </c>
      <c r="H575" s="3">
        <f>'[01_Entry.xlsx]Book'!M575</f>
        <v/>
      </c>
      <c r="I575" s="3">
        <f>'[01_Entry.xlsx]Book'!K575</f>
        <v/>
      </c>
      <c r="J575" s="3">
        <f>'[01_Entry.xlsx]Book'!P575</f>
        <v/>
      </c>
      <c r="K575" s="3">
        <f>'[01_Entry.xlsx]Book'!F575</f>
        <v/>
      </c>
      <c r="L575" s="3">
        <f>'[01_Entry.xlsx]Book'!G575</f>
        <v/>
      </c>
      <c r="M575" s="3">
        <f>'[01_Entry.xlsx]Book'!I575</f>
        <v/>
      </c>
      <c r="N575" s="2">
        <f>IF($A575="","",MID($A575,6,2))</f>
        <v>0</v>
      </c>
      <c r="O575" s="2">
        <f>IF(OR($C575="",$C575&lt;&gt;'Inv'!$D$12),"",N(O$574)+1)</f>
        <v>0</v>
      </c>
    </row>
    <row r="576" spans="1:15">
      <c r="A576" s="2">
        <f>'[01_Entry.xlsx]Book'!A576</f>
        <v/>
      </c>
      <c r="B576" s="2">
        <f>'[01_Entry.xlsx]Book'!B576</f>
        <v/>
      </c>
      <c r="C576" s="2">
        <f>'[01_Entry.xlsx]Book'!D576</f>
        <v/>
      </c>
      <c r="D576" s="2">
        <f>'[01_Entry.xlsx]Book'!E576</f>
        <v/>
      </c>
      <c r="E576" s="2">
        <f>'[01_Entry.xlsx]Book'!O576</f>
        <v/>
      </c>
      <c r="F576" s="2">
        <f>'[01_Entry.xlsx]Book'!N576</f>
        <v/>
      </c>
      <c r="G576" s="3">
        <f>'[01_Entry.xlsx]Book'!L576</f>
        <v/>
      </c>
      <c r="H576" s="3">
        <f>'[01_Entry.xlsx]Book'!M576</f>
        <v/>
      </c>
      <c r="I576" s="3">
        <f>'[01_Entry.xlsx]Book'!K576</f>
        <v/>
      </c>
      <c r="J576" s="3">
        <f>'[01_Entry.xlsx]Book'!P576</f>
        <v/>
      </c>
      <c r="K576" s="3">
        <f>'[01_Entry.xlsx]Book'!F576</f>
        <v/>
      </c>
      <c r="L576" s="3">
        <f>'[01_Entry.xlsx]Book'!G576</f>
        <v/>
      </c>
      <c r="M576" s="3">
        <f>'[01_Entry.xlsx]Book'!I576</f>
        <v/>
      </c>
      <c r="N576" s="2">
        <f>IF($A576="","",MID($A576,6,2))</f>
        <v>0</v>
      </c>
      <c r="O576" s="2">
        <f>IF(OR($C576="",$C576&lt;&gt;'Inv'!$D$12),"",N(O$575)+1)</f>
        <v>0</v>
      </c>
    </row>
    <row r="577" spans="1:15">
      <c r="A577" s="2">
        <f>'[01_Entry.xlsx]Book'!A577</f>
        <v/>
      </c>
      <c r="B577" s="2">
        <f>'[01_Entry.xlsx]Book'!B577</f>
        <v/>
      </c>
      <c r="C577" s="2">
        <f>'[01_Entry.xlsx]Book'!D577</f>
        <v/>
      </c>
      <c r="D577" s="2">
        <f>'[01_Entry.xlsx]Book'!E577</f>
        <v/>
      </c>
      <c r="E577" s="2">
        <f>'[01_Entry.xlsx]Book'!O577</f>
        <v/>
      </c>
      <c r="F577" s="2">
        <f>'[01_Entry.xlsx]Book'!N577</f>
        <v/>
      </c>
      <c r="G577" s="3">
        <f>'[01_Entry.xlsx]Book'!L577</f>
        <v/>
      </c>
      <c r="H577" s="3">
        <f>'[01_Entry.xlsx]Book'!M577</f>
        <v/>
      </c>
      <c r="I577" s="3">
        <f>'[01_Entry.xlsx]Book'!K577</f>
        <v/>
      </c>
      <c r="J577" s="3">
        <f>'[01_Entry.xlsx]Book'!P577</f>
        <v/>
      </c>
      <c r="K577" s="3">
        <f>'[01_Entry.xlsx]Book'!F577</f>
        <v/>
      </c>
      <c r="L577" s="3">
        <f>'[01_Entry.xlsx]Book'!G577</f>
        <v/>
      </c>
      <c r="M577" s="3">
        <f>'[01_Entry.xlsx]Book'!I577</f>
        <v/>
      </c>
      <c r="N577" s="2">
        <f>IF($A577="","",MID($A577,6,2))</f>
        <v>0</v>
      </c>
      <c r="O577" s="2">
        <f>IF(OR($C577="",$C577&lt;&gt;'Inv'!$D$12),"",N(O$576)+1)</f>
        <v>0</v>
      </c>
    </row>
    <row r="578" spans="1:15">
      <c r="A578" s="2">
        <f>'[01_Entry.xlsx]Book'!A578</f>
        <v/>
      </c>
      <c r="B578" s="2">
        <f>'[01_Entry.xlsx]Book'!B578</f>
        <v/>
      </c>
      <c r="C578" s="2">
        <f>'[01_Entry.xlsx]Book'!D578</f>
        <v/>
      </c>
      <c r="D578" s="2">
        <f>'[01_Entry.xlsx]Book'!E578</f>
        <v/>
      </c>
      <c r="E578" s="2">
        <f>'[01_Entry.xlsx]Book'!O578</f>
        <v/>
      </c>
      <c r="F578" s="2">
        <f>'[01_Entry.xlsx]Book'!N578</f>
        <v/>
      </c>
      <c r="G578" s="3">
        <f>'[01_Entry.xlsx]Book'!L578</f>
        <v/>
      </c>
      <c r="H578" s="3">
        <f>'[01_Entry.xlsx]Book'!M578</f>
        <v/>
      </c>
      <c r="I578" s="3">
        <f>'[01_Entry.xlsx]Book'!K578</f>
        <v/>
      </c>
      <c r="J578" s="3">
        <f>'[01_Entry.xlsx]Book'!P578</f>
        <v/>
      </c>
      <c r="K578" s="3">
        <f>'[01_Entry.xlsx]Book'!F578</f>
        <v/>
      </c>
      <c r="L578" s="3">
        <f>'[01_Entry.xlsx]Book'!G578</f>
        <v/>
      </c>
      <c r="M578" s="3">
        <f>'[01_Entry.xlsx]Book'!I578</f>
        <v/>
      </c>
      <c r="N578" s="2">
        <f>IF($A578="","",MID($A578,6,2))</f>
        <v>0</v>
      </c>
      <c r="O578" s="2">
        <f>IF(OR($C578="",$C578&lt;&gt;'Inv'!$D$12),"",N(O$577)+1)</f>
        <v>0</v>
      </c>
    </row>
    <row r="579" spans="1:15">
      <c r="A579" s="2">
        <f>'[01_Entry.xlsx]Book'!A579</f>
        <v/>
      </c>
      <c r="B579" s="2">
        <f>'[01_Entry.xlsx]Book'!B579</f>
        <v/>
      </c>
      <c r="C579" s="2">
        <f>'[01_Entry.xlsx]Book'!D579</f>
        <v/>
      </c>
      <c r="D579" s="2">
        <f>'[01_Entry.xlsx]Book'!E579</f>
        <v/>
      </c>
      <c r="E579" s="2">
        <f>'[01_Entry.xlsx]Book'!O579</f>
        <v/>
      </c>
      <c r="F579" s="2">
        <f>'[01_Entry.xlsx]Book'!N579</f>
        <v/>
      </c>
      <c r="G579" s="3">
        <f>'[01_Entry.xlsx]Book'!L579</f>
        <v/>
      </c>
      <c r="H579" s="3">
        <f>'[01_Entry.xlsx]Book'!M579</f>
        <v/>
      </c>
      <c r="I579" s="3">
        <f>'[01_Entry.xlsx]Book'!K579</f>
        <v/>
      </c>
      <c r="J579" s="3">
        <f>'[01_Entry.xlsx]Book'!P579</f>
        <v/>
      </c>
      <c r="K579" s="3">
        <f>'[01_Entry.xlsx]Book'!F579</f>
        <v/>
      </c>
      <c r="L579" s="3">
        <f>'[01_Entry.xlsx]Book'!G579</f>
        <v/>
      </c>
      <c r="M579" s="3">
        <f>'[01_Entry.xlsx]Book'!I579</f>
        <v/>
      </c>
      <c r="N579" s="2">
        <f>IF($A579="","",MID($A579,6,2))</f>
        <v>0</v>
      </c>
      <c r="O579" s="2">
        <f>IF(OR($C579="",$C579&lt;&gt;'Inv'!$D$12),"",N(O$578)+1)</f>
        <v>0</v>
      </c>
    </row>
    <row r="580" spans="1:15">
      <c r="A580" s="2">
        <f>'[01_Entry.xlsx]Book'!A580</f>
        <v/>
      </c>
      <c r="B580" s="2">
        <f>'[01_Entry.xlsx]Book'!B580</f>
        <v/>
      </c>
      <c r="C580" s="2">
        <f>'[01_Entry.xlsx]Book'!D580</f>
        <v/>
      </c>
      <c r="D580" s="2">
        <f>'[01_Entry.xlsx]Book'!E580</f>
        <v/>
      </c>
      <c r="E580" s="2">
        <f>'[01_Entry.xlsx]Book'!O580</f>
        <v/>
      </c>
      <c r="F580" s="2">
        <f>'[01_Entry.xlsx]Book'!N580</f>
        <v/>
      </c>
      <c r="G580" s="3">
        <f>'[01_Entry.xlsx]Book'!L580</f>
        <v/>
      </c>
      <c r="H580" s="3">
        <f>'[01_Entry.xlsx]Book'!M580</f>
        <v/>
      </c>
      <c r="I580" s="3">
        <f>'[01_Entry.xlsx]Book'!K580</f>
        <v/>
      </c>
      <c r="J580" s="3">
        <f>'[01_Entry.xlsx]Book'!P580</f>
        <v/>
      </c>
      <c r="K580" s="3">
        <f>'[01_Entry.xlsx]Book'!F580</f>
        <v/>
      </c>
      <c r="L580" s="3">
        <f>'[01_Entry.xlsx]Book'!G580</f>
        <v/>
      </c>
      <c r="M580" s="3">
        <f>'[01_Entry.xlsx]Book'!I580</f>
        <v/>
      </c>
      <c r="N580" s="2">
        <f>IF($A580="","",MID($A580,6,2))</f>
        <v>0</v>
      </c>
      <c r="O580" s="2">
        <f>IF(OR($C580="",$C580&lt;&gt;'Inv'!$D$12),"",N(O$579)+1)</f>
        <v>0</v>
      </c>
    </row>
    <row r="581" spans="1:15">
      <c r="A581" s="2">
        <f>'[01_Entry.xlsx]Book'!A581</f>
        <v/>
      </c>
      <c r="B581" s="2">
        <f>'[01_Entry.xlsx]Book'!B581</f>
        <v/>
      </c>
      <c r="C581" s="2">
        <f>'[01_Entry.xlsx]Book'!D581</f>
        <v/>
      </c>
      <c r="D581" s="2">
        <f>'[01_Entry.xlsx]Book'!E581</f>
        <v/>
      </c>
      <c r="E581" s="2">
        <f>'[01_Entry.xlsx]Book'!O581</f>
        <v/>
      </c>
      <c r="F581" s="2">
        <f>'[01_Entry.xlsx]Book'!N581</f>
        <v/>
      </c>
      <c r="G581" s="3">
        <f>'[01_Entry.xlsx]Book'!L581</f>
        <v/>
      </c>
      <c r="H581" s="3">
        <f>'[01_Entry.xlsx]Book'!M581</f>
        <v/>
      </c>
      <c r="I581" s="3">
        <f>'[01_Entry.xlsx]Book'!K581</f>
        <v/>
      </c>
      <c r="J581" s="3">
        <f>'[01_Entry.xlsx]Book'!P581</f>
        <v/>
      </c>
      <c r="K581" s="3">
        <f>'[01_Entry.xlsx]Book'!F581</f>
        <v/>
      </c>
      <c r="L581" s="3">
        <f>'[01_Entry.xlsx]Book'!G581</f>
        <v/>
      </c>
      <c r="M581" s="3">
        <f>'[01_Entry.xlsx]Book'!I581</f>
        <v/>
      </c>
      <c r="N581" s="2">
        <f>IF($A581="","",MID($A581,6,2))</f>
        <v>0</v>
      </c>
      <c r="O581" s="2">
        <f>IF(OR($C581="",$C581&lt;&gt;'Inv'!$D$12),"",N(O$580)+1)</f>
        <v>0</v>
      </c>
    </row>
    <row r="582" spans="1:15">
      <c r="A582" s="2">
        <f>'[01_Entry.xlsx]Book'!A582</f>
        <v/>
      </c>
      <c r="B582" s="2">
        <f>'[01_Entry.xlsx]Book'!B582</f>
        <v/>
      </c>
      <c r="C582" s="2">
        <f>'[01_Entry.xlsx]Book'!D582</f>
        <v/>
      </c>
      <c r="D582" s="2">
        <f>'[01_Entry.xlsx]Book'!E582</f>
        <v/>
      </c>
      <c r="E582" s="2">
        <f>'[01_Entry.xlsx]Book'!O582</f>
        <v/>
      </c>
      <c r="F582" s="2">
        <f>'[01_Entry.xlsx]Book'!N582</f>
        <v/>
      </c>
      <c r="G582" s="3">
        <f>'[01_Entry.xlsx]Book'!L582</f>
        <v/>
      </c>
      <c r="H582" s="3">
        <f>'[01_Entry.xlsx]Book'!M582</f>
        <v/>
      </c>
      <c r="I582" s="3">
        <f>'[01_Entry.xlsx]Book'!K582</f>
        <v/>
      </c>
      <c r="J582" s="3">
        <f>'[01_Entry.xlsx]Book'!P582</f>
        <v/>
      </c>
      <c r="K582" s="3">
        <f>'[01_Entry.xlsx]Book'!F582</f>
        <v/>
      </c>
      <c r="L582" s="3">
        <f>'[01_Entry.xlsx]Book'!G582</f>
        <v/>
      </c>
      <c r="M582" s="3">
        <f>'[01_Entry.xlsx]Book'!I582</f>
        <v/>
      </c>
      <c r="N582" s="2">
        <f>IF($A582="","",MID($A582,6,2))</f>
        <v>0</v>
      </c>
      <c r="O582" s="2">
        <f>IF(OR($C582="",$C582&lt;&gt;'Inv'!$D$12),"",N(O$581)+1)</f>
        <v>0</v>
      </c>
    </row>
    <row r="583" spans="1:15">
      <c r="A583" s="2">
        <f>'[01_Entry.xlsx]Book'!A583</f>
        <v/>
      </c>
      <c r="B583" s="2">
        <f>'[01_Entry.xlsx]Book'!B583</f>
        <v/>
      </c>
      <c r="C583" s="2">
        <f>'[01_Entry.xlsx]Book'!D583</f>
        <v/>
      </c>
      <c r="D583" s="2">
        <f>'[01_Entry.xlsx]Book'!E583</f>
        <v/>
      </c>
      <c r="E583" s="2">
        <f>'[01_Entry.xlsx]Book'!O583</f>
        <v/>
      </c>
      <c r="F583" s="2">
        <f>'[01_Entry.xlsx]Book'!N583</f>
        <v/>
      </c>
      <c r="G583" s="3">
        <f>'[01_Entry.xlsx]Book'!L583</f>
        <v/>
      </c>
      <c r="H583" s="3">
        <f>'[01_Entry.xlsx]Book'!M583</f>
        <v/>
      </c>
      <c r="I583" s="3">
        <f>'[01_Entry.xlsx]Book'!K583</f>
        <v/>
      </c>
      <c r="J583" s="3">
        <f>'[01_Entry.xlsx]Book'!P583</f>
        <v/>
      </c>
      <c r="K583" s="3">
        <f>'[01_Entry.xlsx]Book'!F583</f>
        <v/>
      </c>
      <c r="L583" s="3">
        <f>'[01_Entry.xlsx]Book'!G583</f>
        <v/>
      </c>
      <c r="M583" s="3">
        <f>'[01_Entry.xlsx]Book'!I583</f>
        <v/>
      </c>
      <c r="N583" s="2">
        <f>IF($A583="","",MID($A583,6,2))</f>
        <v>0</v>
      </c>
      <c r="O583" s="2">
        <f>IF(OR($C583="",$C583&lt;&gt;'Inv'!$D$12),"",N(O$582)+1)</f>
        <v>0</v>
      </c>
    </row>
    <row r="584" spans="1:15">
      <c r="A584" s="2">
        <f>'[01_Entry.xlsx]Book'!A584</f>
        <v/>
      </c>
      <c r="B584" s="2">
        <f>'[01_Entry.xlsx]Book'!B584</f>
        <v/>
      </c>
      <c r="C584" s="2">
        <f>'[01_Entry.xlsx]Book'!D584</f>
        <v/>
      </c>
      <c r="D584" s="2">
        <f>'[01_Entry.xlsx]Book'!E584</f>
        <v/>
      </c>
      <c r="E584" s="2">
        <f>'[01_Entry.xlsx]Book'!O584</f>
        <v/>
      </c>
      <c r="F584" s="2">
        <f>'[01_Entry.xlsx]Book'!N584</f>
        <v/>
      </c>
      <c r="G584" s="3">
        <f>'[01_Entry.xlsx]Book'!L584</f>
        <v/>
      </c>
      <c r="H584" s="3">
        <f>'[01_Entry.xlsx]Book'!M584</f>
        <v/>
      </c>
      <c r="I584" s="3">
        <f>'[01_Entry.xlsx]Book'!K584</f>
        <v/>
      </c>
      <c r="J584" s="3">
        <f>'[01_Entry.xlsx]Book'!P584</f>
        <v/>
      </c>
      <c r="K584" s="3">
        <f>'[01_Entry.xlsx]Book'!F584</f>
        <v/>
      </c>
      <c r="L584" s="3">
        <f>'[01_Entry.xlsx]Book'!G584</f>
        <v/>
      </c>
      <c r="M584" s="3">
        <f>'[01_Entry.xlsx]Book'!I584</f>
        <v/>
      </c>
      <c r="N584" s="2">
        <f>IF($A584="","",MID($A584,6,2))</f>
        <v>0</v>
      </c>
      <c r="O584" s="2">
        <f>IF(OR($C584="",$C584&lt;&gt;'Inv'!$D$12),"",N(O$583)+1)</f>
        <v>0</v>
      </c>
    </row>
    <row r="585" spans="1:15">
      <c r="A585" s="2">
        <f>'[01_Entry.xlsx]Book'!A585</f>
        <v/>
      </c>
      <c r="B585" s="2">
        <f>'[01_Entry.xlsx]Book'!B585</f>
        <v/>
      </c>
      <c r="C585" s="2">
        <f>'[01_Entry.xlsx]Book'!D585</f>
        <v/>
      </c>
      <c r="D585" s="2">
        <f>'[01_Entry.xlsx]Book'!E585</f>
        <v/>
      </c>
      <c r="E585" s="2">
        <f>'[01_Entry.xlsx]Book'!O585</f>
        <v/>
      </c>
      <c r="F585" s="2">
        <f>'[01_Entry.xlsx]Book'!N585</f>
        <v/>
      </c>
      <c r="G585" s="3">
        <f>'[01_Entry.xlsx]Book'!L585</f>
        <v/>
      </c>
      <c r="H585" s="3">
        <f>'[01_Entry.xlsx]Book'!M585</f>
        <v/>
      </c>
      <c r="I585" s="3">
        <f>'[01_Entry.xlsx]Book'!K585</f>
        <v/>
      </c>
      <c r="J585" s="3">
        <f>'[01_Entry.xlsx]Book'!P585</f>
        <v/>
      </c>
      <c r="K585" s="3">
        <f>'[01_Entry.xlsx]Book'!F585</f>
        <v/>
      </c>
      <c r="L585" s="3">
        <f>'[01_Entry.xlsx]Book'!G585</f>
        <v/>
      </c>
      <c r="M585" s="3">
        <f>'[01_Entry.xlsx]Book'!I585</f>
        <v/>
      </c>
      <c r="N585" s="2">
        <f>IF($A585="","",MID($A585,6,2))</f>
        <v>0</v>
      </c>
      <c r="O585" s="2">
        <f>IF(OR($C585="",$C585&lt;&gt;'Inv'!$D$12),"",N(O$584)+1)</f>
        <v>0</v>
      </c>
    </row>
    <row r="586" spans="1:15">
      <c r="A586" s="2">
        <f>'[01_Entry.xlsx]Book'!A586</f>
        <v/>
      </c>
      <c r="B586" s="2">
        <f>'[01_Entry.xlsx]Book'!B586</f>
        <v/>
      </c>
      <c r="C586" s="2">
        <f>'[01_Entry.xlsx]Book'!D586</f>
        <v/>
      </c>
      <c r="D586" s="2">
        <f>'[01_Entry.xlsx]Book'!E586</f>
        <v/>
      </c>
      <c r="E586" s="2">
        <f>'[01_Entry.xlsx]Book'!O586</f>
        <v/>
      </c>
      <c r="F586" s="2">
        <f>'[01_Entry.xlsx]Book'!N586</f>
        <v/>
      </c>
      <c r="G586" s="3">
        <f>'[01_Entry.xlsx]Book'!L586</f>
        <v/>
      </c>
      <c r="H586" s="3">
        <f>'[01_Entry.xlsx]Book'!M586</f>
        <v/>
      </c>
      <c r="I586" s="3">
        <f>'[01_Entry.xlsx]Book'!K586</f>
        <v/>
      </c>
      <c r="J586" s="3">
        <f>'[01_Entry.xlsx]Book'!P586</f>
        <v/>
      </c>
      <c r="K586" s="3">
        <f>'[01_Entry.xlsx]Book'!F586</f>
        <v/>
      </c>
      <c r="L586" s="3">
        <f>'[01_Entry.xlsx]Book'!G586</f>
        <v/>
      </c>
      <c r="M586" s="3">
        <f>'[01_Entry.xlsx]Book'!I586</f>
        <v/>
      </c>
      <c r="N586" s="2">
        <f>IF($A586="","",MID($A586,6,2))</f>
        <v>0</v>
      </c>
      <c r="O586" s="2">
        <f>IF(OR($C586="",$C586&lt;&gt;'Inv'!$D$12),"",N(O$585)+1)</f>
        <v>0</v>
      </c>
    </row>
    <row r="587" spans="1:15">
      <c r="A587" s="2">
        <f>'[01_Entry.xlsx]Book'!A587</f>
        <v/>
      </c>
      <c r="B587" s="2">
        <f>'[01_Entry.xlsx]Book'!B587</f>
        <v/>
      </c>
      <c r="C587" s="2">
        <f>'[01_Entry.xlsx]Book'!D587</f>
        <v/>
      </c>
      <c r="D587" s="2">
        <f>'[01_Entry.xlsx]Book'!E587</f>
        <v/>
      </c>
      <c r="E587" s="2">
        <f>'[01_Entry.xlsx]Book'!O587</f>
        <v/>
      </c>
      <c r="F587" s="2">
        <f>'[01_Entry.xlsx]Book'!N587</f>
        <v/>
      </c>
      <c r="G587" s="3">
        <f>'[01_Entry.xlsx]Book'!L587</f>
        <v/>
      </c>
      <c r="H587" s="3">
        <f>'[01_Entry.xlsx]Book'!M587</f>
        <v/>
      </c>
      <c r="I587" s="3">
        <f>'[01_Entry.xlsx]Book'!K587</f>
        <v/>
      </c>
      <c r="J587" s="3">
        <f>'[01_Entry.xlsx]Book'!P587</f>
        <v/>
      </c>
      <c r="K587" s="3">
        <f>'[01_Entry.xlsx]Book'!F587</f>
        <v/>
      </c>
      <c r="L587" s="3">
        <f>'[01_Entry.xlsx]Book'!G587</f>
        <v/>
      </c>
      <c r="M587" s="3">
        <f>'[01_Entry.xlsx]Book'!I587</f>
        <v/>
      </c>
      <c r="N587" s="2">
        <f>IF($A587="","",MID($A587,6,2))</f>
        <v>0</v>
      </c>
      <c r="O587" s="2">
        <f>IF(OR($C587="",$C587&lt;&gt;'Inv'!$D$12),"",N(O$586)+1)</f>
        <v>0</v>
      </c>
    </row>
    <row r="588" spans="1:15">
      <c r="A588" s="2">
        <f>'[01_Entry.xlsx]Book'!A588</f>
        <v/>
      </c>
      <c r="B588" s="2">
        <f>'[01_Entry.xlsx]Book'!B588</f>
        <v/>
      </c>
      <c r="C588" s="2">
        <f>'[01_Entry.xlsx]Book'!D588</f>
        <v/>
      </c>
      <c r="D588" s="2">
        <f>'[01_Entry.xlsx]Book'!E588</f>
        <v/>
      </c>
      <c r="E588" s="2">
        <f>'[01_Entry.xlsx]Book'!O588</f>
        <v/>
      </c>
      <c r="F588" s="2">
        <f>'[01_Entry.xlsx]Book'!N588</f>
        <v/>
      </c>
      <c r="G588" s="3">
        <f>'[01_Entry.xlsx]Book'!L588</f>
        <v/>
      </c>
      <c r="H588" s="3">
        <f>'[01_Entry.xlsx]Book'!M588</f>
        <v/>
      </c>
      <c r="I588" s="3">
        <f>'[01_Entry.xlsx]Book'!K588</f>
        <v/>
      </c>
      <c r="J588" s="3">
        <f>'[01_Entry.xlsx]Book'!P588</f>
        <v/>
      </c>
      <c r="K588" s="3">
        <f>'[01_Entry.xlsx]Book'!F588</f>
        <v/>
      </c>
      <c r="L588" s="3">
        <f>'[01_Entry.xlsx]Book'!G588</f>
        <v/>
      </c>
      <c r="M588" s="3">
        <f>'[01_Entry.xlsx]Book'!I588</f>
        <v/>
      </c>
      <c r="N588" s="2">
        <f>IF($A588="","",MID($A588,6,2))</f>
        <v>0</v>
      </c>
      <c r="O588" s="2">
        <f>IF(OR($C588="",$C588&lt;&gt;'Inv'!$D$12),"",N(O$587)+1)</f>
        <v>0</v>
      </c>
    </row>
    <row r="589" spans="1:15">
      <c r="A589" s="2">
        <f>'[01_Entry.xlsx]Book'!A589</f>
        <v/>
      </c>
      <c r="B589" s="2">
        <f>'[01_Entry.xlsx]Book'!B589</f>
        <v/>
      </c>
      <c r="C589" s="2">
        <f>'[01_Entry.xlsx]Book'!D589</f>
        <v/>
      </c>
      <c r="D589" s="2">
        <f>'[01_Entry.xlsx]Book'!E589</f>
        <v/>
      </c>
      <c r="E589" s="2">
        <f>'[01_Entry.xlsx]Book'!O589</f>
        <v/>
      </c>
      <c r="F589" s="2">
        <f>'[01_Entry.xlsx]Book'!N589</f>
        <v/>
      </c>
      <c r="G589" s="3">
        <f>'[01_Entry.xlsx]Book'!L589</f>
        <v/>
      </c>
      <c r="H589" s="3">
        <f>'[01_Entry.xlsx]Book'!M589</f>
        <v/>
      </c>
      <c r="I589" s="3">
        <f>'[01_Entry.xlsx]Book'!K589</f>
        <v/>
      </c>
      <c r="J589" s="3">
        <f>'[01_Entry.xlsx]Book'!P589</f>
        <v/>
      </c>
      <c r="K589" s="3">
        <f>'[01_Entry.xlsx]Book'!F589</f>
        <v/>
      </c>
      <c r="L589" s="3">
        <f>'[01_Entry.xlsx]Book'!G589</f>
        <v/>
      </c>
      <c r="M589" s="3">
        <f>'[01_Entry.xlsx]Book'!I589</f>
        <v/>
      </c>
      <c r="N589" s="2">
        <f>IF($A589="","",MID($A589,6,2))</f>
        <v>0</v>
      </c>
      <c r="O589" s="2">
        <f>IF(OR($C589="",$C589&lt;&gt;'Inv'!$D$12),"",N(O$588)+1)</f>
        <v>0</v>
      </c>
    </row>
    <row r="590" spans="1:15">
      <c r="A590" s="2">
        <f>'[01_Entry.xlsx]Book'!A590</f>
        <v/>
      </c>
      <c r="B590" s="2">
        <f>'[01_Entry.xlsx]Book'!B590</f>
        <v/>
      </c>
      <c r="C590" s="2">
        <f>'[01_Entry.xlsx]Book'!D590</f>
        <v/>
      </c>
      <c r="D590" s="2">
        <f>'[01_Entry.xlsx]Book'!E590</f>
        <v/>
      </c>
      <c r="E590" s="2">
        <f>'[01_Entry.xlsx]Book'!O590</f>
        <v/>
      </c>
      <c r="F590" s="2">
        <f>'[01_Entry.xlsx]Book'!N590</f>
        <v/>
      </c>
      <c r="G590" s="3">
        <f>'[01_Entry.xlsx]Book'!L590</f>
        <v/>
      </c>
      <c r="H590" s="3">
        <f>'[01_Entry.xlsx]Book'!M590</f>
        <v/>
      </c>
      <c r="I590" s="3">
        <f>'[01_Entry.xlsx]Book'!K590</f>
        <v/>
      </c>
      <c r="J590" s="3">
        <f>'[01_Entry.xlsx]Book'!P590</f>
        <v/>
      </c>
      <c r="K590" s="3">
        <f>'[01_Entry.xlsx]Book'!F590</f>
        <v/>
      </c>
      <c r="L590" s="3">
        <f>'[01_Entry.xlsx]Book'!G590</f>
        <v/>
      </c>
      <c r="M590" s="3">
        <f>'[01_Entry.xlsx]Book'!I590</f>
        <v/>
      </c>
      <c r="N590" s="2">
        <f>IF($A590="","",MID($A590,6,2))</f>
        <v>0</v>
      </c>
      <c r="O590" s="2">
        <f>IF(OR($C590="",$C590&lt;&gt;'Inv'!$D$12),"",N(O$589)+1)</f>
        <v>0</v>
      </c>
    </row>
    <row r="591" spans="1:15">
      <c r="A591" s="2">
        <f>'[01_Entry.xlsx]Book'!A591</f>
        <v/>
      </c>
      <c r="B591" s="2">
        <f>'[01_Entry.xlsx]Book'!B591</f>
        <v/>
      </c>
      <c r="C591" s="2">
        <f>'[01_Entry.xlsx]Book'!D591</f>
        <v/>
      </c>
      <c r="D591" s="2">
        <f>'[01_Entry.xlsx]Book'!E591</f>
        <v/>
      </c>
      <c r="E591" s="2">
        <f>'[01_Entry.xlsx]Book'!O591</f>
        <v/>
      </c>
      <c r="F591" s="2">
        <f>'[01_Entry.xlsx]Book'!N591</f>
        <v/>
      </c>
      <c r="G591" s="3">
        <f>'[01_Entry.xlsx]Book'!L591</f>
        <v/>
      </c>
      <c r="H591" s="3">
        <f>'[01_Entry.xlsx]Book'!M591</f>
        <v/>
      </c>
      <c r="I591" s="3">
        <f>'[01_Entry.xlsx]Book'!K591</f>
        <v/>
      </c>
      <c r="J591" s="3">
        <f>'[01_Entry.xlsx]Book'!P591</f>
        <v/>
      </c>
      <c r="K591" s="3">
        <f>'[01_Entry.xlsx]Book'!F591</f>
        <v/>
      </c>
      <c r="L591" s="3">
        <f>'[01_Entry.xlsx]Book'!G591</f>
        <v/>
      </c>
      <c r="M591" s="3">
        <f>'[01_Entry.xlsx]Book'!I591</f>
        <v/>
      </c>
      <c r="N591" s="2">
        <f>IF($A591="","",MID($A591,6,2))</f>
        <v>0</v>
      </c>
      <c r="O591" s="2">
        <f>IF(OR($C591="",$C591&lt;&gt;'Inv'!$D$12),"",N(O$590)+1)</f>
        <v>0</v>
      </c>
    </row>
    <row r="592" spans="1:15">
      <c r="A592" s="2">
        <f>'[01_Entry.xlsx]Book'!A592</f>
        <v/>
      </c>
      <c r="B592" s="2">
        <f>'[01_Entry.xlsx]Book'!B592</f>
        <v/>
      </c>
      <c r="C592" s="2">
        <f>'[01_Entry.xlsx]Book'!D592</f>
        <v/>
      </c>
      <c r="D592" s="2">
        <f>'[01_Entry.xlsx]Book'!E592</f>
        <v/>
      </c>
      <c r="E592" s="2">
        <f>'[01_Entry.xlsx]Book'!O592</f>
        <v/>
      </c>
      <c r="F592" s="2">
        <f>'[01_Entry.xlsx]Book'!N592</f>
        <v/>
      </c>
      <c r="G592" s="3">
        <f>'[01_Entry.xlsx]Book'!L592</f>
        <v/>
      </c>
      <c r="H592" s="3">
        <f>'[01_Entry.xlsx]Book'!M592</f>
        <v/>
      </c>
      <c r="I592" s="3">
        <f>'[01_Entry.xlsx]Book'!K592</f>
        <v/>
      </c>
      <c r="J592" s="3">
        <f>'[01_Entry.xlsx]Book'!P592</f>
        <v/>
      </c>
      <c r="K592" s="3">
        <f>'[01_Entry.xlsx]Book'!F592</f>
        <v/>
      </c>
      <c r="L592" s="3">
        <f>'[01_Entry.xlsx]Book'!G592</f>
        <v/>
      </c>
      <c r="M592" s="3">
        <f>'[01_Entry.xlsx]Book'!I592</f>
        <v/>
      </c>
      <c r="N592" s="2">
        <f>IF($A592="","",MID($A592,6,2))</f>
        <v>0</v>
      </c>
      <c r="O592" s="2">
        <f>IF(OR($C592="",$C592&lt;&gt;'Inv'!$D$12),"",N(O$591)+1)</f>
        <v>0</v>
      </c>
    </row>
    <row r="593" spans="1:15">
      <c r="A593" s="2">
        <f>'[01_Entry.xlsx]Book'!A593</f>
        <v/>
      </c>
      <c r="B593" s="2">
        <f>'[01_Entry.xlsx]Book'!B593</f>
        <v/>
      </c>
      <c r="C593" s="2">
        <f>'[01_Entry.xlsx]Book'!D593</f>
        <v/>
      </c>
      <c r="D593" s="2">
        <f>'[01_Entry.xlsx]Book'!E593</f>
        <v/>
      </c>
      <c r="E593" s="2">
        <f>'[01_Entry.xlsx]Book'!O593</f>
        <v/>
      </c>
      <c r="F593" s="2">
        <f>'[01_Entry.xlsx]Book'!N593</f>
        <v/>
      </c>
      <c r="G593" s="3">
        <f>'[01_Entry.xlsx]Book'!L593</f>
        <v/>
      </c>
      <c r="H593" s="3">
        <f>'[01_Entry.xlsx]Book'!M593</f>
        <v/>
      </c>
      <c r="I593" s="3">
        <f>'[01_Entry.xlsx]Book'!K593</f>
        <v/>
      </c>
      <c r="J593" s="3">
        <f>'[01_Entry.xlsx]Book'!P593</f>
        <v/>
      </c>
      <c r="K593" s="3">
        <f>'[01_Entry.xlsx]Book'!F593</f>
        <v/>
      </c>
      <c r="L593" s="3">
        <f>'[01_Entry.xlsx]Book'!G593</f>
        <v/>
      </c>
      <c r="M593" s="3">
        <f>'[01_Entry.xlsx]Book'!I593</f>
        <v/>
      </c>
      <c r="N593" s="2">
        <f>IF($A593="","",MID($A593,6,2))</f>
        <v>0</v>
      </c>
      <c r="O593" s="2">
        <f>IF(OR($C593="",$C593&lt;&gt;'Inv'!$D$12),"",N(O$592)+1)</f>
        <v>0</v>
      </c>
    </row>
    <row r="594" spans="1:15">
      <c r="A594" s="2">
        <f>'[01_Entry.xlsx]Book'!A594</f>
        <v/>
      </c>
      <c r="B594" s="2">
        <f>'[01_Entry.xlsx]Book'!B594</f>
        <v/>
      </c>
      <c r="C594" s="2">
        <f>'[01_Entry.xlsx]Book'!D594</f>
        <v/>
      </c>
      <c r="D594" s="2">
        <f>'[01_Entry.xlsx]Book'!E594</f>
        <v/>
      </c>
      <c r="E594" s="2">
        <f>'[01_Entry.xlsx]Book'!O594</f>
        <v/>
      </c>
      <c r="F594" s="2">
        <f>'[01_Entry.xlsx]Book'!N594</f>
        <v/>
      </c>
      <c r="G594" s="3">
        <f>'[01_Entry.xlsx]Book'!L594</f>
        <v/>
      </c>
      <c r="H594" s="3">
        <f>'[01_Entry.xlsx]Book'!M594</f>
        <v/>
      </c>
      <c r="I594" s="3">
        <f>'[01_Entry.xlsx]Book'!K594</f>
        <v/>
      </c>
      <c r="J594" s="3">
        <f>'[01_Entry.xlsx]Book'!P594</f>
        <v/>
      </c>
      <c r="K594" s="3">
        <f>'[01_Entry.xlsx]Book'!F594</f>
        <v/>
      </c>
      <c r="L594" s="3">
        <f>'[01_Entry.xlsx]Book'!G594</f>
        <v/>
      </c>
      <c r="M594" s="3">
        <f>'[01_Entry.xlsx]Book'!I594</f>
        <v/>
      </c>
      <c r="N594" s="2">
        <f>IF($A594="","",MID($A594,6,2))</f>
        <v>0</v>
      </c>
      <c r="O594" s="2">
        <f>IF(OR($C594="",$C594&lt;&gt;'Inv'!$D$12),"",N(O$593)+1)</f>
        <v>0</v>
      </c>
    </row>
    <row r="595" spans="1:15">
      <c r="A595" s="2">
        <f>'[01_Entry.xlsx]Book'!A595</f>
        <v/>
      </c>
      <c r="B595" s="2">
        <f>'[01_Entry.xlsx]Book'!B595</f>
        <v/>
      </c>
      <c r="C595" s="2">
        <f>'[01_Entry.xlsx]Book'!D595</f>
        <v/>
      </c>
      <c r="D595" s="2">
        <f>'[01_Entry.xlsx]Book'!E595</f>
        <v/>
      </c>
      <c r="E595" s="2">
        <f>'[01_Entry.xlsx]Book'!O595</f>
        <v/>
      </c>
      <c r="F595" s="2">
        <f>'[01_Entry.xlsx]Book'!N595</f>
        <v/>
      </c>
      <c r="G595" s="3">
        <f>'[01_Entry.xlsx]Book'!L595</f>
        <v/>
      </c>
      <c r="H595" s="3">
        <f>'[01_Entry.xlsx]Book'!M595</f>
        <v/>
      </c>
      <c r="I595" s="3">
        <f>'[01_Entry.xlsx]Book'!K595</f>
        <v/>
      </c>
      <c r="J595" s="3">
        <f>'[01_Entry.xlsx]Book'!P595</f>
        <v/>
      </c>
      <c r="K595" s="3">
        <f>'[01_Entry.xlsx]Book'!F595</f>
        <v/>
      </c>
      <c r="L595" s="3">
        <f>'[01_Entry.xlsx]Book'!G595</f>
        <v/>
      </c>
      <c r="M595" s="3">
        <f>'[01_Entry.xlsx]Book'!I595</f>
        <v/>
      </c>
      <c r="N595" s="2">
        <f>IF($A595="","",MID($A595,6,2))</f>
        <v>0</v>
      </c>
      <c r="O595" s="2">
        <f>IF(OR($C595="",$C595&lt;&gt;'Inv'!$D$12),"",N(O$594)+1)</f>
        <v>0</v>
      </c>
    </row>
    <row r="596" spans="1:15">
      <c r="A596" s="2">
        <f>'[01_Entry.xlsx]Book'!A596</f>
        <v/>
      </c>
      <c r="B596" s="2">
        <f>'[01_Entry.xlsx]Book'!B596</f>
        <v/>
      </c>
      <c r="C596" s="2">
        <f>'[01_Entry.xlsx]Book'!D596</f>
        <v/>
      </c>
      <c r="D596" s="2">
        <f>'[01_Entry.xlsx]Book'!E596</f>
        <v/>
      </c>
      <c r="E596" s="2">
        <f>'[01_Entry.xlsx]Book'!O596</f>
        <v/>
      </c>
      <c r="F596" s="2">
        <f>'[01_Entry.xlsx]Book'!N596</f>
        <v/>
      </c>
      <c r="G596" s="3">
        <f>'[01_Entry.xlsx]Book'!L596</f>
        <v/>
      </c>
      <c r="H596" s="3">
        <f>'[01_Entry.xlsx]Book'!M596</f>
        <v/>
      </c>
      <c r="I596" s="3">
        <f>'[01_Entry.xlsx]Book'!K596</f>
        <v/>
      </c>
      <c r="J596" s="3">
        <f>'[01_Entry.xlsx]Book'!P596</f>
        <v/>
      </c>
      <c r="K596" s="3">
        <f>'[01_Entry.xlsx]Book'!F596</f>
        <v/>
      </c>
      <c r="L596" s="3">
        <f>'[01_Entry.xlsx]Book'!G596</f>
        <v/>
      </c>
      <c r="M596" s="3">
        <f>'[01_Entry.xlsx]Book'!I596</f>
        <v/>
      </c>
      <c r="N596" s="2">
        <f>IF($A596="","",MID($A596,6,2))</f>
        <v>0</v>
      </c>
      <c r="O596" s="2">
        <f>IF(OR($C596="",$C596&lt;&gt;'Inv'!$D$12),"",N(O$595)+1)</f>
        <v>0</v>
      </c>
    </row>
    <row r="597" spans="1:15">
      <c r="A597" s="2">
        <f>'[01_Entry.xlsx]Book'!A597</f>
        <v/>
      </c>
      <c r="B597" s="2">
        <f>'[01_Entry.xlsx]Book'!B597</f>
        <v/>
      </c>
      <c r="C597" s="2">
        <f>'[01_Entry.xlsx]Book'!D597</f>
        <v/>
      </c>
      <c r="D597" s="2">
        <f>'[01_Entry.xlsx]Book'!E597</f>
        <v/>
      </c>
      <c r="E597" s="2">
        <f>'[01_Entry.xlsx]Book'!O597</f>
        <v/>
      </c>
      <c r="F597" s="2">
        <f>'[01_Entry.xlsx]Book'!N597</f>
        <v/>
      </c>
      <c r="G597" s="3">
        <f>'[01_Entry.xlsx]Book'!L597</f>
        <v/>
      </c>
      <c r="H597" s="3">
        <f>'[01_Entry.xlsx]Book'!M597</f>
        <v/>
      </c>
      <c r="I597" s="3">
        <f>'[01_Entry.xlsx]Book'!K597</f>
        <v/>
      </c>
      <c r="J597" s="3">
        <f>'[01_Entry.xlsx]Book'!P597</f>
        <v/>
      </c>
      <c r="K597" s="3">
        <f>'[01_Entry.xlsx]Book'!F597</f>
        <v/>
      </c>
      <c r="L597" s="3">
        <f>'[01_Entry.xlsx]Book'!G597</f>
        <v/>
      </c>
      <c r="M597" s="3">
        <f>'[01_Entry.xlsx]Book'!I597</f>
        <v/>
      </c>
      <c r="N597" s="2">
        <f>IF($A597="","",MID($A597,6,2))</f>
        <v>0</v>
      </c>
      <c r="O597" s="2">
        <f>IF(OR($C597="",$C597&lt;&gt;'Inv'!$D$12),"",N(O$596)+1)</f>
        <v>0</v>
      </c>
    </row>
    <row r="598" spans="1:15">
      <c r="A598" s="2">
        <f>'[01_Entry.xlsx]Book'!A598</f>
        <v/>
      </c>
      <c r="B598" s="2">
        <f>'[01_Entry.xlsx]Book'!B598</f>
        <v/>
      </c>
      <c r="C598" s="2">
        <f>'[01_Entry.xlsx]Book'!D598</f>
        <v/>
      </c>
      <c r="D598" s="2">
        <f>'[01_Entry.xlsx]Book'!E598</f>
        <v/>
      </c>
      <c r="E598" s="2">
        <f>'[01_Entry.xlsx]Book'!O598</f>
        <v/>
      </c>
      <c r="F598" s="2">
        <f>'[01_Entry.xlsx]Book'!N598</f>
        <v/>
      </c>
      <c r="G598" s="3">
        <f>'[01_Entry.xlsx]Book'!L598</f>
        <v/>
      </c>
      <c r="H598" s="3">
        <f>'[01_Entry.xlsx]Book'!M598</f>
        <v/>
      </c>
      <c r="I598" s="3">
        <f>'[01_Entry.xlsx]Book'!K598</f>
        <v/>
      </c>
      <c r="J598" s="3">
        <f>'[01_Entry.xlsx]Book'!P598</f>
        <v/>
      </c>
      <c r="K598" s="3">
        <f>'[01_Entry.xlsx]Book'!F598</f>
        <v/>
      </c>
      <c r="L598" s="3">
        <f>'[01_Entry.xlsx]Book'!G598</f>
        <v/>
      </c>
      <c r="M598" s="3">
        <f>'[01_Entry.xlsx]Book'!I598</f>
        <v/>
      </c>
      <c r="N598" s="2">
        <f>IF($A598="","",MID($A598,6,2))</f>
        <v>0</v>
      </c>
      <c r="O598" s="2">
        <f>IF(OR($C598="",$C598&lt;&gt;'Inv'!$D$12),"",N(O$597)+1)</f>
        <v>0</v>
      </c>
    </row>
    <row r="599" spans="1:15">
      <c r="A599" s="2">
        <f>'[01_Entry.xlsx]Book'!A599</f>
        <v/>
      </c>
      <c r="B599" s="2">
        <f>'[01_Entry.xlsx]Book'!B599</f>
        <v/>
      </c>
      <c r="C599" s="2">
        <f>'[01_Entry.xlsx]Book'!D599</f>
        <v/>
      </c>
      <c r="D599" s="2">
        <f>'[01_Entry.xlsx]Book'!E599</f>
        <v/>
      </c>
      <c r="E599" s="2">
        <f>'[01_Entry.xlsx]Book'!O599</f>
        <v/>
      </c>
      <c r="F599" s="2">
        <f>'[01_Entry.xlsx]Book'!N599</f>
        <v/>
      </c>
      <c r="G599" s="3">
        <f>'[01_Entry.xlsx]Book'!L599</f>
        <v/>
      </c>
      <c r="H599" s="3">
        <f>'[01_Entry.xlsx]Book'!M599</f>
        <v/>
      </c>
      <c r="I599" s="3">
        <f>'[01_Entry.xlsx]Book'!K599</f>
        <v/>
      </c>
      <c r="J599" s="3">
        <f>'[01_Entry.xlsx]Book'!P599</f>
        <v/>
      </c>
      <c r="K599" s="3">
        <f>'[01_Entry.xlsx]Book'!F599</f>
        <v/>
      </c>
      <c r="L599" s="3">
        <f>'[01_Entry.xlsx]Book'!G599</f>
        <v/>
      </c>
      <c r="M599" s="3">
        <f>'[01_Entry.xlsx]Book'!I599</f>
        <v/>
      </c>
      <c r="N599" s="2">
        <f>IF($A599="","",MID($A599,6,2))</f>
        <v>0</v>
      </c>
      <c r="O599" s="2">
        <f>IF(OR($C599="",$C599&lt;&gt;'Inv'!$D$12),"",N(O$598)+1)</f>
        <v>0</v>
      </c>
    </row>
    <row r="600" spans="1:15">
      <c r="A600" s="2">
        <f>'[01_Entry.xlsx]Book'!A600</f>
        <v/>
      </c>
      <c r="B600" s="2">
        <f>'[01_Entry.xlsx]Book'!B600</f>
        <v/>
      </c>
      <c r="C600" s="2">
        <f>'[01_Entry.xlsx]Book'!D600</f>
        <v/>
      </c>
      <c r="D600" s="2">
        <f>'[01_Entry.xlsx]Book'!E600</f>
        <v/>
      </c>
      <c r="E600" s="2">
        <f>'[01_Entry.xlsx]Book'!O600</f>
        <v/>
      </c>
      <c r="F600" s="2">
        <f>'[01_Entry.xlsx]Book'!N600</f>
        <v/>
      </c>
      <c r="G600" s="3">
        <f>'[01_Entry.xlsx]Book'!L600</f>
        <v/>
      </c>
      <c r="H600" s="3">
        <f>'[01_Entry.xlsx]Book'!M600</f>
        <v/>
      </c>
      <c r="I600" s="3">
        <f>'[01_Entry.xlsx]Book'!K600</f>
        <v/>
      </c>
      <c r="J600" s="3">
        <f>'[01_Entry.xlsx]Book'!P600</f>
        <v/>
      </c>
      <c r="K600" s="3">
        <f>'[01_Entry.xlsx]Book'!F600</f>
        <v/>
      </c>
      <c r="L600" s="3">
        <f>'[01_Entry.xlsx]Book'!G600</f>
        <v/>
      </c>
      <c r="M600" s="3">
        <f>'[01_Entry.xlsx]Book'!I600</f>
        <v/>
      </c>
      <c r="N600" s="2">
        <f>IF($A600="","",MID($A600,6,2))</f>
        <v>0</v>
      </c>
      <c r="O600" s="2">
        <f>IF(OR($C600="",$C600&lt;&gt;'Inv'!$D$12),"",N(O$599)+1)</f>
        <v>0</v>
      </c>
    </row>
    <row r="601" spans="1:15">
      <c r="A601" s="2">
        <f>'[01_Entry.xlsx]Book'!A601</f>
        <v/>
      </c>
      <c r="B601" s="2">
        <f>'[01_Entry.xlsx]Book'!B601</f>
        <v/>
      </c>
      <c r="C601" s="2">
        <f>'[01_Entry.xlsx]Book'!D601</f>
        <v/>
      </c>
      <c r="D601" s="2">
        <f>'[01_Entry.xlsx]Book'!E601</f>
        <v/>
      </c>
      <c r="E601" s="2">
        <f>'[01_Entry.xlsx]Book'!O601</f>
        <v/>
      </c>
      <c r="F601" s="2">
        <f>'[01_Entry.xlsx]Book'!N601</f>
        <v/>
      </c>
      <c r="G601" s="3">
        <f>'[01_Entry.xlsx]Book'!L601</f>
        <v/>
      </c>
      <c r="H601" s="3">
        <f>'[01_Entry.xlsx]Book'!M601</f>
        <v/>
      </c>
      <c r="I601" s="3">
        <f>'[01_Entry.xlsx]Book'!K601</f>
        <v/>
      </c>
      <c r="J601" s="3">
        <f>'[01_Entry.xlsx]Book'!P601</f>
        <v/>
      </c>
      <c r="K601" s="3">
        <f>'[01_Entry.xlsx]Book'!F601</f>
        <v/>
      </c>
      <c r="L601" s="3">
        <f>'[01_Entry.xlsx]Book'!G601</f>
        <v/>
      </c>
      <c r="M601" s="3">
        <f>'[01_Entry.xlsx]Book'!I601</f>
        <v/>
      </c>
      <c r="N601" s="2">
        <f>IF($A601="","",MID($A601,6,2))</f>
        <v>0</v>
      </c>
      <c r="O601" s="2">
        <f>IF(OR($C601="",$C601&lt;&gt;'Inv'!$D$12),"",N(O$600)+1)</f>
        <v>0</v>
      </c>
    </row>
    <row r="602" spans="1:15">
      <c r="A602" s="2">
        <f>'[01_Entry.xlsx]Book'!A602</f>
        <v/>
      </c>
      <c r="B602" s="2">
        <f>'[01_Entry.xlsx]Book'!B602</f>
        <v/>
      </c>
      <c r="C602" s="2">
        <f>'[01_Entry.xlsx]Book'!D602</f>
        <v/>
      </c>
      <c r="D602" s="2">
        <f>'[01_Entry.xlsx]Book'!E602</f>
        <v/>
      </c>
      <c r="E602" s="2">
        <f>'[01_Entry.xlsx]Book'!O602</f>
        <v/>
      </c>
      <c r="F602" s="2">
        <f>'[01_Entry.xlsx]Book'!N602</f>
        <v/>
      </c>
      <c r="G602" s="3">
        <f>'[01_Entry.xlsx]Book'!L602</f>
        <v/>
      </c>
      <c r="H602" s="3">
        <f>'[01_Entry.xlsx]Book'!M602</f>
        <v/>
      </c>
      <c r="I602" s="3">
        <f>'[01_Entry.xlsx]Book'!K602</f>
        <v/>
      </c>
      <c r="J602" s="3">
        <f>'[01_Entry.xlsx]Book'!P602</f>
        <v/>
      </c>
      <c r="K602" s="3">
        <f>'[01_Entry.xlsx]Book'!F602</f>
        <v/>
      </c>
      <c r="L602" s="3">
        <f>'[01_Entry.xlsx]Book'!G602</f>
        <v/>
      </c>
      <c r="M602" s="3">
        <f>'[01_Entry.xlsx]Book'!I602</f>
        <v/>
      </c>
      <c r="N602" s="2">
        <f>IF($A602="","",MID($A602,6,2))</f>
        <v>0</v>
      </c>
      <c r="O602" s="2">
        <f>IF(OR($C602="",$C602&lt;&gt;'Inv'!$D$12),"",N(O$601)+1)</f>
        <v>0</v>
      </c>
    </row>
    <row r="603" spans="1:15">
      <c r="A603" s="2">
        <f>'[01_Entry.xlsx]Book'!A603</f>
        <v/>
      </c>
      <c r="B603" s="2">
        <f>'[01_Entry.xlsx]Book'!B603</f>
        <v/>
      </c>
      <c r="C603" s="2">
        <f>'[01_Entry.xlsx]Book'!D603</f>
        <v/>
      </c>
      <c r="D603" s="2">
        <f>'[01_Entry.xlsx]Book'!E603</f>
        <v/>
      </c>
      <c r="E603" s="2">
        <f>'[01_Entry.xlsx]Book'!O603</f>
        <v/>
      </c>
      <c r="F603" s="2">
        <f>'[01_Entry.xlsx]Book'!N603</f>
        <v/>
      </c>
      <c r="G603" s="3">
        <f>'[01_Entry.xlsx]Book'!L603</f>
        <v/>
      </c>
      <c r="H603" s="3">
        <f>'[01_Entry.xlsx]Book'!M603</f>
        <v/>
      </c>
      <c r="I603" s="3">
        <f>'[01_Entry.xlsx]Book'!K603</f>
        <v/>
      </c>
      <c r="J603" s="3">
        <f>'[01_Entry.xlsx]Book'!P603</f>
        <v/>
      </c>
      <c r="K603" s="3">
        <f>'[01_Entry.xlsx]Book'!F603</f>
        <v/>
      </c>
      <c r="L603" s="3">
        <f>'[01_Entry.xlsx]Book'!G603</f>
        <v/>
      </c>
      <c r="M603" s="3">
        <f>'[01_Entry.xlsx]Book'!I603</f>
        <v/>
      </c>
      <c r="N603" s="2">
        <f>IF($A603="","",MID($A603,6,2))</f>
        <v>0</v>
      </c>
      <c r="O603" s="2">
        <f>IF(OR($C603="",$C603&lt;&gt;'Inv'!$D$12),"",N(O$602)+1)</f>
        <v>0</v>
      </c>
    </row>
    <row r="604" spans="1:15">
      <c r="A604" s="2">
        <f>'[01_Entry.xlsx]Book'!A604</f>
        <v/>
      </c>
      <c r="B604" s="2">
        <f>'[01_Entry.xlsx]Book'!B604</f>
        <v/>
      </c>
      <c r="C604" s="2">
        <f>'[01_Entry.xlsx]Book'!D604</f>
        <v/>
      </c>
      <c r="D604" s="2">
        <f>'[01_Entry.xlsx]Book'!E604</f>
        <v/>
      </c>
      <c r="E604" s="2">
        <f>'[01_Entry.xlsx]Book'!O604</f>
        <v/>
      </c>
      <c r="F604" s="2">
        <f>'[01_Entry.xlsx]Book'!N604</f>
        <v/>
      </c>
      <c r="G604" s="3">
        <f>'[01_Entry.xlsx]Book'!L604</f>
        <v/>
      </c>
      <c r="H604" s="3">
        <f>'[01_Entry.xlsx]Book'!M604</f>
        <v/>
      </c>
      <c r="I604" s="3">
        <f>'[01_Entry.xlsx]Book'!K604</f>
        <v/>
      </c>
      <c r="J604" s="3">
        <f>'[01_Entry.xlsx]Book'!P604</f>
        <v/>
      </c>
      <c r="K604" s="3">
        <f>'[01_Entry.xlsx]Book'!F604</f>
        <v/>
      </c>
      <c r="L604" s="3">
        <f>'[01_Entry.xlsx]Book'!G604</f>
        <v/>
      </c>
      <c r="M604" s="3">
        <f>'[01_Entry.xlsx]Book'!I604</f>
        <v/>
      </c>
      <c r="N604" s="2">
        <f>IF($A604="","",MID($A604,6,2))</f>
        <v>0</v>
      </c>
      <c r="O604" s="2">
        <f>IF(OR($C604="",$C604&lt;&gt;'Inv'!$D$12),"",N(O$603)+1)</f>
        <v>0</v>
      </c>
    </row>
    <row r="605" spans="1:15">
      <c r="A605" s="2">
        <f>'[01_Entry.xlsx]Book'!A605</f>
        <v/>
      </c>
      <c r="B605" s="2">
        <f>'[01_Entry.xlsx]Book'!B605</f>
        <v/>
      </c>
      <c r="C605" s="2">
        <f>'[01_Entry.xlsx]Book'!D605</f>
        <v/>
      </c>
      <c r="D605" s="2">
        <f>'[01_Entry.xlsx]Book'!E605</f>
        <v/>
      </c>
      <c r="E605" s="2">
        <f>'[01_Entry.xlsx]Book'!O605</f>
        <v/>
      </c>
      <c r="F605" s="2">
        <f>'[01_Entry.xlsx]Book'!N605</f>
        <v/>
      </c>
      <c r="G605" s="3">
        <f>'[01_Entry.xlsx]Book'!L605</f>
        <v/>
      </c>
      <c r="H605" s="3">
        <f>'[01_Entry.xlsx]Book'!M605</f>
        <v/>
      </c>
      <c r="I605" s="3">
        <f>'[01_Entry.xlsx]Book'!K605</f>
        <v/>
      </c>
      <c r="J605" s="3">
        <f>'[01_Entry.xlsx]Book'!P605</f>
        <v/>
      </c>
      <c r="K605" s="3">
        <f>'[01_Entry.xlsx]Book'!F605</f>
        <v/>
      </c>
      <c r="L605" s="3">
        <f>'[01_Entry.xlsx]Book'!G605</f>
        <v/>
      </c>
      <c r="M605" s="3">
        <f>'[01_Entry.xlsx]Book'!I605</f>
        <v/>
      </c>
      <c r="N605" s="2">
        <f>IF($A605="","",MID($A605,6,2))</f>
        <v>0</v>
      </c>
      <c r="O605" s="2">
        <f>IF(OR($C605="",$C605&lt;&gt;'Inv'!$D$12),"",N(O$604)+1)</f>
        <v>0</v>
      </c>
    </row>
    <row r="606" spans="1:15">
      <c r="A606" s="2">
        <f>'[01_Entry.xlsx]Book'!A606</f>
        <v/>
      </c>
      <c r="B606" s="2">
        <f>'[01_Entry.xlsx]Book'!B606</f>
        <v/>
      </c>
      <c r="C606" s="2">
        <f>'[01_Entry.xlsx]Book'!D606</f>
        <v/>
      </c>
      <c r="D606" s="2">
        <f>'[01_Entry.xlsx]Book'!E606</f>
        <v/>
      </c>
      <c r="E606" s="2">
        <f>'[01_Entry.xlsx]Book'!O606</f>
        <v/>
      </c>
      <c r="F606" s="2">
        <f>'[01_Entry.xlsx]Book'!N606</f>
        <v/>
      </c>
      <c r="G606" s="3">
        <f>'[01_Entry.xlsx]Book'!L606</f>
        <v/>
      </c>
      <c r="H606" s="3">
        <f>'[01_Entry.xlsx]Book'!M606</f>
        <v/>
      </c>
      <c r="I606" s="3">
        <f>'[01_Entry.xlsx]Book'!K606</f>
        <v/>
      </c>
      <c r="J606" s="3">
        <f>'[01_Entry.xlsx]Book'!P606</f>
        <v/>
      </c>
      <c r="K606" s="3">
        <f>'[01_Entry.xlsx]Book'!F606</f>
        <v/>
      </c>
      <c r="L606" s="3">
        <f>'[01_Entry.xlsx]Book'!G606</f>
        <v/>
      </c>
      <c r="M606" s="3">
        <f>'[01_Entry.xlsx]Book'!I606</f>
        <v/>
      </c>
      <c r="N606" s="2">
        <f>IF($A606="","",MID($A606,6,2))</f>
        <v>0</v>
      </c>
      <c r="O606" s="2">
        <f>IF(OR($C606="",$C606&lt;&gt;'Inv'!$D$12),"",N(O$605)+1)</f>
        <v>0</v>
      </c>
    </row>
    <row r="607" spans="1:15">
      <c r="A607" s="2">
        <f>'[01_Entry.xlsx]Book'!A607</f>
        <v/>
      </c>
      <c r="B607" s="2">
        <f>'[01_Entry.xlsx]Book'!B607</f>
        <v/>
      </c>
      <c r="C607" s="2">
        <f>'[01_Entry.xlsx]Book'!D607</f>
        <v/>
      </c>
      <c r="D607" s="2">
        <f>'[01_Entry.xlsx]Book'!E607</f>
        <v/>
      </c>
      <c r="E607" s="2">
        <f>'[01_Entry.xlsx]Book'!O607</f>
        <v/>
      </c>
      <c r="F607" s="2">
        <f>'[01_Entry.xlsx]Book'!N607</f>
        <v/>
      </c>
      <c r="G607" s="3">
        <f>'[01_Entry.xlsx]Book'!L607</f>
        <v/>
      </c>
      <c r="H607" s="3">
        <f>'[01_Entry.xlsx]Book'!M607</f>
        <v/>
      </c>
      <c r="I607" s="3">
        <f>'[01_Entry.xlsx]Book'!K607</f>
        <v/>
      </c>
      <c r="J607" s="3">
        <f>'[01_Entry.xlsx]Book'!P607</f>
        <v/>
      </c>
      <c r="K607" s="3">
        <f>'[01_Entry.xlsx]Book'!F607</f>
        <v/>
      </c>
      <c r="L607" s="3">
        <f>'[01_Entry.xlsx]Book'!G607</f>
        <v/>
      </c>
      <c r="M607" s="3">
        <f>'[01_Entry.xlsx]Book'!I607</f>
        <v/>
      </c>
      <c r="N607" s="2">
        <f>IF($A607="","",MID($A607,6,2))</f>
        <v>0</v>
      </c>
      <c r="O607" s="2">
        <f>IF(OR($C607="",$C607&lt;&gt;'Inv'!$D$12),"",N(O$606)+1)</f>
        <v>0</v>
      </c>
    </row>
    <row r="608" spans="1:15">
      <c r="A608" s="2">
        <f>'[01_Entry.xlsx]Book'!A608</f>
        <v/>
      </c>
      <c r="B608" s="2">
        <f>'[01_Entry.xlsx]Book'!B608</f>
        <v/>
      </c>
      <c r="C608" s="2">
        <f>'[01_Entry.xlsx]Book'!D608</f>
        <v/>
      </c>
      <c r="D608" s="2">
        <f>'[01_Entry.xlsx]Book'!E608</f>
        <v/>
      </c>
      <c r="E608" s="2">
        <f>'[01_Entry.xlsx]Book'!O608</f>
        <v/>
      </c>
      <c r="F608" s="2">
        <f>'[01_Entry.xlsx]Book'!N608</f>
        <v/>
      </c>
      <c r="G608" s="3">
        <f>'[01_Entry.xlsx]Book'!L608</f>
        <v/>
      </c>
      <c r="H608" s="3">
        <f>'[01_Entry.xlsx]Book'!M608</f>
        <v/>
      </c>
      <c r="I608" s="3">
        <f>'[01_Entry.xlsx]Book'!K608</f>
        <v/>
      </c>
      <c r="J608" s="3">
        <f>'[01_Entry.xlsx]Book'!P608</f>
        <v/>
      </c>
      <c r="K608" s="3">
        <f>'[01_Entry.xlsx]Book'!F608</f>
        <v/>
      </c>
      <c r="L608" s="3">
        <f>'[01_Entry.xlsx]Book'!G608</f>
        <v/>
      </c>
      <c r="M608" s="3">
        <f>'[01_Entry.xlsx]Book'!I608</f>
        <v/>
      </c>
      <c r="N608" s="2">
        <f>IF($A608="","",MID($A608,6,2))</f>
        <v>0</v>
      </c>
      <c r="O608" s="2">
        <f>IF(OR($C608="",$C608&lt;&gt;'Inv'!$D$12),"",N(O$607)+1)</f>
        <v>0</v>
      </c>
    </row>
    <row r="609" spans="1:15">
      <c r="A609" s="2">
        <f>'[01_Entry.xlsx]Book'!A609</f>
        <v/>
      </c>
      <c r="B609" s="2">
        <f>'[01_Entry.xlsx]Book'!B609</f>
        <v/>
      </c>
      <c r="C609" s="2">
        <f>'[01_Entry.xlsx]Book'!D609</f>
        <v/>
      </c>
      <c r="D609" s="2">
        <f>'[01_Entry.xlsx]Book'!E609</f>
        <v/>
      </c>
      <c r="E609" s="2">
        <f>'[01_Entry.xlsx]Book'!O609</f>
        <v/>
      </c>
      <c r="F609" s="2">
        <f>'[01_Entry.xlsx]Book'!N609</f>
        <v/>
      </c>
      <c r="G609" s="3">
        <f>'[01_Entry.xlsx]Book'!L609</f>
        <v/>
      </c>
      <c r="H609" s="3">
        <f>'[01_Entry.xlsx]Book'!M609</f>
        <v/>
      </c>
      <c r="I609" s="3">
        <f>'[01_Entry.xlsx]Book'!K609</f>
        <v/>
      </c>
      <c r="J609" s="3">
        <f>'[01_Entry.xlsx]Book'!P609</f>
        <v/>
      </c>
      <c r="K609" s="3">
        <f>'[01_Entry.xlsx]Book'!F609</f>
        <v/>
      </c>
      <c r="L609" s="3">
        <f>'[01_Entry.xlsx]Book'!G609</f>
        <v/>
      </c>
      <c r="M609" s="3">
        <f>'[01_Entry.xlsx]Book'!I609</f>
        <v/>
      </c>
      <c r="N609" s="2">
        <f>IF($A609="","",MID($A609,6,2))</f>
        <v>0</v>
      </c>
      <c r="O609" s="2">
        <f>IF(OR($C609="",$C609&lt;&gt;'Inv'!$D$12),"",N(O$608)+1)</f>
        <v>0</v>
      </c>
    </row>
    <row r="610" spans="1:15">
      <c r="A610" s="2">
        <f>'[01_Entry.xlsx]Book'!A610</f>
        <v/>
      </c>
      <c r="B610" s="2">
        <f>'[01_Entry.xlsx]Book'!B610</f>
        <v/>
      </c>
      <c r="C610" s="2">
        <f>'[01_Entry.xlsx]Book'!D610</f>
        <v/>
      </c>
      <c r="D610" s="2">
        <f>'[01_Entry.xlsx]Book'!E610</f>
        <v/>
      </c>
      <c r="E610" s="2">
        <f>'[01_Entry.xlsx]Book'!O610</f>
        <v/>
      </c>
      <c r="F610" s="2">
        <f>'[01_Entry.xlsx]Book'!N610</f>
        <v/>
      </c>
      <c r="G610" s="3">
        <f>'[01_Entry.xlsx]Book'!L610</f>
        <v/>
      </c>
      <c r="H610" s="3">
        <f>'[01_Entry.xlsx]Book'!M610</f>
        <v/>
      </c>
      <c r="I610" s="3">
        <f>'[01_Entry.xlsx]Book'!K610</f>
        <v/>
      </c>
      <c r="J610" s="3">
        <f>'[01_Entry.xlsx]Book'!P610</f>
        <v/>
      </c>
      <c r="K610" s="3">
        <f>'[01_Entry.xlsx]Book'!F610</f>
        <v/>
      </c>
      <c r="L610" s="3">
        <f>'[01_Entry.xlsx]Book'!G610</f>
        <v/>
      </c>
      <c r="M610" s="3">
        <f>'[01_Entry.xlsx]Book'!I610</f>
        <v/>
      </c>
      <c r="N610" s="2">
        <f>IF($A610="","",MID($A610,6,2))</f>
        <v>0</v>
      </c>
      <c r="O610" s="2">
        <f>IF(OR($C610="",$C610&lt;&gt;'Inv'!$D$12),"",N(O$609)+1)</f>
        <v>0</v>
      </c>
    </row>
    <row r="611" spans="1:15">
      <c r="A611" s="2">
        <f>'[01_Entry.xlsx]Book'!A611</f>
        <v/>
      </c>
      <c r="B611" s="2">
        <f>'[01_Entry.xlsx]Book'!B611</f>
        <v/>
      </c>
      <c r="C611" s="2">
        <f>'[01_Entry.xlsx]Book'!D611</f>
        <v/>
      </c>
      <c r="D611" s="2">
        <f>'[01_Entry.xlsx]Book'!E611</f>
        <v/>
      </c>
      <c r="E611" s="2">
        <f>'[01_Entry.xlsx]Book'!O611</f>
        <v/>
      </c>
      <c r="F611" s="2">
        <f>'[01_Entry.xlsx]Book'!N611</f>
        <v/>
      </c>
      <c r="G611" s="3">
        <f>'[01_Entry.xlsx]Book'!L611</f>
        <v/>
      </c>
      <c r="H611" s="3">
        <f>'[01_Entry.xlsx]Book'!M611</f>
        <v/>
      </c>
      <c r="I611" s="3">
        <f>'[01_Entry.xlsx]Book'!K611</f>
        <v/>
      </c>
      <c r="J611" s="3">
        <f>'[01_Entry.xlsx]Book'!P611</f>
        <v/>
      </c>
      <c r="K611" s="3">
        <f>'[01_Entry.xlsx]Book'!F611</f>
        <v/>
      </c>
      <c r="L611" s="3">
        <f>'[01_Entry.xlsx]Book'!G611</f>
        <v/>
      </c>
      <c r="M611" s="3">
        <f>'[01_Entry.xlsx]Book'!I611</f>
        <v/>
      </c>
      <c r="N611" s="2">
        <f>IF($A611="","",MID($A611,6,2))</f>
        <v>0</v>
      </c>
      <c r="O611" s="2">
        <f>IF(OR($C611="",$C611&lt;&gt;'Inv'!$D$12),"",N(O$610)+1)</f>
        <v>0</v>
      </c>
    </row>
    <row r="612" spans="1:15">
      <c r="A612" s="2">
        <f>'[01_Entry.xlsx]Book'!A612</f>
        <v/>
      </c>
      <c r="B612" s="2">
        <f>'[01_Entry.xlsx]Book'!B612</f>
        <v/>
      </c>
      <c r="C612" s="2">
        <f>'[01_Entry.xlsx]Book'!D612</f>
        <v/>
      </c>
      <c r="D612" s="2">
        <f>'[01_Entry.xlsx]Book'!E612</f>
        <v/>
      </c>
      <c r="E612" s="2">
        <f>'[01_Entry.xlsx]Book'!O612</f>
        <v/>
      </c>
      <c r="F612" s="2">
        <f>'[01_Entry.xlsx]Book'!N612</f>
        <v/>
      </c>
      <c r="G612" s="3">
        <f>'[01_Entry.xlsx]Book'!L612</f>
        <v/>
      </c>
      <c r="H612" s="3">
        <f>'[01_Entry.xlsx]Book'!M612</f>
        <v/>
      </c>
      <c r="I612" s="3">
        <f>'[01_Entry.xlsx]Book'!K612</f>
        <v/>
      </c>
      <c r="J612" s="3">
        <f>'[01_Entry.xlsx]Book'!P612</f>
        <v/>
      </c>
      <c r="K612" s="3">
        <f>'[01_Entry.xlsx]Book'!F612</f>
        <v/>
      </c>
      <c r="L612" s="3">
        <f>'[01_Entry.xlsx]Book'!G612</f>
        <v/>
      </c>
      <c r="M612" s="3">
        <f>'[01_Entry.xlsx]Book'!I612</f>
        <v/>
      </c>
      <c r="N612" s="2">
        <f>IF($A612="","",MID($A612,6,2))</f>
        <v>0</v>
      </c>
      <c r="O612" s="2">
        <f>IF(OR($C612="",$C612&lt;&gt;'Inv'!$D$12),"",N(O$611)+1)</f>
        <v>0</v>
      </c>
    </row>
    <row r="613" spans="1:15">
      <c r="A613" s="2">
        <f>'[01_Entry.xlsx]Book'!A613</f>
        <v/>
      </c>
      <c r="B613" s="2">
        <f>'[01_Entry.xlsx]Book'!B613</f>
        <v/>
      </c>
      <c r="C613" s="2">
        <f>'[01_Entry.xlsx]Book'!D613</f>
        <v/>
      </c>
      <c r="D613" s="2">
        <f>'[01_Entry.xlsx]Book'!E613</f>
        <v/>
      </c>
      <c r="E613" s="2">
        <f>'[01_Entry.xlsx]Book'!O613</f>
        <v/>
      </c>
      <c r="F613" s="2">
        <f>'[01_Entry.xlsx]Book'!N613</f>
        <v/>
      </c>
      <c r="G613" s="3">
        <f>'[01_Entry.xlsx]Book'!L613</f>
        <v/>
      </c>
      <c r="H613" s="3">
        <f>'[01_Entry.xlsx]Book'!M613</f>
        <v/>
      </c>
      <c r="I613" s="3">
        <f>'[01_Entry.xlsx]Book'!K613</f>
        <v/>
      </c>
      <c r="J613" s="3">
        <f>'[01_Entry.xlsx]Book'!P613</f>
        <v/>
      </c>
      <c r="K613" s="3">
        <f>'[01_Entry.xlsx]Book'!F613</f>
        <v/>
      </c>
      <c r="L613" s="3">
        <f>'[01_Entry.xlsx]Book'!G613</f>
        <v/>
      </c>
      <c r="M613" s="3">
        <f>'[01_Entry.xlsx]Book'!I613</f>
        <v/>
      </c>
      <c r="N613" s="2">
        <f>IF($A613="","",MID($A613,6,2))</f>
        <v>0</v>
      </c>
      <c r="O613" s="2">
        <f>IF(OR($C613="",$C613&lt;&gt;'Inv'!$D$12),"",N(O$612)+1)</f>
        <v>0</v>
      </c>
    </row>
    <row r="614" spans="1:15">
      <c r="A614" s="2">
        <f>'[01_Entry.xlsx]Book'!A614</f>
        <v/>
      </c>
      <c r="B614" s="2">
        <f>'[01_Entry.xlsx]Book'!B614</f>
        <v/>
      </c>
      <c r="C614" s="2">
        <f>'[01_Entry.xlsx]Book'!D614</f>
        <v/>
      </c>
      <c r="D614" s="2">
        <f>'[01_Entry.xlsx]Book'!E614</f>
        <v/>
      </c>
      <c r="E614" s="2">
        <f>'[01_Entry.xlsx]Book'!O614</f>
        <v/>
      </c>
      <c r="F614" s="2">
        <f>'[01_Entry.xlsx]Book'!N614</f>
        <v/>
      </c>
      <c r="G614" s="3">
        <f>'[01_Entry.xlsx]Book'!L614</f>
        <v/>
      </c>
      <c r="H614" s="3">
        <f>'[01_Entry.xlsx]Book'!M614</f>
        <v/>
      </c>
      <c r="I614" s="3">
        <f>'[01_Entry.xlsx]Book'!K614</f>
        <v/>
      </c>
      <c r="J614" s="3">
        <f>'[01_Entry.xlsx]Book'!P614</f>
        <v/>
      </c>
      <c r="K614" s="3">
        <f>'[01_Entry.xlsx]Book'!F614</f>
        <v/>
      </c>
      <c r="L614" s="3">
        <f>'[01_Entry.xlsx]Book'!G614</f>
        <v/>
      </c>
      <c r="M614" s="3">
        <f>'[01_Entry.xlsx]Book'!I614</f>
        <v/>
      </c>
      <c r="N614" s="2">
        <f>IF($A614="","",MID($A614,6,2))</f>
        <v>0</v>
      </c>
      <c r="O614" s="2">
        <f>IF(OR($C614="",$C614&lt;&gt;'Inv'!$D$12),"",N(O$613)+1)</f>
        <v>0</v>
      </c>
    </row>
    <row r="615" spans="1:15">
      <c r="A615" s="2">
        <f>'[01_Entry.xlsx]Book'!A615</f>
        <v/>
      </c>
      <c r="B615" s="2">
        <f>'[01_Entry.xlsx]Book'!B615</f>
        <v/>
      </c>
      <c r="C615" s="2">
        <f>'[01_Entry.xlsx]Book'!D615</f>
        <v/>
      </c>
      <c r="D615" s="2">
        <f>'[01_Entry.xlsx]Book'!E615</f>
        <v/>
      </c>
      <c r="E615" s="2">
        <f>'[01_Entry.xlsx]Book'!O615</f>
        <v/>
      </c>
      <c r="F615" s="2">
        <f>'[01_Entry.xlsx]Book'!N615</f>
        <v/>
      </c>
      <c r="G615" s="3">
        <f>'[01_Entry.xlsx]Book'!L615</f>
        <v/>
      </c>
      <c r="H615" s="3">
        <f>'[01_Entry.xlsx]Book'!M615</f>
        <v/>
      </c>
      <c r="I615" s="3">
        <f>'[01_Entry.xlsx]Book'!K615</f>
        <v/>
      </c>
      <c r="J615" s="3">
        <f>'[01_Entry.xlsx]Book'!P615</f>
        <v/>
      </c>
      <c r="K615" s="3">
        <f>'[01_Entry.xlsx]Book'!F615</f>
        <v/>
      </c>
      <c r="L615" s="3">
        <f>'[01_Entry.xlsx]Book'!G615</f>
        <v/>
      </c>
      <c r="M615" s="3">
        <f>'[01_Entry.xlsx]Book'!I615</f>
        <v/>
      </c>
      <c r="N615" s="2">
        <f>IF($A615="","",MID($A615,6,2))</f>
        <v>0</v>
      </c>
      <c r="O615" s="2">
        <f>IF(OR($C615="",$C615&lt;&gt;'Inv'!$D$12),"",N(O$614)+1)</f>
        <v>0</v>
      </c>
    </row>
    <row r="616" spans="1:15">
      <c r="A616" s="2">
        <f>'[01_Entry.xlsx]Book'!A616</f>
        <v/>
      </c>
      <c r="B616" s="2">
        <f>'[01_Entry.xlsx]Book'!B616</f>
        <v/>
      </c>
      <c r="C616" s="2">
        <f>'[01_Entry.xlsx]Book'!D616</f>
        <v/>
      </c>
      <c r="D616" s="2">
        <f>'[01_Entry.xlsx]Book'!E616</f>
        <v/>
      </c>
      <c r="E616" s="2">
        <f>'[01_Entry.xlsx]Book'!O616</f>
        <v/>
      </c>
      <c r="F616" s="2">
        <f>'[01_Entry.xlsx]Book'!N616</f>
        <v/>
      </c>
      <c r="G616" s="3">
        <f>'[01_Entry.xlsx]Book'!L616</f>
        <v/>
      </c>
      <c r="H616" s="3">
        <f>'[01_Entry.xlsx]Book'!M616</f>
        <v/>
      </c>
      <c r="I616" s="3">
        <f>'[01_Entry.xlsx]Book'!K616</f>
        <v/>
      </c>
      <c r="J616" s="3">
        <f>'[01_Entry.xlsx]Book'!P616</f>
        <v/>
      </c>
      <c r="K616" s="3">
        <f>'[01_Entry.xlsx]Book'!F616</f>
        <v/>
      </c>
      <c r="L616" s="3">
        <f>'[01_Entry.xlsx]Book'!G616</f>
        <v/>
      </c>
      <c r="M616" s="3">
        <f>'[01_Entry.xlsx]Book'!I616</f>
        <v/>
      </c>
      <c r="N616" s="2">
        <f>IF($A616="","",MID($A616,6,2))</f>
        <v>0</v>
      </c>
      <c r="O616" s="2">
        <f>IF(OR($C616="",$C616&lt;&gt;'Inv'!$D$12),"",N(O$615)+1)</f>
        <v>0</v>
      </c>
    </row>
    <row r="617" spans="1:15">
      <c r="A617" s="2">
        <f>'[01_Entry.xlsx]Book'!A617</f>
        <v/>
      </c>
      <c r="B617" s="2">
        <f>'[01_Entry.xlsx]Book'!B617</f>
        <v/>
      </c>
      <c r="C617" s="2">
        <f>'[01_Entry.xlsx]Book'!D617</f>
        <v/>
      </c>
      <c r="D617" s="2">
        <f>'[01_Entry.xlsx]Book'!E617</f>
        <v/>
      </c>
      <c r="E617" s="2">
        <f>'[01_Entry.xlsx]Book'!O617</f>
        <v/>
      </c>
      <c r="F617" s="2">
        <f>'[01_Entry.xlsx]Book'!N617</f>
        <v/>
      </c>
      <c r="G617" s="3">
        <f>'[01_Entry.xlsx]Book'!L617</f>
        <v/>
      </c>
      <c r="H617" s="3">
        <f>'[01_Entry.xlsx]Book'!M617</f>
        <v/>
      </c>
      <c r="I617" s="3">
        <f>'[01_Entry.xlsx]Book'!K617</f>
        <v/>
      </c>
      <c r="J617" s="3">
        <f>'[01_Entry.xlsx]Book'!P617</f>
        <v/>
      </c>
      <c r="K617" s="3">
        <f>'[01_Entry.xlsx]Book'!F617</f>
        <v/>
      </c>
      <c r="L617" s="3">
        <f>'[01_Entry.xlsx]Book'!G617</f>
        <v/>
      </c>
      <c r="M617" s="3">
        <f>'[01_Entry.xlsx]Book'!I617</f>
        <v/>
      </c>
      <c r="N617" s="2">
        <f>IF($A617="","",MID($A617,6,2))</f>
        <v>0</v>
      </c>
      <c r="O617" s="2">
        <f>IF(OR($C617="",$C617&lt;&gt;'Inv'!$D$12),"",N(O$616)+1)</f>
        <v>0</v>
      </c>
    </row>
    <row r="618" spans="1:15">
      <c r="A618" s="2">
        <f>'[01_Entry.xlsx]Book'!A618</f>
        <v/>
      </c>
      <c r="B618" s="2">
        <f>'[01_Entry.xlsx]Book'!B618</f>
        <v/>
      </c>
      <c r="C618" s="2">
        <f>'[01_Entry.xlsx]Book'!D618</f>
        <v/>
      </c>
      <c r="D618" s="2">
        <f>'[01_Entry.xlsx]Book'!E618</f>
        <v/>
      </c>
      <c r="E618" s="2">
        <f>'[01_Entry.xlsx]Book'!O618</f>
        <v/>
      </c>
      <c r="F618" s="2">
        <f>'[01_Entry.xlsx]Book'!N618</f>
        <v/>
      </c>
      <c r="G618" s="3">
        <f>'[01_Entry.xlsx]Book'!L618</f>
        <v/>
      </c>
      <c r="H618" s="3">
        <f>'[01_Entry.xlsx]Book'!M618</f>
        <v/>
      </c>
      <c r="I618" s="3">
        <f>'[01_Entry.xlsx]Book'!K618</f>
        <v/>
      </c>
      <c r="J618" s="3">
        <f>'[01_Entry.xlsx]Book'!P618</f>
        <v/>
      </c>
      <c r="K618" s="3">
        <f>'[01_Entry.xlsx]Book'!F618</f>
        <v/>
      </c>
      <c r="L618" s="3">
        <f>'[01_Entry.xlsx]Book'!G618</f>
        <v/>
      </c>
      <c r="M618" s="3">
        <f>'[01_Entry.xlsx]Book'!I618</f>
        <v/>
      </c>
      <c r="N618" s="2">
        <f>IF($A618="","",MID($A618,6,2))</f>
        <v>0</v>
      </c>
      <c r="O618" s="2">
        <f>IF(OR($C618="",$C618&lt;&gt;'Inv'!$D$12),"",N(O$617)+1)</f>
        <v>0</v>
      </c>
    </row>
    <row r="619" spans="1:15">
      <c r="A619" s="2">
        <f>'[01_Entry.xlsx]Book'!A619</f>
        <v/>
      </c>
      <c r="B619" s="2">
        <f>'[01_Entry.xlsx]Book'!B619</f>
        <v/>
      </c>
      <c r="C619" s="2">
        <f>'[01_Entry.xlsx]Book'!D619</f>
        <v/>
      </c>
      <c r="D619" s="2">
        <f>'[01_Entry.xlsx]Book'!E619</f>
        <v/>
      </c>
      <c r="E619" s="2">
        <f>'[01_Entry.xlsx]Book'!O619</f>
        <v/>
      </c>
      <c r="F619" s="2">
        <f>'[01_Entry.xlsx]Book'!N619</f>
        <v/>
      </c>
      <c r="G619" s="3">
        <f>'[01_Entry.xlsx]Book'!L619</f>
        <v/>
      </c>
      <c r="H619" s="3">
        <f>'[01_Entry.xlsx]Book'!M619</f>
        <v/>
      </c>
      <c r="I619" s="3">
        <f>'[01_Entry.xlsx]Book'!K619</f>
        <v/>
      </c>
      <c r="J619" s="3">
        <f>'[01_Entry.xlsx]Book'!P619</f>
        <v/>
      </c>
      <c r="K619" s="3">
        <f>'[01_Entry.xlsx]Book'!F619</f>
        <v/>
      </c>
      <c r="L619" s="3">
        <f>'[01_Entry.xlsx]Book'!G619</f>
        <v/>
      </c>
      <c r="M619" s="3">
        <f>'[01_Entry.xlsx]Book'!I619</f>
        <v/>
      </c>
      <c r="N619" s="2">
        <f>IF($A619="","",MID($A619,6,2))</f>
        <v>0</v>
      </c>
      <c r="O619" s="2">
        <f>IF(OR($C619="",$C619&lt;&gt;'Inv'!$D$12),"",N(O$618)+1)</f>
        <v>0</v>
      </c>
    </row>
    <row r="620" spans="1:15">
      <c r="A620" s="2">
        <f>'[01_Entry.xlsx]Book'!A620</f>
        <v/>
      </c>
      <c r="B620" s="2">
        <f>'[01_Entry.xlsx]Book'!B620</f>
        <v/>
      </c>
      <c r="C620" s="2">
        <f>'[01_Entry.xlsx]Book'!D620</f>
        <v/>
      </c>
      <c r="D620" s="2">
        <f>'[01_Entry.xlsx]Book'!E620</f>
        <v/>
      </c>
      <c r="E620" s="2">
        <f>'[01_Entry.xlsx]Book'!O620</f>
        <v/>
      </c>
      <c r="F620" s="2">
        <f>'[01_Entry.xlsx]Book'!N620</f>
        <v/>
      </c>
      <c r="G620" s="3">
        <f>'[01_Entry.xlsx]Book'!L620</f>
        <v/>
      </c>
      <c r="H620" s="3">
        <f>'[01_Entry.xlsx]Book'!M620</f>
        <v/>
      </c>
      <c r="I620" s="3">
        <f>'[01_Entry.xlsx]Book'!K620</f>
        <v/>
      </c>
      <c r="J620" s="3">
        <f>'[01_Entry.xlsx]Book'!P620</f>
        <v/>
      </c>
      <c r="K620" s="3">
        <f>'[01_Entry.xlsx]Book'!F620</f>
        <v/>
      </c>
      <c r="L620" s="3">
        <f>'[01_Entry.xlsx]Book'!G620</f>
        <v/>
      </c>
      <c r="M620" s="3">
        <f>'[01_Entry.xlsx]Book'!I620</f>
        <v/>
      </c>
      <c r="N620" s="2">
        <f>IF($A620="","",MID($A620,6,2))</f>
        <v>0</v>
      </c>
      <c r="O620" s="2">
        <f>IF(OR($C620="",$C620&lt;&gt;'Inv'!$D$12),"",N(O$619)+1)</f>
        <v>0</v>
      </c>
    </row>
    <row r="621" spans="1:15">
      <c r="A621" s="2">
        <f>'[01_Entry.xlsx]Book'!A621</f>
        <v/>
      </c>
      <c r="B621" s="2">
        <f>'[01_Entry.xlsx]Book'!B621</f>
        <v/>
      </c>
      <c r="C621" s="2">
        <f>'[01_Entry.xlsx]Book'!D621</f>
        <v/>
      </c>
      <c r="D621" s="2">
        <f>'[01_Entry.xlsx]Book'!E621</f>
        <v/>
      </c>
      <c r="E621" s="2">
        <f>'[01_Entry.xlsx]Book'!O621</f>
        <v/>
      </c>
      <c r="F621" s="2">
        <f>'[01_Entry.xlsx]Book'!N621</f>
        <v/>
      </c>
      <c r="G621" s="3">
        <f>'[01_Entry.xlsx]Book'!L621</f>
        <v/>
      </c>
      <c r="H621" s="3">
        <f>'[01_Entry.xlsx]Book'!M621</f>
        <v/>
      </c>
      <c r="I621" s="3">
        <f>'[01_Entry.xlsx]Book'!K621</f>
        <v/>
      </c>
      <c r="J621" s="3">
        <f>'[01_Entry.xlsx]Book'!P621</f>
        <v/>
      </c>
      <c r="K621" s="3">
        <f>'[01_Entry.xlsx]Book'!F621</f>
        <v/>
      </c>
      <c r="L621" s="3">
        <f>'[01_Entry.xlsx]Book'!G621</f>
        <v/>
      </c>
      <c r="M621" s="3">
        <f>'[01_Entry.xlsx]Book'!I621</f>
        <v/>
      </c>
      <c r="N621" s="2">
        <f>IF($A621="","",MID($A621,6,2))</f>
        <v>0</v>
      </c>
      <c r="O621" s="2">
        <f>IF(OR($C621="",$C621&lt;&gt;'Inv'!$D$12),"",N(O$620)+1)</f>
        <v>0</v>
      </c>
    </row>
    <row r="622" spans="1:15">
      <c r="A622" s="2">
        <f>'[01_Entry.xlsx]Book'!A622</f>
        <v/>
      </c>
      <c r="B622" s="2">
        <f>'[01_Entry.xlsx]Book'!B622</f>
        <v/>
      </c>
      <c r="C622" s="2">
        <f>'[01_Entry.xlsx]Book'!D622</f>
        <v/>
      </c>
      <c r="D622" s="2">
        <f>'[01_Entry.xlsx]Book'!E622</f>
        <v/>
      </c>
      <c r="E622" s="2">
        <f>'[01_Entry.xlsx]Book'!O622</f>
        <v/>
      </c>
      <c r="F622" s="2">
        <f>'[01_Entry.xlsx]Book'!N622</f>
        <v/>
      </c>
      <c r="G622" s="3">
        <f>'[01_Entry.xlsx]Book'!L622</f>
        <v/>
      </c>
      <c r="H622" s="3">
        <f>'[01_Entry.xlsx]Book'!M622</f>
        <v/>
      </c>
      <c r="I622" s="3">
        <f>'[01_Entry.xlsx]Book'!K622</f>
        <v/>
      </c>
      <c r="J622" s="3">
        <f>'[01_Entry.xlsx]Book'!P622</f>
        <v/>
      </c>
      <c r="K622" s="3">
        <f>'[01_Entry.xlsx]Book'!F622</f>
        <v/>
      </c>
      <c r="L622" s="3">
        <f>'[01_Entry.xlsx]Book'!G622</f>
        <v/>
      </c>
      <c r="M622" s="3">
        <f>'[01_Entry.xlsx]Book'!I622</f>
        <v/>
      </c>
      <c r="N622" s="2">
        <f>IF($A622="","",MID($A622,6,2))</f>
        <v>0</v>
      </c>
      <c r="O622" s="2">
        <f>IF(OR($C622="",$C622&lt;&gt;'Inv'!$D$12),"",N(O$621)+1)</f>
        <v>0</v>
      </c>
    </row>
    <row r="623" spans="1:15">
      <c r="A623" s="2">
        <f>'[01_Entry.xlsx]Book'!A623</f>
        <v/>
      </c>
      <c r="B623" s="2">
        <f>'[01_Entry.xlsx]Book'!B623</f>
        <v/>
      </c>
      <c r="C623" s="2">
        <f>'[01_Entry.xlsx]Book'!D623</f>
        <v/>
      </c>
      <c r="D623" s="2">
        <f>'[01_Entry.xlsx]Book'!E623</f>
        <v/>
      </c>
      <c r="E623" s="2">
        <f>'[01_Entry.xlsx]Book'!O623</f>
        <v/>
      </c>
      <c r="F623" s="2">
        <f>'[01_Entry.xlsx]Book'!N623</f>
        <v/>
      </c>
      <c r="G623" s="3">
        <f>'[01_Entry.xlsx]Book'!L623</f>
        <v/>
      </c>
      <c r="H623" s="3">
        <f>'[01_Entry.xlsx]Book'!M623</f>
        <v/>
      </c>
      <c r="I623" s="3">
        <f>'[01_Entry.xlsx]Book'!K623</f>
        <v/>
      </c>
      <c r="J623" s="3">
        <f>'[01_Entry.xlsx]Book'!P623</f>
        <v/>
      </c>
      <c r="K623" s="3">
        <f>'[01_Entry.xlsx]Book'!F623</f>
        <v/>
      </c>
      <c r="L623" s="3">
        <f>'[01_Entry.xlsx]Book'!G623</f>
        <v/>
      </c>
      <c r="M623" s="3">
        <f>'[01_Entry.xlsx]Book'!I623</f>
        <v/>
      </c>
      <c r="N623" s="2">
        <f>IF($A623="","",MID($A623,6,2))</f>
        <v>0</v>
      </c>
      <c r="O623" s="2">
        <f>IF(OR($C623="",$C623&lt;&gt;'Inv'!$D$12),"",N(O$622)+1)</f>
        <v>0</v>
      </c>
    </row>
    <row r="624" spans="1:15">
      <c r="A624" s="2">
        <f>'[01_Entry.xlsx]Book'!A624</f>
        <v/>
      </c>
      <c r="B624" s="2">
        <f>'[01_Entry.xlsx]Book'!B624</f>
        <v/>
      </c>
      <c r="C624" s="2">
        <f>'[01_Entry.xlsx]Book'!D624</f>
        <v/>
      </c>
      <c r="D624" s="2">
        <f>'[01_Entry.xlsx]Book'!E624</f>
        <v/>
      </c>
      <c r="E624" s="2">
        <f>'[01_Entry.xlsx]Book'!O624</f>
        <v/>
      </c>
      <c r="F624" s="2">
        <f>'[01_Entry.xlsx]Book'!N624</f>
        <v/>
      </c>
      <c r="G624" s="3">
        <f>'[01_Entry.xlsx]Book'!L624</f>
        <v/>
      </c>
      <c r="H624" s="3">
        <f>'[01_Entry.xlsx]Book'!M624</f>
        <v/>
      </c>
      <c r="I624" s="3">
        <f>'[01_Entry.xlsx]Book'!K624</f>
        <v/>
      </c>
      <c r="J624" s="3">
        <f>'[01_Entry.xlsx]Book'!P624</f>
        <v/>
      </c>
      <c r="K624" s="3">
        <f>'[01_Entry.xlsx]Book'!F624</f>
        <v/>
      </c>
      <c r="L624" s="3">
        <f>'[01_Entry.xlsx]Book'!G624</f>
        <v/>
      </c>
      <c r="M624" s="3">
        <f>'[01_Entry.xlsx]Book'!I624</f>
        <v/>
      </c>
      <c r="N624" s="2">
        <f>IF($A624="","",MID($A624,6,2))</f>
        <v>0</v>
      </c>
      <c r="O624" s="2">
        <f>IF(OR($C624="",$C624&lt;&gt;'Inv'!$D$12),"",N(O$623)+1)</f>
        <v>0</v>
      </c>
    </row>
    <row r="625" spans="1:15">
      <c r="A625" s="2">
        <f>'[01_Entry.xlsx]Book'!A625</f>
        <v/>
      </c>
      <c r="B625" s="2">
        <f>'[01_Entry.xlsx]Book'!B625</f>
        <v/>
      </c>
      <c r="C625" s="2">
        <f>'[01_Entry.xlsx]Book'!D625</f>
        <v/>
      </c>
      <c r="D625" s="2">
        <f>'[01_Entry.xlsx]Book'!E625</f>
        <v/>
      </c>
      <c r="E625" s="2">
        <f>'[01_Entry.xlsx]Book'!O625</f>
        <v/>
      </c>
      <c r="F625" s="2">
        <f>'[01_Entry.xlsx]Book'!N625</f>
        <v/>
      </c>
      <c r="G625" s="3">
        <f>'[01_Entry.xlsx]Book'!L625</f>
        <v/>
      </c>
      <c r="H625" s="3">
        <f>'[01_Entry.xlsx]Book'!M625</f>
        <v/>
      </c>
      <c r="I625" s="3">
        <f>'[01_Entry.xlsx]Book'!K625</f>
        <v/>
      </c>
      <c r="J625" s="3">
        <f>'[01_Entry.xlsx]Book'!P625</f>
        <v/>
      </c>
      <c r="K625" s="3">
        <f>'[01_Entry.xlsx]Book'!F625</f>
        <v/>
      </c>
      <c r="L625" s="3">
        <f>'[01_Entry.xlsx]Book'!G625</f>
        <v/>
      </c>
      <c r="M625" s="3">
        <f>'[01_Entry.xlsx]Book'!I625</f>
        <v/>
      </c>
      <c r="N625" s="2">
        <f>IF($A625="","",MID($A625,6,2))</f>
        <v>0</v>
      </c>
      <c r="O625" s="2">
        <f>IF(OR($C625="",$C625&lt;&gt;'Inv'!$D$12),"",N(O$624)+1)</f>
        <v>0</v>
      </c>
    </row>
    <row r="626" spans="1:15">
      <c r="A626" s="2">
        <f>'[01_Entry.xlsx]Book'!A626</f>
        <v/>
      </c>
      <c r="B626" s="2">
        <f>'[01_Entry.xlsx]Book'!B626</f>
        <v/>
      </c>
      <c r="C626" s="2">
        <f>'[01_Entry.xlsx]Book'!D626</f>
        <v/>
      </c>
      <c r="D626" s="2">
        <f>'[01_Entry.xlsx]Book'!E626</f>
        <v/>
      </c>
      <c r="E626" s="2">
        <f>'[01_Entry.xlsx]Book'!O626</f>
        <v/>
      </c>
      <c r="F626" s="2">
        <f>'[01_Entry.xlsx]Book'!N626</f>
        <v/>
      </c>
      <c r="G626" s="3">
        <f>'[01_Entry.xlsx]Book'!L626</f>
        <v/>
      </c>
      <c r="H626" s="3">
        <f>'[01_Entry.xlsx]Book'!M626</f>
        <v/>
      </c>
      <c r="I626" s="3">
        <f>'[01_Entry.xlsx]Book'!K626</f>
        <v/>
      </c>
      <c r="J626" s="3">
        <f>'[01_Entry.xlsx]Book'!P626</f>
        <v/>
      </c>
      <c r="K626" s="3">
        <f>'[01_Entry.xlsx]Book'!F626</f>
        <v/>
      </c>
      <c r="L626" s="3">
        <f>'[01_Entry.xlsx]Book'!G626</f>
        <v/>
      </c>
      <c r="M626" s="3">
        <f>'[01_Entry.xlsx]Book'!I626</f>
        <v/>
      </c>
      <c r="N626" s="2">
        <f>IF($A626="","",MID($A626,6,2))</f>
        <v>0</v>
      </c>
      <c r="O626" s="2">
        <f>IF(OR($C626="",$C626&lt;&gt;'Inv'!$D$12),"",N(O$625)+1)</f>
        <v>0</v>
      </c>
    </row>
    <row r="627" spans="1:15">
      <c r="A627" s="2">
        <f>'[01_Entry.xlsx]Book'!A627</f>
        <v/>
      </c>
      <c r="B627" s="2">
        <f>'[01_Entry.xlsx]Book'!B627</f>
        <v/>
      </c>
      <c r="C627" s="2">
        <f>'[01_Entry.xlsx]Book'!D627</f>
        <v/>
      </c>
      <c r="D627" s="2">
        <f>'[01_Entry.xlsx]Book'!E627</f>
        <v/>
      </c>
      <c r="E627" s="2">
        <f>'[01_Entry.xlsx]Book'!O627</f>
        <v/>
      </c>
      <c r="F627" s="2">
        <f>'[01_Entry.xlsx]Book'!N627</f>
        <v/>
      </c>
      <c r="G627" s="3">
        <f>'[01_Entry.xlsx]Book'!L627</f>
        <v/>
      </c>
      <c r="H627" s="3">
        <f>'[01_Entry.xlsx]Book'!M627</f>
        <v/>
      </c>
      <c r="I627" s="3">
        <f>'[01_Entry.xlsx]Book'!K627</f>
        <v/>
      </c>
      <c r="J627" s="3">
        <f>'[01_Entry.xlsx]Book'!P627</f>
        <v/>
      </c>
      <c r="K627" s="3">
        <f>'[01_Entry.xlsx]Book'!F627</f>
        <v/>
      </c>
      <c r="L627" s="3">
        <f>'[01_Entry.xlsx]Book'!G627</f>
        <v/>
      </c>
      <c r="M627" s="3">
        <f>'[01_Entry.xlsx]Book'!I627</f>
        <v/>
      </c>
      <c r="N627" s="2">
        <f>IF($A627="","",MID($A627,6,2))</f>
        <v>0</v>
      </c>
      <c r="O627" s="2">
        <f>IF(OR($C627="",$C627&lt;&gt;'Inv'!$D$12),"",N(O$626)+1)</f>
        <v>0</v>
      </c>
    </row>
    <row r="628" spans="1:15">
      <c r="A628" s="2">
        <f>'[01_Entry.xlsx]Book'!A628</f>
        <v/>
      </c>
      <c r="B628" s="2">
        <f>'[01_Entry.xlsx]Book'!B628</f>
        <v/>
      </c>
      <c r="C628" s="2">
        <f>'[01_Entry.xlsx]Book'!D628</f>
        <v/>
      </c>
      <c r="D628" s="2">
        <f>'[01_Entry.xlsx]Book'!E628</f>
        <v/>
      </c>
      <c r="E628" s="2">
        <f>'[01_Entry.xlsx]Book'!O628</f>
        <v/>
      </c>
      <c r="F628" s="2">
        <f>'[01_Entry.xlsx]Book'!N628</f>
        <v/>
      </c>
      <c r="G628" s="3">
        <f>'[01_Entry.xlsx]Book'!L628</f>
        <v/>
      </c>
      <c r="H628" s="3">
        <f>'[01_Entry.xlsx]Book'!M628</f>
        <v/>
      </c>
      <c r="I628" s="3">
        <f>'[01_Entry.xlsx]Book'!K628</f>
        <v/>
      </c>
      <c r="J628" s="3">
        <f>'[01_Entry.xlsx]Book'!P628</f>
        <v/>
      </c>
      <c r="K628" s="3">
        <f>'[01_Entry.xlsx]Book'!F628</f>
        <v/>
      </c>
      <c r="L628" s="3">
        <f>'[01_Entry.xlsx]Book'!G628</f>
        <v/>
      </c>
      <c r="M628" s="3">
        <f>'[01_Entry.xlsx]Book'!I628</f>
        <v/>
      </c>
      <c r="N628" s="2">
        <f>IF($A628="","",MID($A628,6,2))</f>
        <v>0</v>
      </c>
      <c r="O628" s="2">
        <f>IF(OR($C628="",$C628&lt;&gt;'Inv'!$D$12),"",N(O$627)+1)</f>
        <v>0</v>
      </c>
    </row>
    <row r="629" spans="1:15">
      <c r="A629" s="2">
        <f>'[01_Entry.xlsx]Book'!A629</f>
        <v/>
      </c>
      <c r="B629" s="2">
        <f>'[01_Entry.xlsx]Book'!B629</f>
        <v/>
      </c>
      <c r="C629" s="2">
        <f>'[01_Entry.xlsx]Book'!D629</f>
        <v/>
      </c>
      <c r="D629" s="2">
        <f>'[01_Entry.xlsx]Book'!E629</f>
        <v/>
      </c>
      <c r="E629" s="2">
        <f>'[01_Entry.xlsx]Book'!O629</f>
        <v/>
      </c>
      <c r="F629" s="2">
        <f>'[01_Entry.xlsx]Book'!N629</f>
        <v/>
      </c>
      <c r="G629" s="3">
        <f>'[01_Entry.xlsx]Book'!L629</f>
        <v/>
      </c>
      <c r="H629" s="3">
        <f>'[01_Entry.xlsx]Book'!M629</f>
        <v/>
      </c>
      <c r="I629" s="3">
        <f>'[01_Entry.xlsx]Book'!K629</f>
        <v/>
      </c>
      <c r="J629" s="3">
        <f>'[01_Entry.xlsx]Book'!P629</f>
        <v/>
      </c>
      <c r="K629" s="3">
        <f>'[01_Entry.xlsx]Book'!F629</f>
        <v/>
      </c>
      <c r="L629" s="3">
        <f>'[01_Entry.xlsx]Book'!G629</f>
        <v/>
      </c>
      <c r="M629" s="3">
        <f>'[01_Entry.xlsx]Book'!I629</f>
        <v/>
      </c>
      <c r="N629" s="2">
        <f>IF($A629="","",MID($A629,6,2))</f>
        <v>0</v>
      </c>
      <c r="O629" s="2">
        <f>IF(OR($C629="",$C629&lt;&gt;'Inv'!$D$12),"",N(O$628)+1)</f>
        <v>0</v>
      </c>
    </row>
    <row r="630" spans="1:15">
      <c r="A630" s="2">
        <f>'[01_Entry.xlsx]Book'!A630</f>
        <v/>
      </c>
      <c r="B630" s="2">
        <f>'[01_Entry.xlsx]Book'!B630</f>
        <v/>
      </c>
      <c r="C630" s="2">
        <f>'[01_Entry.xlsx]Book'!D630</f>
        <v/>
      </c>
      <c r="D630" s="2">
        <f>'[01_Entry.xlsx]Book'!E630</f>
        <v/>
      </c>
      <c r="E630" s="2">
        <f>'[01_Entry.xlsx]Book'!O630</f>
        <v/>
      </c>
      <c r="F630" s="2">
        <f>'[01_Entry.xlsx]Book'!N630</f>
        <v/>
      </c>
      <c r="G630" s="3">
        <f>'[01_Entry.xlsx]Book'!L630</f>
        <v/>
      </c>
      <c r="H630" s="3">
        <f>'[01_Entry.xlsx]Book'!M630</f>
        <v/>
      </c>
      <c r="I630" s="3">
        <f>'[01_Entry.xlsx]Book'!K630</f>
        <v/>
      </c>
      <c r="J630" s="3">
        <f>'[01_Entry.xlsx]Book'!P630</f>
        <v/>
      </c>
      <c r="K630" s="3">
        <f>'[01_Entry.xlsx]Book'!F630</f>
        <v/>
      </c>
      <c r="L630" s="3">
        <f>'[01_Entry.xlsx]Book'!G630</f>
        <v/>
      </c>
      <c r="M630" s="3">
        <f>'[01_Entry.xlsx]Book'!I630</f>
        <v/>
      </c>
      <c r="N630" s="2">
        <f>IF($A630="","",MID($A630,6,2))</f>
        <v>0</v>
      </c>
      <c r="O630" s="2">
        <f>IF(OR($C630="",$C630&lt;&gt;'Inv'!$D$12),"",N(O$629)+1)</f>
        <v>0</v>
      </c>
    </row>
    <row r="631" spans="1:15">
      <c r="A631" s="2">
        <f>'[01_Entry.xlsx]Book'!A631</f>
        <v/>
      </c>
      <c r="B631" s="2">
        <f>'[01_Entry.xlsx]Book'!B631</f>
        <v/>
      </c>
      <c r="C631" s="2">
        <f>'[01_Entry.xlsx]Book'!D631</f>
        <v/>
      </c>
      <c r="D631" s="2">
        <f>'[01_Entry.xlsx]Book'!E631</f>
        <v/>
      </c>
      <c r="E631" s="2">
        <f>'[01_Entry.xlsx]Book'!O631</f>
        <v/>
      </c>
      <c r="F631" s="2">
        <f>'[01_Entry.xlsx]Book'!N631</f>
        <v/>
      </c>
      <c r="G631" s="3">
        <f>'[01_Entry.xlsx]Book'!L631</f>
        <v/>
      </c>
      <c r="H631" s="3">
        <f>'[01_Entry.xlsx]Book'!M631</f>
        <v/>
      </c>
      <c r="I631" s="3">
        <f>'[01_Entry.xlsx]Book'!K631</f>
        <v/>
      </c>
      <c r="J631" s="3">
        <f>'[01_Entry.xlsx]Book'!P631</f>
        <v/>
      </c>
      <c r="K631" s="3">
        <f>'[01_Entry.xlsx]Book'!F631</f>
        <v/>
      </c>
      <c r="L631" s="3">
        <f>'[01_Entry.xlsx]Book'!G631</f>
        <v/>
      </c>
      <c r="M631" s="3">
        <f>'[01_Entry.xlsx]Book'!I631</f>
        <v/>
      </c>
      <c r="N631" s="2">
        <f>IF($A631="","",MID($A631,6,2))</f>
        <v>0</v>
      </c>
      <c r="O631" s="2">
        <f>IF(OR($C631="",$C631&lt;&gt;'Inv'!$D$12),"",N(O$630)+1)</f>
        <v>0</v>
      </c>
    </row>
    <row r="632" spans="1:15">
      <c r="A632" s="2">
        <f>'[01_Entry.xlsx]Book'!A632</f>
        <v/>
      </c>
      <c r="B632" s="2">
        <f>'[01_Entry.xlsx]Book'!B632</f>
        <v/>
      </c>
      <c r="C632" s="2">
        <f>'[01_Entry.xlsx]Book'!D632</f>
        <v/>
      </c>
      <c r="D632" s="2">
        <f>'[01_Entry.xlsx]Book'!E632</f>
        <v/>
      </c>
      <c r="E632" s="2">
        <f>'[01_Entry.xlsx]Book'!O632</f>
        <v/>
      </c>
      <c r="F632" s="2">
        <f>'[01_Entry.xlsx]Book'!N632</f>
        <v/>
      </c>
      <c r="G632" s="3">
        <f>'[01_Entry.xlsx]Book'!L632</f>
        <v/>
      </c>
      <c r="H632" s="3">
        <f>'[01_Entry.xlsx]Book'!M632</f>
        <v/>
      </c>
      <c r="I632" s="3">
        <f>'[01_Entry.xlsx]Book'!K632</f>
        <v/>
      </c>
      <c r="J632" s="3">
        <f>'[01_Entry.xlsx]Book'!P632</f>
        <v/>
      </c>
      <c r="K632" s="3">
        <f>'[01_Entry.xlsx]Book'!F632</f>
        <v/>
      </c>
      <c r="L632" s="3">
        <f>'[01_Entry.xlsx]Book'!G632</f>
        <v/>
      </c>
      <c r="M632" s="3">
        <f>'[01_Entry.xlsx]Book'!I632</f>
        <v/>
      </c>
      <c r="N632" s="2">
        <f>IF($A632="","",MID($A632,6,2))</f>
        <v>0</v>
      </c>
      <c r="O632" s="2">
        <f>IF(OR($C632="",$C632&lt;&gt;'Inv'!$D$12),"",N(O$631)+1)</f>
        <v>0</v>
      </c>
    </row>
    <row r="633" spans="1:15">
      <c r="A633" s="2">
        <f>'[01_Entry.xlsx]Book'!A633</f>
        <v/>
      </c>
      <c r="B633" s="2">
        <f>'[01_Entry.xlsx]Book'!B633</f>
        <v/>
      </c>
      <c r="C633" s="2">
        <f>'[01_Entry.xlsx]Book'!D633</f>
        <v/>
      </c>
      <c r="D633" s="2">
        <f>'[01_Entry.xlsx]Book'!E633</f>
        <v/>
      </c>
      <c r="E633" s="2">
        <f>'[01_Entry.xlsx]Book'!O633</f>
        <v/>
      </c>
      <c r="F633" s="2">
        <f>'[01_Entry.xlsx]Book'!N633</f>
        <v/>
      </c>
      <c r="G633" s="3">
        <f>'[01_Entry.xlsx]Book'!L633</f>
        <v/>
      </c>
      <c r="H633" s="3">
        <f>'[01_Entry.xlsx]Book'!M633</f>
        <v/>
      </c>
      <c r="I633" s="3">
        <f>'[01_Entry.xlsx]Book'!K633</f>
        <v/>
      </c>
      <c r="J633" s="3">
        <f>'[01_Entry.xlsx]Book'!P633</f>
        <v/>
      </c>
      <c r="K633" s="3">
        <f>'[01_Entry.xlsx]Book'!F633</f>
        <v/>
      </c>
      <c r="L633" s="3">
        <f>'[01_Entry.xlsx]Book'!G633</f>
        <v/>
      </c>
      <c r="M633" s="3">
        <f>'[01_Entry.xlsx]Book'!I633</f>
        <v/>
      </c>
      <c r="N633" s="2">
        <f>IF($A633="","",MID($A633,6,2))</f>
        <v>0</v>
      </c>
      <c r="O633" s="2">
        <f>IF(OR($C633="",$C633&lt;&gt;'Inv'!$D$12),"",N(O$632)+1)</f>
        <v>0</v>
      </c>
    </row>
    <row r="634" spans="1:15">
      <c r="A634" s="2">
        <f>'[01_Entry.xlsx]Book'!A634</f>
        <v/>
      </c>
      <c r="B634" s="2">
        <f>'[01_Entry.xlsx]Book'!B634</f>
        <v/>
      </c>
      <c r="C634" s="2">
        <f>'[01_Entry.xlsx]Book'!D634</f>
        <v/>
      </c>
      <c r="D634" s="2">
        <f>'[01_Entry.xlsx]Book'!E634</f>
        <v/>
      </c>
      <c r="E634" s="2">
        <f>'[01_Entry.xlsx]Book'!O634</f>
        <v/>
      </c>
      <c r="F634" s="2">
        <f>'[01_Entry.xlsx]Book'!N634</f>
        <v/>
      </c>
      <c r="G634" s="3">
        <f>'[01_Entry.xlsx]Book'!L634</f>
        <v/>
      </c>
      <c r="H634" s="3">
        <f>'[01_Entry.xlsx]Book'!M634</f>
        <v/>
      </c>
      <c r="I634" s="3">
        <f>'[01_Entry.xlsx]Book'!K634</f>
        <v/>
      </c>
      <c r="J634" s="3">
        <f>'[01_Entry.xlsx]Book'!P634</f>
        <v/>
      </c>
      <c r="K634" s="3">
        <f>'[01_Entry.xlsx]Book'!F634</f>
        <v/>
      </c>
      <c r="L634" s="3">
        <f>'[01_Entry.xlsx]Book'!G634</f>
        <v/>
      </c>
      <c r="M634" s="3">
        <f>'[01_Entry.xlsx]Book'!I634</f>
        <v/>
      </c>
      <c r="N634" s="2">
        <f>IF($A634="","",MID($A634,6,2))</f>
        <v>0</v>
      </c>
      <c r="O634" s="2">
        <f>IF(OR($C634="",$C634&lt;&gt;'Inv'!$D$12),"",N(O$633)+1)</f>
        <v>0</v>
      </c>
    </row>
    <row r="635" spans="1:15">
      <c r="A635" s="2">
        <f>'[01_Entry.xlsx]Book'!A635</f>
        <v/>
      </c>
      <c r="B635" s="2">
        <f>'[01_Entry.xlsx]Book'!B635</f>
        <v/>
      </c>
      <c r="C635" s="2">
        <f>'[01_Entry.xlsx]Book'!D635</f>
        <v/>
      </c>
      <c r="D635" s="2">
        <f>'[01_Entry.xlsx]Book'!E635</f>
        <v/>
      </c>
      <c r="E635" s="2">
        <f>'[01_Entry.xlsx]Book'!O635</f>
        <v/>
      </c>
      <c r="F635" s="2">
        <f>'[01_Entry.xlsx]Book'!N635</f>
        <v/>
      </c>
      <c r="G635" s="3">
        <f>'[01_Entry.xlsx]Book'!L635</f>
        <v/>
      </c>
      <c r="H635" s="3">
        <f>'[01_Entry.xlsx]Book'!M635</f>
        <v/>
      </c>
      <c r="I635" s="3">
        <f>'[01_Entry.xlsx]Book'!K635</f>
        <v/>
      </c>
      <c r="J635" s="3">
        <f>'[01_Entry.xlsx]Book'!P635</f>
        <v/>
      </c>
      <c r="K635" s="3">
        <f>'[01_Entry.xlsx]Book'!F635</f>
        <v/>
      </c>
      <c r="L635" s="3">
        <f>'[01_Entry.xlsx]Book'!G635</f>
        <v/>
      </c>
      <c r="M635" s="3">
        <f>'[01_Entry.xlsx]Book'!I635</f>
        <v/>
      </c>
      <c r="N635" s="2">
        <f>IF($A635="","",MID($A635,6,2))</f>
        <v>0</v>
      </c>
      <c r="O635" s="2">
        <f>IF(OR($C635="",$C635&lt;&gt;'Inv'!$D$12),"",N(O$634)+1)</f>
        <v>0</v>
      </c>
    </row>
    <row r="636" spans="1:15">
      <c r="A636" s="2">
        <f>'[01_Entry.xlsx]Book'!A636</f>
        <v/>
      </c>
      <c r="B636" s="2">
        <f>'[01_Entry.xlsx]Book'!B636</f>
        <v/>
      </c>
      <c r="C636" s="2">
        <f>'[01_Entry.xlsx]Book'!D636</f>
        <v/>
      </c>
      <c r="D636" s="2">
        <f>'[01_Entry.xlsx]Book'!E636</f>
        <v/>
      </c>
      <c r="E636" s="2">
        <f>'[01_Entry.xlsx]Book'!O636</f>
        <v/>
      </c>
      <c r="F636" s="2">
        <f>'[01_Entry.xlsx]Book'!N636</f>
        <v/>
      </c>
      <c r="G636" s="3">
        <f>'[01_Entry.xlsx]Book'!L636</f>
        <v/>
      </c>
      <c r="H636" s="3">
        <f>'[01_Entry.xlsx]Book'!M636</f>
        <v/>
      </c>
      <c r="I636" s="3">
        <f>'[01_Entry.xlsx]Book'!K636</f>
        <v/>
      </c>
      <c r="J636" s="3">
        <f>'[01_Entry.xlsx]Book'!P636</f>
        <v/>
      </c>
      <c r="K636" s="3">
        <f>'[01_Entry.xlsx]Book'!F636</f>
        <v/>
      </c>
      <c r="L636" s="3">
        <f>'[01_Entry.xlsx]Book'!G636</f>
        <v/>
      </c>
      <c r="M636" s="3">
        <f>'[01_Entry.xlsx]Book'!I636</f>
        <v/>
      </c>
      <c r="N636" s="2">
        <f>IF($A636="","",MID($A636,6,2))</f>
        <v>0</v>
      </c>
      <c r="O636" s="2">
        <f>IF(OR($C636="",$C636&lt;&gt;'Inv'!$D$12),"",N(O$635)+1)</f>
        <v>0</v>
      </c>
    </row>
    <row r="637" spans="1:15">
      <c r="A637" s="2">
        <f>'[01_Entry.xlsx]Book'!A637</f>
        <v/>
      </c>
      <c r="B637" s="2">
        <f>'[01_Entry.xlsx]Book'!B637</f>
        <v/>
      </c>
      <c r="C637" s="2">
        <f>'[01_Entry.xlsx]Book'!D637</f>
        <v/>
      </c>
      <c r="D637" s="2">
        <f>'[01_Entry.xlsx]Book'!E637</f>
        <v/>
      </c>
      <c r="E637" s="2">
        <f>'[01_Entry.xlsx]Book'!O637</f>
        <v/>
      </c>
      <c r="F637" s="2">
        <f>'[01_Entry.xlsx]Book'!N637</f>
        <v/>
      </c>
      <c r="G637" s="3">
        <f>'[01_Entry.xlsx]Book'!L637</f>
        <v/>
      </c>
      <c r="H637" s="3">
        <f>'[01_Entry.xlsx]Book'!M637</f>
        <v/>
      </c>
      <c r="I637" s="3">
        <f>'[01_Entry.xlsx]Book'!K637</f>
        <v/>
      </c>
      <c r="J637" s="3">
        <f>'[01_Entry.xlsx]Book'!P637</f>
        <v/>
      </c>
      <c r="K637" s="3">
        <f>'[01_Entry.xlsx]Book'!F637</f>
        <v/>
      </c>
      <c r="L637" s="3">
        <f>'[01_Entry.xlsx]Book'!G637</f>
        <v/>
      </c>
      <c r="M637" s="3">
        <f>'[01_Entry.xlsx]Book'!I637</f>
        <v/>
      </c>
      <c r="N637" s="2">
        <f>IF($A637="","",MID($A637,6,2))</f>
        <v>0</v>
      </c>
      <c r="O637" s="2">
        <f>IF(OR($C637="",$C637&lt;&gt;'Inv'!$D$12),"",N(O$636)+1)</f>
        <v>0</v>
      </c>
    </row>
    <row r="638" spans="1:15">
      <c r="A638" s="2">
        <f>'[01_Entry.xlsx]Book'!A638</f>
        <v/>
      </c>
      <c r="B638" s="2">
        <f>'[01_Entry.xlsx]Book'!B638</f>
        <v/>
      </c>
      <c r="C638" s="2">
        <f>'[01_Entry.xlsx]Book'!D638</f>
        <v/>
      </c>
      <c r="D638" s="2">
        <f>'[01_Entry.xlsx]Book'!E638</f>
        <v/>
      </c>
      <c r="E638" s="2">
        <f>'[01_Entry.xlsx]Book'!O638</f>
        <v/>
      </c>
      <c r="F638" s="2">
        <f>'[01_Entry.xlsx]Book'!N638</f>
        <v/>
      </c>
      <c r="G638" s="3">
        <f>'[01_Entry.xlsx]Book'!L638</f>
        <v/>
      </c>
      <c r="H638" s="3">
        <f>'[01_Entry.xlsx]Book'!M638</f>
        <v/>
      </c>
      <c r="I638" s="3">
        <f>'[01_Entry.xlsx]Book'!K638</f>
        <v/>
      </c>
      <c r="J638" s="3">
        <f>'[01_Entry.xlsx]Book'!P638</f>
        <v/>
      </c>
      <c r="K638" s="3">
        <f>'[01_Entry.xlsx]Book'!F638</f>
        <v/>
      </c>
      <c r="L638" s="3">
        <f>'[01_Entry.xlsx]Book'!G638</f>
        <v/>
      </c>
      <c r="M638" s="3">
        <f>'[01_Entry.xlsx]Book'!I638</f>
        <v/>
      </c>
      <c r="N638" s="2">
        <f>IF($A638="","",MID($A638,6,2))</f>
        <v>0</v>
      </c>
      <c r="O638" s="2">
        <f>IF(OR($C638="",$C638&lt;&gt;'Inv'!$D$12),"",N(O$637)+1)</f>
        <v>0</v>
      </c>
    </row>
    <row r="639" spans="1:15">
      <c r="A639" s="2">
        <f>'[01_Entry.xlsx]Book'!A639</f>
        <v/>
      </c>
      <c r="B639" s="2">
        <f>'[01_Entry.xlsx]Book'!B639</f>
        <v/>
      </c>
      <c r="C639" s="2">
        <f>'[01_Entry.xlsx]Book'!D639</f>
        <v/>
      </c>
      <c r="D639" s="2">
        <f>'[01_Entry.xlsx]Book'!E639</f>
        <v/>
      </c>
      <c r="E639" s="2">
        <f>'[01_Entry.xlsx]Book'!O639</f>
        <v/>
      </c>
      <c r="F639" s="2">
        <f>'[01_Entry.xlsx]Book'!N639</f>
        <v/>
      </c>
      <c r="G639" s="3">
        <f>'[01_Entry.xlsx]Book'!L639</f>
        <v/>
      </c>
      <c r="H639" s="3">
        <f>'[01_Entry.xlsx]Book'!M639</f>
        <v/>
      </c>
      <c r="I639" s="3">
        <f>'[01_Entry.xlsx]Book'!K639</f>
        <v/>
      </c>
      <c r="J639" s="3">
        <f>'[01_Entry.xlsx]Book'!P639</f>
        <v/>
      </c>
      <c r="K639" s="3">
        <f>'[01_Entry.xlsx]Book'!F639</f>
        <v/>
      </c>
      <c r="L639" s="3">
        <f>'[01_Entry.xlsx]Book'!G639</f>
        <v/>
      </c>
      <c r="M639" s="3">
        <f>'[01_Entry.xlsx]Book'!I639</f>
        <v/>
      </c>
      <c r="N639" s="2">
        <f>IF($A639="","",MID($A639,6,2))</f>
        <v>0</v>
      </c>
      <c r="O639" s="2">
        <f>IF(OR($C639="",$C639&lt;&gt;'Inv'!$D$12),"",N(O$638)+1)</f>
        <v>0</v>
      </c>
    </row>
    <row r="640" spans="1:15">
      <c r="A640" s="2">
        <f>'[01_Entry.xlsx]Book'!A640</f>
        <v/>
      </c>
      <c r="B640" s="2">
        <f>'[01_Entry.xlsx]Book'!B640</f>
        <v/>
      </c>
      <c r="C640" s="2">
        <f>'[01_Entry.xlsx]Book'!D640</f>
        <v/>
      </c>
      <c r="D640" s="2">
        <f>'[01_Entry.xlsx]Book'!E640</f>
        <v/>
      </c>
      <c r="E640" s="2">
        <f>'[01_Entry.xlsx]Book'!O640</f>
        <v/>
      </c>
      <c r="F640" s="2">
        <f>'[01_Entry.xlsx]Book'!N640</f>
        <v/>
      </c>
      <c r="G640" s="3">
        <f>'[01_Entry.xlsx]Book'!L640</f>
        <v/>
      </c>
      <c r="H640" s="3">
        <f>'[01_Entry.xlsx]Book'!M640</f>
        <v/>
      </c>
      <c r="I640" s="3">
        <f>'[01_Entry.xlsx]Book'!K640</f>
        <v/>
      </c>
      <c r="J640" s="3">
        <f>'[01_Entry.xlsx]Book'!P640</f>
        <v/>
      </c>
      <c r="K640" s="3">
        <f>'[01_Entry.xlsx]Book'!F640</f>
        <v/>
      </c>
      <c r="L640" s="3">
        <f>'[01_Entry.xlsx]Book'!G640</f>
        <v/>
      </c>
      <c r="M640" s="3">
        <f>'[01_Entry.xlsx]Book'!I640</f>
        <v/>
      </c>
      <c r="N640" s="2">
        <f>IF($A640="","",MID($A640,6,2))</f>
        <v>0</v>
      </c>
      <c r="O640" s="2">
        <f>IF(OR($C640="",$C640&lt;&gt;'Inv'!$D$12),"",N(O$639)+1)</f>
        <v>0</v>
      </c>
    </row>
    <row r="641" spans="1:15">
      <c r="A641" s="2">
        <f>'[01_Entry.xlsx]Book'!A641</f>
        <v/>
      </c>
      <c r="B641" s="2">
        <f>'[01_Entry.xlsx]Book'!B641</f>
        <v/>
      </c>
      <c r="C641" s="2">
        <f>'[01_Entry.xlsx]Book'!D641</f>
        <v/>
      </c>
      <c r="D641" s="2">
        <f>'[01_Entry.xlsx]Book'!E641</f>
        <v/>
      </c>
      <c r="E641" s="2">
        <f>'[01_Entry.xlsx]Book'!O641</f>
        <v/>
      </c>
      <c r="F641" s="2">
        <f>'[01_Entry.xlsx]Book'!N641</f>
        <v/>
      </c>
      <c r="G641" s="3">
        <f>'[01_Entry.xlsx]Book'!L641</f>
        <v/>
      </c>
      <c r="H641" s="3">
        <f>'[01_Entry.xlsx]Book'!M641</f>
        <v/>
      </c>
      <c r="I641" s="3">
        <f>'[01_Entry.xlsx]Book'!K641</f>
        <v/>
      </c>
      <c r="J641" s="3">
        <f>'[01_Entry.xlsx]Book'!P641</f>
        <v/>
      </c>
      <c r="K641" s="3">
        <f>'[01_Entry.xlsx]Book'!F641</f>
        <v/>
      </c>
      <c r="L641" s="3">
        <f>'[01_Entry.xlsx]Book'!G641</f>
        <v/>
      </c>
      <c r="M641" s="3">
        <f>'[01_Entry.xlsx]Book'!I641</f>
        <v/>
      </c>
      <c r="N641" s="2">
        <f>IF($A641="","",MID($A641,6,2))</f>
        <v>0</v>
      </c>
      <c r="O641" s="2">
        <f>IF(OR($C641="",$C641&lt;&gt;'Inv'!$D$12),"",N(O$640)+1)</f>
        <v>0</v>
      </c>
    </row>
    <row r="642" spans="1:15">
      <c r="A642" s="2">
        <f>'[01_Entry.xlsx]Book'!A642</f>
        <v/>
      </c>
      <c r="B642" s="2">
        <f>'[01_Entry.xlsx]Book'!B642</f>
        <v/>
      </c>
      <c r="C642" s="2">
        <f>'[01_Entry.xlsx]Book'!D642</f>
        <v/>
      </c>
      <c r="D642" s="2">
        <f>'[01_Entry.xlsx]Book'!E642</f>
        <v/>
      </c>
      <c r="E642" s="2">
        <f>'[01_Entry.xlsx]Book'!O642</f>
        <v/>
      </c>
      <c r="F642" s="2">
        <f>'[01_Entry.xlsx]Book'!N642</f>
        <v/>
      </c>
      <c r="G642" s="3">
        <f>'[01_Entry.xlsx]Book'!L642</f>
        <v/>
      </c>
      <c r="H642" s="3">
        <f>'[01_Entry.xlsx]Book'!M642</f>
        <v/>
      </c>
      <c r="I642" s="3">
        <f>'[01_Entry.xlsx]Book'!K642</f>
        <v/>
      </c>
      <c r="J642" s="3">
        <f>'[01_Entry.xlsx]Book'!P642</f>
        <v/>
      </c>
      <c r="K642" s="3">
        <f>'[01_Entry.xlsx]Book'!F642</f>
        <v/>
      </c>
      <c r="L642" s="3">
        <f>'[01_Entry.xlsx]Book'!G642</f>
        <v/>
      </c>
      <c r="M642" s="3">
        <f>'[01_Entry.xlsx]Book'!I642</f>
        <v/>
      </c>
      <c r="N642" s="2">
        <f>IF($A642="","",MID($A642,6,2))</f>
        <v>0</v>
      </c>
      <c r="O642" s="2">
        <f>IF(OR($C642="",$C642&lt;&gt;'Inv'!$D$12),"",N(O$641)+1)</f>
        <v>0</v>
      </c>
    </row>
    <row r="643" spans="1:15">
      <c r="A643" s="2">
        <f>'[01_Entry.xlsx]Book'!A643</f>
        <v/>
      </c>
      <c r="B643" s="2">
        <f>'[01_Entry.xlsx]Book'!B643</f>
        <v/>
      </c>
      <c r="C643" s="2">
        <f>'[01_Entry.xlsx]Book'!D643</f>
        <v/>
      </c>
      <c r="D643" s="2">
        <f>'[01_Entry.xlsx]Book'!E643</f>
        <v/>
      </c>
      <c r="E643" s="2">
        <f>'[01_Entry.xlsx]Book'!O643</f>
        <v/>
      </c>
      <c r="F643" s="2">
        <f>'[01_Entry.xlsx]Book'!N643</f>
        <v/>
      </c>
      <c r="G643" s="3">
        <f>'[01_Entry.xlsx]Book'!L643</f>
        <v/>
      </c>
      <c r="H643" s="3">
        <f>'[01_Entry.xlsx]Book'!M643</f>
        <v/>
      </c>
      <c r="I643" s="3">
        <f>'[01_Entry.xlsx]Book'!K643</f>
        <v/>
      </c>
      <c r="J643" s="3">
        <f>'[01_Entry.xlsx]Book'!P643</f>
        <v/>
      </c>
      <c r="K643" s="3">
        <f>'[01_Entry.xlsx]Book'!F643</f>
        <v/>
      </c>
      <c r="L643" s="3">
        <f>'[01_Entry.xlsx]Book'!G643</f>
        <v/>
      </c>
      <c r="M643" s="3">
        <f>'[01_Entry.xlsx]Book'!I643</f>
        <v/>
      </c>
      <c r="N643" s="2">
        <f>IF($A643="","",MID($A643,6,2))</f>
        <v>0</v>
      </c>
      <c r="O643" s="2">
        <f>IF(OR($C643="",$C643&lt;&gt;'Inv'!$D$12),"",N(O$642)+1)</f>
        <v>0</v>
      </c>
    </row>
    <row r="644" spans="1:15">
      <c r="A644" s="2">
        <f>'[01_Entry.xlsx]Book'!A644</f>
        <v/>
      </c>
      <c r="B644" s="2">
        <f>'[01_Entry.xlsx]Book'!B644</f>
        <v/>
      </c>
      <c r="C644" s="2">
        <f>'[01_Entry.xlsx]Book'!D644</f>
        <v/>
      </c>
      <c r="D644" s="2">
        <f>'[01_Entry.xlsx]Book'!E644</f>
        <v/>
      </c>
      <c r="E644" s="2">
        <f>'[01_Entry.xlsx]Book'!O644</f>
        <v/>
      </c>
      <c r="F644" s="2">
        <f>'[01_Entry.xlsx]Book'!N644</f>
        <v/>
      </c>
      <c r="G644" s="3">
        <f>'[01_Entry.xlsx]Book'!L644</f>
        <v/>
      </c>
      <c r="H644" s="3">
        <f>'[01_Entry.xlsx]Book'!M644</f>
        <v/>
      </c>
      <c r="I644" s="3">
        <f>'[01_Entry.xlsx]Book'!K644</f>
        <v/>
      </c>
      <c r="J644" s="3">
        <f>'[01_Entry.xlsx]Book'!P644</f>
        <v/>
      </c>
      <c r="K644" s="3">
        <f>'[01_Entry.xlsx]Book'!F644</f>
        <v/>
      </c>
      <c r="L644" s="3">
        <f>'[01_Entry.xlsx]Book'!G644</f>
        <v/>
      </c>
      <c r="M644" s="3">
        <f>'[01_Entry.xlsx]Book'!I644</f>
        <v/>
      </c>
      <c r="N644" s="2">
        <f>IF($A644="","",MID($A644,6,2))</f>
        <v>0</v>
      </c>
      <c r="O644" s="2">
        <f>IF(OR($C644="",$C644&lt;&gt;'Inv'!$D$12),"",N(O$643)+1)</f>
        <v>0</v>
      </c>
    </row>
    <row r="645" spans="1:15">
      <c r="A645" s="2">
        <f>'[01_Entry.xlsx]Book'!A645</f>
        <v/>
      </c>
      <c r="B645" s="2">
        <f>'[01_Entry.xlsx]Book'!B645</f>
        <v/>
      </c>
      <c r="C645" s="2">
        <f>'[01_Entry.xlsx]Book'!D645</f>
        <v/>
      </c>
      <c r="D645" s="2">
        <f>'[01_Entry.xlsx]Book'!E645</f>
        <v/>
      </c>
      <c r="E645" s="2">
        <f>'[01_Entry.xlsx]Book'!O645</f>
        <v/>
      </c>
      <c r="F645" s="2">
        <f>'[01_Entry.xlsx]Book'!N645</f>
        <v/>
      </c>
      <c r="G645" s="3">
        <f>'[01_Entry.xlsx]Book'!L645</f>
        <v/>
      </c>
      <c r="H645" s="3">
        <f>'[01_Entry.xlsx]Book'!M645</f>
        <v/>
      </c>
      <c r="I645" s="3">
        <f>'[01_Entry.xlsx]Book'!K645</f>
        <v/>
      </c>
      <c r="J645" s="3">
        <f>'[01_Entry.xlsx]Book'!P645</f>
        <v/>
      </c>
      <c r="K645" s="3">
        <f>'[01_Entry.xlsx]Book'!F645</f>
        <v/>
      </c>
      <c r="L645" s="3">
        <f>'[01_Entry.xlsx]Book'!G645</f>
        <v/>
      </c>
      <c r="M645" s="3">
        <f>'[01_Entry.xlsx]Book'!I645</f>
        <v/>
      </c>
      <c r="N645" s="2">
        <f>IF($A645="","",MID($A645,6,2))</f>
        <v>0</v>
      </c>
      <c r="O645" s="2">
        <f>IF(OR($C645="",$C645&lt;&gt;'Inv'!$D$12),"",N(O$644)+1)</f>
        <v>0</v>
      </c>
    </row>
    <row r="646" spans="1:15">
      <c r="A646" s="2">
        <f>'[01_Entry.xlsx]Book'!A646</f>
        <v/>
      </c>
      <c r="B646" s="2">
        <f>'[01_Entry.xlsx]Book'!B646</f>
        <v/>
      </c>
      <c r="C646" s="2">
        <f>'[01_Entry.xlsx]Book'!D646</f>
        <v/>
      </c>
      <c r="D646" s="2">
        <f>'[01_Entry.xlsx]Book'!E646</f>
        <v/>
      </c>
      <c r="E646" s="2">
        <f>'[01_Entry.xlsx]Book'!O646</f>
        <v/>
      </c>
      <c r="F646" s="2">
        <f>'[01_Entry.xlsx]Book'!N646</f>
        <v/>
      </c>
      <c r="G646" s="3">
        <f>'[01_Entry.xlsx]Book'!L646</f>
        <v/>
      </c>
      <c r="H646" s="3">
        <f>'[01_Entry.xlsx]Book'!M646</f>
        <v/>
      </c>
      <c r="I646" s="3">
        <f>'[01_Entry.xlsx]Book'!K646</f>
        <v/>
      </c>
      <c r="J646" s="3">
        <f>'[01_Entry.xlsx]Book'!P646</f>
        <v/>
      </c>
      <c r="K646" s="3">
        <f>'[01_Entry.xlsx]Book'!F646</f>
        <v/>
      </c>
      <c r="L646" s="3">
        <f>'[01_Entry.xlsx]Book'!G646</f>
        <v/>
      </c>
      <c r="M646" s="3">
        <f>'[01_Entry.xlsx]Book'!I646</f>
        <v/>
      </c>
      <c r="N646" s="2">
        <f>IF($A646="","",MID($A646,6,2))</f>
        <v>0</v>
      </c>
      <c r="O646" s="2">
        <f>IF(OR($C646="",$C646&lt;&gt;'Inv'!$D$12),"",N(O$645)+1)</f>
        <v>0</v>
      </c>
    </row>
    <row r="647" spans="1:15">
      <c r="A647" s="2">
        <f>'[01_Entry.xlsx]Book'!A647</f>
        <v/>
      </c>
      <c r="B647" s="2">
        <f>'[01_Entry.xlsx]Book'!B647</f>
        <v/>
      </c>
      <c r="C647" s="2">
        <f>'[01_Entry.xlsx]Book'!D647</f>
        <v/>
      </c>
      <c r="D647" s="2">
        <f>'[01_Entry.xlsx]Book'!E647</f>
        <v/>
      </c>
      <c r="E647" s="2">
        <f>'[01_Entry.xlsx]Book'!O647</f>
        <v/>
      </c>
      <c r="F647" s="2">
        <f>'[01_Entry.xlsx]Book'!N647</f>
        <v/>
      </c>
      <c r="G647" s="3">
        <f>'[01_Entry.xlsx]Book'!L647</f>
        <v/>
      </c>
      <c r="H647" s="3">
        <f>'[01_Entry.xlsx]Book'!M647</f>
        <v/>
      </c>
      <c r="I647" s="3">
        <f>'[01_Entry.xlsx]Book'!K647</f>
        <v/>
      </c>
      <c r="J647" s="3">
        <f>'[01_Entry.xlsx]Book'!P647</f>
        <v/>
      </c>
      <c r="K647" s="3">
        <f>'[01_Entry.xlsx]Book'!F647</f>
        <v/>
      </c>
      <c r="L647" s="3">
        <f>'[01_Entry.xlsx]Book'!G647</f>
        <v/>
      </c>
      <c r="M647" s="3">
        <f>'[01_Entry.xlsx]Book'!I647</f>
        <v/>
      </c>
      <c r="N647" s="2">
        <f>IF($A647="","",MID($A647,6,2))</f>
        <v>0</v>
      </c>
      <c r="O647" s="2">
        <f>IF(OR($C647="",$C647&lt;&gt;'Inv'!$D$12),"",N(O$646)+1)</f>
        <v>0</v>
      </c>
    </row>
    <row r="648" spans="1:15">
      <c r="A648" s="2">
        <f>'[01_Entry.xlsx]Book'!A648</f>
        <v/>
      </c>
      <c r="B648" s="2">
        <f>'[01_Entry.xlsx]Book'!B648</f>
        <v/>
      </c>
      <c r="C648" s="2">
        <f>'[01_Entry.xlsx]Book'!D648</f>
        <v/>
      </c>
      <c r="D648" s="2">
        <f>'[01_Entry.xlsx]Book'!E648</f>
        <v/>
      </c>
      <c r="E648" s="2">
        <f>'[01_Entry.xlsx]Book'!O648</f>
        <v/>
      </c>
      <c r="F648" s="2">
        <f>'[01_Entry.xlsx]Book'!N648</f>
        <v/>
      </c>
      <c r="G648" s="3">
        <f>'[01_Entry.xlsx]Book'!L648</f>
        <v/>
      </c>
      <c r="H648" s="3">
        <f>'[01_Entry.xlsx]Book'!M648</f>
        <v/>
      </c>
      <c r="I648" s="3">
        <f>'[01_Entry.xlsx]Book'!K648</f>
        <v/>
      </c>
      <c r="J648" s="3">
        <f>'[01_Entry.xlsx]Book'!P648</f>
        <v/>
      </c>
      <c r="K648" s="3">
        <f>'[01_Entry.xlsx]Book'!F648</f>
        <v/>
      </c>
      <c r="L648" s="3">
        <f>'[01_Entry.xlsx]Book'!G648</f>
        <v/>
      </c>
      <c r="M648" s="3">
        <f>'[01_Entry.xlsx]Book'!I648</f>
        <v/>
      </c>
      <c r="N648" s="2">
        <f>IF($A648="","",MID($A648,6,2))</f>
        <v>0</v>
      </c>
      <c r="O648" s="2">
        <f>IF(OR($C648="",$C648&lt;&gt;'Inv'!$D$12),"",N(O$647)+1)</f>
        <v>0</v>
      </c>
    </row>
    <row r="649" spans="1:15">
      <c r="A649" s="2">
        <f>'[01_Entry.xlsx]Book'!A649</f>
        <v/>
      </c>
      <c r="B649" s="2">
        <f>'[01_Entry.xlsx]Book'!B649</f>
        <v/>
      </c>
      <c r="C649" s="2">
        <f>'[01_Entry.xlsx]Book'!D649</f>
        <v/>
      </c>
      <c r="D649" s="2">
        <f>'[01_Entry.xlsx]Book'!E649</f>
        <v/>
      </c>
      <c r="E649" s="2">
        <f>'[01_Entry.xlsx]Book'!O649</f>
        <v/>
      </c>
      <c r="F649" s="2">
        <f>'[01_Entry.xlsx]Book'!N649</f>
        <v/>
      </c>
      <c r="G649" s="3">
        <f>'[01_Entry.xlsx]Book'!L649</f>
        <v/>
      </c>
      <c r="H649" s="3">
        <f>'[01_Entry.xlsx]Book'!M649</f>
        <v/>
      </c>
      <c r="I649" s="3">
        <f>'[01_Entry.xlsx]Book'!K649</f>
        <v/>
      </c>
      <c r="J649" s="3">
        <f>'[01_Entry.xlsx]Book'!P649</f>
        <v/>
      </c>
      <c r="K649" s="3">
        <f>'[01_Entry.xlsx]Book'!F649</f>
        <v/>
      </c>
      <c r="L649" s="3">
        <f>'[01_Entry.xlsx]Book'!G649</f>
        <v/>
      </c>
      <c r="M649" s="3">
        <f>'[01_Entry.xlsx]Book'!I649</f>
        <v/>
      </c>
      <c r="N649" s="2">
        <f>IF($A649="","",MID($A649,6,2))</f>
        <v>0</v>
      </c>
      <c r="O649" s="2">
        <f>IF(OR($C649="",$C649&lt;&gt;'Inv'!$D$12),"",N(O$648)+1)</f>
        <v>0</v>
      </c>
    </row>
    <row r="650" spans="1:15">
      <c r="A650" s="2">
        <f>'[01_Entry.xlsx]Book'!A650</f>
        <v/>
      </c>
      <c r="B650" s="2">
        <f>'[01_Entry.xlsx]Book'!B650</f>
        <v/>
      </c>
      <c r="C650" s="2">
        <f>'[01_Entry.xlsx]Book'!D650</f>
        <v/>
      </c>
      <c r="D650" s="2">
        <f>'[01_Entry.xlsx]Book'!E650</f>
        <v/>
      </c>
      <c r="E650" s="2">
        <f>'[01_Entry.xlsx]Book'!O650</f>
        <v/>
      </c>
      <c r="F650" s="2">
        <f>'[01_Entry.xlsx]Book'!N650</f>
        <v/>
      </c>
      <c r="G650" s="3">
        <f>'[01_Entry.xlsx]Book'!L650</f>
        <v/>
      </c>
      <c r="H650" s="3">
        <f>'[01_Entry.xlsx]Book'!M650</f>
        <v/>
      </c>
      <c r="I650" s="3">
        <f>'[01_Entry.xlsx]Book'!K650</f>
        <v/>
      </c>
      <c r="J650" s="3">
        <f>'[01_Entry.xlsx]Book'!P650</f>
        <v/>
      </c>
      <c r="K650" s="3">
        <f>'[01_Entry.xlsx]Book'!F650</f>
        <v/>
      </c>
      <c r="L650" s="3">
        <f>'[01_Entry.xlsx]Book'!G650</f>
        <v/>
      </c>
      <c r="M650" s="3">
        <f>'[01_Entry.xlsx]Book'!I650</f>
        <v/>
      </c>
      <c r="N650" s="2">
        <f>IF($A650="","",MID($A650,6,2))</f>
        <v>0</v>
      </c>
      <c r="O650" s="2">
        <f>IF(OR($C650="",$C650&lt;&gt;'Inv'!$D$12),"",N(O$649)+1)</f>
        <v>0</v>
      </c>
    </row>
    <row r="651" spans="1:15">
      <c r="A651" s="2">
        <f>'[01_Entry.xlsx]Book'!A651</f>
        <v/>
      </c>
      <c r="B651" s="2">
        <f>'[01_Entry.xlsx]Book'!B651</f>
        <v/>
      </c>
      <c r="C651" s="2">
        <f>'[01_Entry.xlsx]Book'!D651</f>
        <v/>
      </c>
      <c r="D651" s="2">
        <f>'[01_Entry.xlsx]Book'!E651</f>
        <v/>
      </c>
      <c r="E651" s="2">
        <f>'[01_Entry.xlsx]Book'!O651</f>
        <v/>
      </c>
      <c r="F651" s="2">
        <f>'[01_Entry.xlsx]Book'!N651</f>
        <v/>
      </c>
      <c r="G651" s="3">
        <f>'[01_Entry.xlsx]Book'!L651</f>
        <v/>
      </c>
      <c r="H651" s="3">
        <f>'[01_Entry.xlsx]Book'!M651</f>
        <v/>
      </c>
      <c r="I651" s="3">
        <f>'[01_Entry.xlsx]Book'!K651</f>
        <v/>
      </c>
      <c r="J651" s="3">
        <f>'[01_Entry.xlsx]Book'!P651</f>
        <v/>
      </c>
      <c r="K651" s="3">
        <f>'[01_Entry.xlsx]Book'!F651</f>
        <v/>
      </c>
      <c r="L651" s="3">
        <f>'[01_Entry.xlsx]Book'!G651</f>
        <v/>
      </c>
      <c r="M651" s="3">
        <f>'[01_Entry.xlsx]Book'!I651</f>
        <v/>
      </c>
      <c r="N651" s="2">
        <f>IF($A651="","",MID($A651,6,2))</f>
        <v>0</v>
      </c>
      <c r="O651" s="2">
        <f>IF(OR($C651="",$C651&lt;&gt;'Inv'!$D$12),"",N(O$650)+1)</f>
        <v>0</v>
      </c>
    </row>
    <row r="652" spans="1:15">
      <c r="A652" s="2">
        <f>'[01_Entry.xlsx]Book'!A652</f>
        <v/>
      </c>
      <c r="B652" s="2">
        <f>'[01_Entry.xlsx]Book'!B652</f>
        <v/>
      </c>
      <c r="C652" s="2">
        <f>'[01_Entry.xlsx]Book'!D652</f>
        <v/>
      </c>
      <c r="D652" s="2">
        <f>'[01_Entry.xlsx]Book'!E652</f>
        <v/>
      </c>
      <c r="E652" s="2">
        <f>'[01_Entry.xlsx]Book'!O652</f>
        <v/>
      </c>
      <c r="F652" s="2">
        <f>'[01_Entry.xlsx]Book'!N652</f>
        <v/>
      </c>
      <c r="G652" s="3">
        <f>'[01_Entry.xlsx]Book'!L652</f>
        <v/>
      </c>
      <c r="H652" s="3">
        <f>'[01_Entry.xlsx]Book'!M652</f>
        <v/>
      </c>
      <c r="I652" s="3">
        <f>'[01_Entry.xlsx]Book'!K652</f>
        <v/>
      </c>
      <c r="J652" s="3">
        <f>'[01_Entry.xlsx]Book'!P652</f>
        <v/>
      </c>
      <c r="K652" s="3">
        <f>'[01_Entry.xlsx]Book'!F652</f>
        <v/>
      </c>
      <c r="L652" s="3">
        <f>'[01_Entry.xlsx]Book'!G652</f>
        <v/>
      </c>
      <c r="M652" s="3">
        <f>'[01_Entry.xlsx]Book'!I652</f>
        <v/>
      </c>
      <c r="N652" s="2">
        <f>IF($A652="","",MID($A652,6,2))</f>
        <v>0</v>
      </c>
      <c r="O652" s="2">
        <f>IF(OR($C652="",$C652&lt;&gt;'Inv'!$D$12),"",N(O$651)+1)</f>
        <v>0</v>
      </c>
    </row>
    <row r="653" spans="1:15">
      <c r="A653" s="2">
        <f>'[01_Entry.xlsx]Book'!A653</f>
        <v/>
      </c>
      <c r="B653" s="2">
        <f>'[01_Entry.xlsx]Book'!B653</f>
        <v/>
      </c>
      <c r="C653" s="2">
        <f>'[01_Entry.xlsx]Book'!D653</f>
        <v/>
      </c>
      <c r="D653" s="2">
        <f>'[01_Entry.xlsx]Book'!E653</f>
        <v/>
      </c>
      <c r="E653" s="2">
        <f>'[01_Entry.xlsx]Book'!O653</f>
        <v/>
      </c>
      <c r="F653" s="2">
        <f>'[01_Entry.xlsx]Book'!N653</f>
        <v/>
      </c>
      <c r="G653" s="3">
        <f>'[01_Entry.xlsx]Book'!L653</f>
        <v/>
      </c>
      <c r="H653" s="3">
        <f>'[01_Entry.xlsx]Book'!M653</f>
        <v/>
      </c>
      <c r="I653" s="3">
        <f>'[01_Entry.xlsx]Book'!K653</f>
        <v/>
      </c>
      <c r="J653" s="3">
        <f>'[01_Entry.xlsx]Book'!P653</f>
        <v/>
      </c>
      <c r="K653" s="3">
        <f>'[01_Entry.xlsx]Book'!F653</f>
        <v/>
      </c>
      <c r="L653" s="3">
        <f>'[01_Entry.xlsx]Book'!G653</f>
        <v/>
      </c>
      <c r="M653" s="3">
        <f>'[01_Entry.xlsx]Book'!I653</f>
        <v/>
      </c>
      <c r="N653" s="2">
        <f>IF($A653="","",MID($A653,6,2))</f>
        <v>0</v>
      </c>
      <c r="O653" s="2">
        <f>IF(OR($C653="",$C653&lt;&gt;'Inv'!$D$12),"",N(O$652)+1)</f>
        <v>0</v>
      </c>
    </row>
    <row r="654" spans="1:15">
      <c r="A654" s="2">
        <f>'[01_Entry.xlsx]Book'!A654</f>
        <v/>
      </c>
      <c r="B654" s="2">
        <f>'[01_Entry.xlsx]Book'!B654</f>
        <v/>
      </c>
      <c r="C654" s="2">
        <f>'[01_Entry.xlsx]Book'!D654</f>
        <v/>
      </c>
      <c r="D654" s="2">
        <f>'[01_Entry.xlsx]Book'!E654</f>
        <v/>
      </c>
      <c r="E654" s="2">
        <f>'[01_Entry.xlsx]Book'!O654</f>
        <v/>
      </c>
      <c r="F654" s="2">
        <f>'[01_Entry.xlsx]Book'!N654</f>
        <v/>
      </c>
      <c r="G654" s="3">
        <f>'[01_Entry.xlsx]Book'!L654</f>
        <v/>
      </c>
      <c r="H654" s="3">
        <f>'[01_Entry.xlsx]Book'!M654</f>
        <v/>
      </c>
      <c r="I654" s="3">
        <f>'[01_Entry.xlsx]Book'!K654</f>
        <v/>
      </c>
      <c r="J654" s="3">
        <f>'[01_Entry.xlsx]Book'!P654</f>
        <v/>
      </c>
      <c r="K654" s="3">
        <f>'[01_Entry.xlsx]Book'!F654</f>
        <v/>
      </c>
      <c r="L654" s="3">
        <f>'[01_Entry.xlsx]Book'!G654</f>
        <v/>
      </c>
      <c r="M654" s="3">
        <f>'[01_Entry.xlsx]Book'!I654</f>
        <v/>
      </c>
      <c r="N654" s="2">
        <f>IF($A654="","",MID($A654,6,2))</f>
        <v>0</v>
      </c>
      <c r="O654" s="2">
        <f>IF(OR($C654="",$C654&lt;&gt;'Inv'!$D$12),"",N(O$653)+1)</f>
        <v>0</v>
      </c>
    </row>
    <row r="655" spans="1:15">
      <c r="A655" s="2">
        <f>'[01_Entry.xlsx]Book'!A655</f>
        <v/>
      </c>
      <c r="B655" s="2">
        <f>'[01_Entry.xlsx]Book'!B655</f>
        <v/>
      </c>
      <c r="C655" s="2">
        <f>'[01_Entry.xlsx]Book'!D655</f>
        <v/>
      </c>
      <c r="D655" s="2">
        <f>'[01_Entry.xlsx]Book'!E655</f>
        <v/>
      </c>
      <c r="E655" s="2">
        <f>'[01_Entry.xlsx]Book'!O655</f>
        <v/>
      </c>
      <c r="F655" s="2">
        <f>'[01_Entry.xlsx]Book'!N655</f>
        <v/>
      </c>
      <c r="G655" s="3">
        <f>'[01_Entry.xlsx]Book'!L655</f>
        <v/>
      </c>
      <c r="H655" s="3">
        <f>'[01_Entry.xlsx]Book'!M655</f>
        <v/>
      </c>
      <c r="I655" s="3">
        <f>'[01_Entry.xlsx]Book'!K655</f>
        <v/>
      </c>
      <c r="J655" s="3">
        <f>'[01_Entry.xlsx]Book'!P655</f>
        <v/>
      </c>
      <c r="K655" s="3">
        <f>'[01_Entry.xlsx]Book'!F655</f>
        <v/>
      </c>
      <c r="L655" s="3">
        <f>'[01_Entry.xlsx]Book'!G655</f>
        <v/>
      </c>
      <c r="M655" s="3">
        <f>'[01_Entry.xlsx]Book'!I655</f>
        <v/>
      </c>
      <c r="N655" s="2">
        <f>IF($A655="","",MID($A655,6,2))</f>
        <v>0</v>
      </c>
      <c r="O655" s="2">
        <f>IF(OR($C655="",$C655&lt;&gt;'Inv'!$D$12),"",N(O$654)+1)</f>
        <v>0</v>
      </c>
    </row>
    <row r="656" spans="1:15">
      <c r="A656" s="2">
        <f>'[01_Entry.xlsx]Book'!A656</f>
        <v/>
      </c>
      <c r="B656" s="2">
        <f>'[01_Entry.xlsx]Book'!B656</f>
        <v/>
      </c>
      <c r="C656" s="2">
        <f>'[01_Entry.xlsx]Book'!D656</f>
        <v/>
      </c>
      <c r="D656" s="2">
        <f>'[01_Entry.xlsx]Book'!E656</f>
        <v/>
      </c>
      <c r="E656" s="2">
        <f>'[01_Entry.xlsx]Book'!O656</f>
        <v/>
      </c>
      <c r="F656" s="2">
        <f>'[01_Entry.xlsx]Book'!N656</f>
        <v/>
      </c>
      <c r="G656" s="3">
        <f>'[01_Entry.xlsx]Book'!L656</f>
        <v/>
      </c>
      <c r="H656" s="3">
        <f>'[01_Entry.xlsx]Book'!M656</f>
        <v/>
      </c>
      <c r="I656" s="3">
        <f>'[01_Entry.xlsx]Book'!K656</f>
        <v/>
      </c>
      <c r="J656" s="3">
        <f>'[01_Entry.xlsx]Book'!P656</f>
        <v/>
      </c>
      <c r="K656" s="3">
        <f>'[01_Entry.xlsx]Book'!F656</f>
        <v/>
      </c>
      <c r="L656" s="3">
        <f>'[01_Entry.xlsx]Book'!G656</f>
        <v/>
      </c>
      <c r="M656" s="3">
        <f>'[01_Entry.xlsx]Book'!I656</f>
        <v/>
      </c>
      <c r="N656" s="2">
        <f>IF($A656="","",MID($A656,6,2))</f>
        <v>0</v>
      </c>
      <c r="O656" s="2">
        <f>IF(OR($C656="",$C656&lt;&gt;'Inv'!$D$12),"",N(O$655)+1)</f>
        <v>0</v>
      </c>
    </row>
    <row r="657" spans="1:15">
      <c r="A657" s="2">
        <f>'[01_Entry.xlsx]Book'!A657</f>
        <v/>
      </c>
      <c r="B657" s="2">
        <f>'[01_Entry.xlsx]Book'!B657</f>
        <v/>
      </c>
      <c r="C657" s="2">
        <f>'[01_Entry.xlsx]Book'!D657</f>
        <v/>
      </c>
      <c r="D657" s="2">
        <f>'[01_Entry.xlsx]Book'!E657</f>
        <v/>
      </c>
      <c r="E657" s="2">
        <f>'[01_Entry.xlsx]Book'!O657</f>
        <v/>
      </c>
      <c r="F657" s="2">
        <f>'[01_Entry.xlsx]Book'!N657</f>
        <v/>
      </c>
      <c r="G657" s="3">
        <f>'[01_Entry.xlsx]Book'!L657</f>
        <v/>
      </c>
      <c r="H657" s="3">
        <f>'[01_Entry.xlsx]Book'!M657</f>
        <v/>
      </c>
      <c r="I657" s="3">
        <f>'[01_Entry.xlsx]Book'!K657</f>
        <v/>
      </c>
      <c r="J657" s="3">
        <f>'[01_Entry.xlsx]Book'!P657</f>
        <v/>
      </c>
      <c r="K657" s="3">
        <f>'[01_Entry.xlsx]Book'!F657</f>
        <v/>
      </c>
      <c r="L657" s="3">
        <f>'[01_Entry.xlsx]Book'!G657</f>
        <v/>
      </c>
      <c r="M657" s="3">
        <f>'[01_Entry.xlsx]Book'!I657</f>
        <v/>
      </c>
      <c r="N657" s="2">
        <f>IF($A657="","",MID($A657,6,2))</f>
        <v>0</v>
      </c>
      <c r="O657" s="2">
        <f>IF(OR($C657="",$C657&lt;&gt;'Inv'!$D$12),"",N(O$656)+1)</f>
        <v>0</v>
      </c>
    </row>
    <row r="658" spans="1:15">
      <c r="A658" s="2">
        <f>'[01_Entry.xlsx]Book'!A658</f>
        <v/>
      </c>
      <c r="B658" s="2">
        <f>'[01_Entry.xlsx]Book'!B658</f>
        <v/>
      </c>
      <c r="C658" s="2">
        <f>'[01_Entry.xlsx]Book'!D658</f>
        <v/>
      </c>
      <c r="D658" s="2">
        <f>'[01_Entry.xlsx]Book'!E658</f>
        <v/>
      </c>
      <c r="E658" s="2">
        <f>'[01_Entry.xlsx]Book'!O658</f>
        <v/>
      </c>
      <c r="F658" s="2">
        <f>'[01_Entry.xlsx]Book'!N658</f>
        <v/>
      </c>
      <c r="G658" s="3">
        <f>'[01_Entry.xlsx]Book'!L658</f>
        <v/>
      </c>
      <c r="H658" s="3">
        <f>'[01_Entry.xlsx]Book'!M658</f>
        <v/>
      </c>
      <c r="I658" s="3">
        <f>'[01_Entry.xlsx]Book'!K658</f>
        <v/>
      </c>
      <c r="J658" s="3">
        <f>'[01_Entry.xlsx]Book'!P658</f>
        <v/>
      </c>
      <c r="K658" s="3">
        <f>'[01_Entry.xlsx]Book'!F658</f>
        <v/>
      </c>
      <c r="L658" s="3">
        <f>'[01_Entry.xlsx]Book'!G658</f>
        <v/>
      </c>
      <c r="M658" s="3">
        <f>'[01_Entry.xlsx]Book'!I658</f>
        <v/>
      </c>
      <c r="N658" s="2">
        <f>IF($A658="","",MID($A658,6,2))</f>
        <v>0</v>
      </c>
      <c r="O658" s="2">
        <f>IF(OR($C658="",$C658&lt;&gt;'Inv'!$D$12),"",N(O$657)+1)</f>
        <v>0</v>
      </c>
    </row>
    <row r="659" spans="1:15">
      <c r="A659" s="2">
        <f>'[01_Entry.xlsx]Book'!A659</f>
        <v/>
      </c>
      <c r="B659" s="2">
        <f>'[01_Entry.xlsx]Book'!B659</f>
        <v/>
      </c>
      <c r="C659" s="2">
        <f>'[01_Entry.xlsx]Book'!D659</f>
        <v/>
      </c>
      <c r="D659" s="2">
        <f>'[01_Entry.xlsx]Book'!E659</f>
        <v/>
      </c>
      <c r="E659" s="2">
        <f>'[01_Entry.xlsx]Book'!O659</f>
        <v/>
      </c>
      <c r="F659" s="2">
        <f>'[01_Entry.xlsx]Book'!N659</f>
        <v/>
      </c>
      <c r="G659" s="3">
        <f>'[01_Entry.xlsx]Book'!L659</f>
        <v/>
      </c>
      <c r="H659" s="3">
        <f>'[01_Entry.xlsx]Book'!M659</f>
        <v/>
      </c>
      <c r="I659" s="3">
        <f>'[01_Entry.xlsx]Book'!K659</f>
        <v/>
      </c>
      <c r="J659" s="3">
        <f>'[01_Entry.xlsx]Book'!P659</f>
        <v/>
      </c>
      <c r="K659" s="3">
        <f>'[01_Entry.xlsx]Book'!F659</f>
        <v/>
      </c>
      <c r="L659" s="3">
        <f>'[01_Entry.xlsx]Book'!G659</f>
        <v/>
      </c>
      <c r="M659" s="3">
        <f>'[01_Entry.xlsx]Book'!I659</f>
        <v/>
      </c>
      <c r="N659" s="2">
        <f>IF($A659="","",MID($A659,6,2))</f>
        <v>0</v>
      </c>
      <c r="O659" s="2">
        <f>IF(OR($C659="",$C659&lt;&gt;'Inv'!$D$12),"",N(O$658)+1)</f>
        <v>0</v>
      </c>
    </row>
    <row r="660" spans="1:15">
      <c r="A660" s="2">
        <f>'[01_Entry.xlsx]Book'!A660</f>
        <v/>
      </c>
      <c r="B660" s="2">
        <f>'[01_Entry.xlsx]Book'!B660</f>
        <v/>
      </c>
      <c r="C660" s="2">
        <f>'[01_Entry.xlsx]Book'!D660</f>
        <v/>
      </c>
      <c r="D660" s="2">
        <f>'[01_Entry.xlsx]Book'!E660</f>
        <v/>
      </c>
      <c r="E660" s="2">
        <f>'[01_Entry.xlsx]Book'!O660</f>
        <v/>
      </c>
      <c r="F660" s="2">
        <f>'[01_Entry.xlsx]Book'!N660</f>
        <v/>
      </c>
      <c r="G660" s="3">
        <f>'[01_Entry.xlsx]Book'!L660</f>
        <v/>
      </c>
      <c r="H660" s="3">
        <f>'[01_Entry.xlsx]Book'!M660</f>
        <v/>
      </c>
      <c r="I660" s="3">
        <f>'[01_Entry.xlsx]Book'!K660</f>
        <v/>
      </c>
      <c r="J660" s="3">
        <f>'[01_Entry.xlsx]Book'!P660</f>
        <v/>
      </c>
      <c r="K660" s="3">
        <f>'[01_Entry.xlsx]Book'!F660</f>
        <v/>
      </c>
      <c r="L660" s="3">
        <f>'[01_Entry.xlsx]Book'!G660</f>
        <v/>
      </c>
      <c r="M660" s="3">
        <f>'[01_Entry.xlsx]Book'!I660</f>
        <v/>
      </c>
      <c r="N660" s="2">
        <f>IF($A660="","",MID($A660,6,2))</f>
        <v>0</v>
      </c>
      <c r="O660" s="2">
        <f>IF(OR($C660="",$C660&lt;&gt;'Inv'!$D$12),"",N(O$659)+1)</f>
        <v>0</v>
      </c>
    </row>
    <row r="661" spans="1:15">
      <c r="A661" s="2">
        <f>'[01_Entry.xlsx]Book'!A661</f>
        <v/>
      </c>
      <c r="B661" s="2">
        <f>'[01_Entry.xlsx]Book'!B661</f>
        <v/>
      </c>
      <c r="C661" s="2">
        <f>'[01_Entry.xlsx]Book'!D661</f>
        <v/>
      </c>
      <c r="D661" s="2">
        <f>'[01_Entry.xlsx]Book'!E661</f>
        <v/>
      </c>
      <c r="E661" s="2">
        <f>'[01_Entry.xlsx]Book'!O661</f>
        <v/>
      </c>
      <c r="F661" s="2">
        <f>'[01_Entry.xlsx]Book'!N661</f>
        <v/>
      </c>
      <c r="G661" s="3">
        <f>'[01_Entry.xlsx]Book'!L661</f>
        <v/>
      </c>
      <c r="H661" s="3">
        <f>'[01_Entry.xlsx]Book'!M661</f>
        <v/>
      </c>
      <c r="I661" s="3">
        <f>'[01_Entry.xlsx]Book'!K661</f>
        <v/>
      </c>
      <c r="J661" s="3">
        <f>'[01_Entry.xlsx]Book'!P661</f>
        <v/>
      </c>
      <c r="K661" s="3">
        <f>'[01_Entry.xlsx]Book'!F661</f>
        <v/>
      </c>
      <c r="L661" s="3">
        <f>'[01_Entry.xlsx]Book'!G661</f>
        <v/>
      </c>
      <c r="M661" s="3">
        <f>'[01_Entry.xlsx]Book'!I661</f>
        <v/>
      </c>
      <c r="N661" s="2">
        <f>IF($A661="","",MID($A661,6,2))</f>
        <v>0</v>
      </c>
      <c r="O661" s="2">
        <f>IF(OR($C661="",$C661&lt;&gt;'Inv'!$D$12),"",N(O$660)+1)</f>
        <v>0</v>
      </c>
    </row>
    <row r="662" spans="1:15">
      <c r="A662" s="2">
        <f>'[01_Entry.xlsx]Book'!A662</f>
        <v/>
      </c>
      <c r="B662" s="2">
        <f>'[01_Entry.xlsx]Book'!B662</f>
        <v/>
      </c>
      <c r="C662" s="2">
        <f>'[01_Entry.xlsx]Book'!D662</f>
        <v/>
      </c>
      <c r="D662" s="2">
        <f>'[01_Entry.xlsx]Book'!E662</f>
        <v/>
      </c>
      <c r="E662" s="2">
        <f>'[01_Entry.xlsx]Book'!O662</f>
        <v/>
      </c>
      <c r="F662" s="2">
        <f>'[01_Entry.xlsx]Book'!N662</f>
        <v/>
      </c>
      <c r="G662" s="3">
        <f>'[01_Entry.xlsx]Book'!L662</f>
        <v/>
      </c>
      <c r="H662" s="3">
        <f>'[01_Entry.xlsx]Book'!M662</f>
        <v/>
      </c>
      <c r="I662" s="3">
        <f>'[01_Entry.xlsx]Book'!K662</f>
        <v/>
      </c>
      <c r="J662" s="3">
        <f>'[01_Entry.xlsx]Book'!P662</f>
        <v/>
      </c>
      <c r="K662" s="3">
        <f>'[01_Entry.xlsx]Book'!F662</f>
        <v/>
      </c>
      <c r="L662" s="3">
        <f>'[01_Entry.xlsx]Book'!G662</f>
        <v/>
      </c>
      <c r="M662" s="3">
        <f>'[01_Entry.xlsx]Book'!I662</f>
        <v/>
      </c>
      <c r="N662" s="2">
        <f>IF($A662="","",MID($A662,6,2))</f>
        <v>0</v>
      </c>
      <c r="O662" s="2">
        <f>IF(OR($C662="",$C662&lt;&gt;'Inv'!$D$12),"",N(O$661)+1)</f>
        <v>0</v>
      </c>
    </row>
    <row r="663" spans="1:15">
      <c r="A663" s="2">
        <f>'[01_Entry.xlsx]Book'!A663</f>
        <v/>
      </c>
      <c r="B663" s="2">
        <f>'[01_Entry.xlsx]Book'!B663</f>
        <v/>
      </c>
      <c r="C663" s="2">
        <f>'[01_Entry.xlsx]Book'!D663</f>
        <v/>
      </c>
      <c r="D663" s="2">
        <f>'[01_Entry.xlsx]Book'!E663</f>
        <v/>
      </c>
      <c r="E663" s="2">
        <f>'[01_Entry.xlsx]Book'!O663</f>
        <v/>
      </c>
      <c r="F663" s="2">
        <f>'[01_Entry.xlsx]Book'!N663</f>
        <v/>
      </c>
      <c r="G663" s="3">
        <f>'[01_Entry.xlsx]Book'!L663</f>
        <v/>
      </c>
      <c r="H663" s="3">
        <f>'[01_Entry.xlsx]Book'!M663</f>
        <v/>
      </c>
      <c r="I663" s="3">
        <f>'[01_Entry.xlsx]Book'!K663</f>
        <v/>
      </c>
      <c r="J663" s="3">
        <f>'[01_Entry.xlsx]Book'!P663</f>
        <v/>
      </c>
      <c r="K663" s="3">
        <f>'[01_Entry.xlsx]Book'!F663</f>
        <v/>
      </c>
      <c r="L663" s="3">
        <f>'[01_Entry.xlsx]Book'!G663</f>
        <v/>
      </c>
      <c r="M663" s="3">
        <f>'[01_Entry.xlsx]Book'!I663</f>
        <v/>
      </c>
      <c r="N663" s="2">
        <f>IF($A663="","",MID($A663,6,2))</f>
        <v>0</v>
      </c>
      <c r="O663" s="2">
        <f>IF(OR($C663="",$C663&lt;&gt;'Inv'!$D$12),"",N(O$662)+1)</f>
        <v>0</v>
      </c>
    </row>
    <row r="664" spans="1:15">
      <c r="A664" s="2">
        <f>'[01_Entry.xlsx]Book'!A664</f>
        <v/>
      </c>
      <c r="B664" s="2">
        <f>'[01_Entry.xlsx]Book'!B664</f>
        <v/>
      </c>
      <c r="C664" s="2">
        <f>'[01_Entry.xlsx]Book'!D664</f>
        <v/>
      </c>
      <c r="D664" s="2">
        <f>'[01_Entry.xlsx]Book'!E664</f>
        <v/>
      </c>
      <c r="E664" s="2">
        <f>'[01_Entry.xlsx]Book'!O664</f>
        <v/>
      </c>
      <c r="F664" s="2">
        <f>'[01_Entry.xlsx]Book'!N664</f>
        <v/>
      </c>
      <c r="G664" s="3">
        <f>'[01_Entry.xlsx]Book'!L664</f>
        <v/>
      </c>
      <c r="H664" s="3">
        <f>'[01_Entry.xlsx]Book'!M664</f>
        <v/>
      </c>
      <c r="I664" s="3">
        <f>'[01_Entry.xlsx]Book'!K664</f>
        <v/>
      </c>
      <c r="J664" s="3">
        <f>'[01_Entry.xlsx]Book'!P664</f>
        <v/>
      </c>
      <c r="K664" s="3">
        <f>'[01_Entry.xlsx]Book'!F664</f>
        <v/>
      </c>
      <c r="L664" s="3">
        <f>'[01_Entry.xlsx]Book'!G664</f>
        <v/>
      </c>
      <c r="M664" s="3">
        <f>'[01_Entry.xlsx]Book'!I664</f>
        <v/>
      </c>
      <c r="N664" s="2">
        <f>IF($A664="","",MID($A664,6,2))</f>
        <v>0</v>
      </c>
      <c r="O664" s="2">
        <f>IF(OR($C664="",$C664&lt;&gt;'Inv'!$D$12),"",N(O$663)+1)</f>
        <v>0</v>
      </c>
    </row>
    <row r="665" spans="1:15">
      <c r="A665" s="2">
        <f>'[01_Entry.xlsx]Book'!A665</f>
        <v/>
      </c>
      <c r="B665" s="2">
        <f>'[01_Entry.xlsx]Book'!B665</f>
        <v/>
      </c>
      <c r="C665" s="2">
        <f>'[01_Entry.xlsx]Book'!D665</f>
        <v/>
      </c>
      <c r="D665" s="2">
        <f>'[01_Entry.xlsx]Book'!E665</f>
        <v/>
      </c>
      <c r="E665" s="2">
        <f>'[01_Entry.xlsx]Book'!O665</f>
        <v/>
      </c>
      <c r="F665" s="2">
        <f>'[01_Entry.xlsx]Book'!N665</f>
        <v/>
      </c>
      <c r="G665" s="3">
        <f>'[01_Entry.xlsx]Book'!L665</f>
        <v/>
      </c>
      <c r="H665" s="3">
        <f>'[01_Entry.xlsx]Book'!M665</f>
        <v/>
      </c>
      <c r="I665" s="3">
        <f>'[01_Entry.xlsx]Book'!K665</f>
        <v/>
      </c>
      <c r="J665" s="3">
        <f>'[01_Entry.xlsx]Book'!P665</f>
        <v/>
      </c>
      <c r="K665" s="3">
        <f>'[01_Entry.xlsx]Book'!F665</f>
        <v/>
      </c>
      <c r="L665" s="3">
        <f>'[01_Entry.xlsx]Book'!G665</f>
        <v/>
      </c>
      <c r="M665" s="3">
        <f>'[01_Entry.xlsx]Book'!I665</f>
        <v/>
      </c>
      <c r="N665" s="2">
        <f>IF($A665="","",MID($A665,6,2))</f>
        <v>0</v>
      </c>
      <c r="O665" s="2">
        <f>IF(OR($C665="",$C665&lt;&gt;'Inv'!$D$12),"",N(O$664)+1)</f>
        <v>0</v>
      </c>
    </row>
    <row r="666" spans="1:15">
      <c r="A666" s="2">
        <f>'[01_Entry.xlsx]Book'!A666</f>
        <v/>
      </c>
      <c r="B666" s="2">
        <f>'[01_Entry.xlsx]Book'!B666</f>
        <v/>
      </c>
      <c r="C666" s="2">
        <f>'[01_Entry.xlsx]Book'!D666</f>
        <v/>
      </c>
      <c r="D666" s="2">
        <f>'[01_Entry.xlsx]Book'!E666</f>
        <v/>
      </c>
      <c r="E666" s="2">
        <f>'[01_Entry.xlsx]Book'!O666</f>
        <v/>
      </c>
      <c r="F666" s="2">
        <f>'[01_Entry.xlsx]Book'!N666</f>
        <v/>
      </c>
      <c r="G666" s="3">
        <f>'[01_Entry.xlsx]Book'!L666</f>
        <v/>
      </c>
      <c r="H666" s="3">
        <f>'[01_Entry.xlsx]Book'!M666</f>
        <v/>
      </c>
      <c r="I666" s="3">
        <f>'[01_Entry.xlsx]Book'!K666</f>
        <v/>
      </c>
      <c r="J666" s="3">
        <f>'[01_Entry.xlsx]Book'!P666</f>
        <v/>
      </c>
      <c r="K666" s="3">
        <f>'[01_Entry.xlsx]Book'!F666</f>
        <v/>
      </c>
      <c r="L666" s="3">
        <f>'[01_Entry.xlsx]Book'!G666</f>
        <v/>
      </c>
      <c r="M666" s="3">
        <f>'[01_Entry.xlsx]Book'!I666</f>
        <v/>
      </c>
      <c r="N666" s="2">
        <f>IF($A666="","",MID($A666,6,2))</f>
        <v>0</v>
      </c>
      <c r="O666" s="2">
        <f>IF(OR($C666="",$C666&lt;&gt;'Inv'!$D$12),"",N(O$665)+1)</f>
        <v>0</v>
      </c>
    </row>
    <row r="667" spans="1:15">
      <c r="A667" s="2">
        <f>'[01_Entry.xlsx]Book'!A667</f>
        <v/>
      </c>
      <c r="B667" s="2">
        <f>'[01_Entry.xlsx]Book'!B667</f>
        <v/>
      </c>
      <c r="C667" s="2">
        <f>'[01_Entry.xlsx]Book'!D667</f>
        <v/>
      </c>
      <c r="D667" s="2">
        <f>'[01_Entry.xlsx]Book'!E667</f>
        <v/>
      </c>
      <c r="E667" s="2">
        <f>'[01_Entry.xlsx]Book'!O667</f>
        <v/>
      </c>
      <c r="F667" s="2">
        <f>'[01_Entry.xlsx]Book'!N667</f>
        <v/>
      </c>
      <c r="G667" s="3">
        <f>'[01_Entry.xlsx]Book'!L667</f>
        <v/>
      </c>
      <c r="H667" s="3">
        <f>'[01_Entry.xlsx]Book'!M667</f>
        <v/>
      </c>
      <c r="I667" s="3">
        <f>'[01_Entry.xlsx]Book'!K667</f>
        <v/>
      </c>
      <c r="J667" s="3">
        <f>'[01_Entry.xlsx]Book'!P667</f>
        <v/>
      </c>
      <c r="K667" s="3">
        <f>'[01_Entry.xlsx]Book'!F667</f>
        <v/>
      </c>
      <c r="L667" s="3">
        <f>'[01_Entry.xlsx]Book'!G667</f>
        <v/>
      </c>
      <c r="M667" s="3">
        <f>'[01_Entry.xlsx]Book'!I667</f>
        <v/>
      </c>
      <c r="N667" s="2">
        <f>IF($A667="","",MID($A667,6,2))</f>
        <v>0</v>
      </c>
      <c r="O667" s="2">
        <f>IF(OR($C667="",$C667&lt;&gt;'Inv'!$D$12),"",N(O$666)+1)</f>
        <v>0</v>
      </c>
    </row>
    <row r="668" spans="1:15">
      <c r="A668" s="2">
        <f>'[01_Entry.xlsx]Book'!A668</f>
        <v/>
      </c>
      <c r="B668" s="2">
        <f>'[01_Entry.xlsx]Book'!B668</f>
        <v/>
      </c>
      <c r="C668" s="2">
        <f>'[01_Entry.xlsx]Book'!D668</f>
        <v/>
      </c>
      <c r="D668" s="2">
        <f>'[01_Entry.xlsx]Book'!E668</f>
        <v/>
      </c>
      <c r="E668" s="2">
        <f>'[01_Entry.xlsx]Book'!O668</f>
        <v/>
      </c>
      <c r="F668" s="2">
        <f>'[01_Entry.xlsx]Book'!N668</f>
        <v/>
      </c>
      <c r="G668" s="3">
        <f>'[01_Entry.xlsx]Book'!L668</f>
        <v/>
      </c>
      <c r="H668" s="3">
        <f>'[01_Entry.xlsx]Book'!M668</f>
        <v/>
      </c>
      <c r="I668" s="3">
        <f>'[01_Entry.xlsx]Book'!K668</f>
        <v/>
      </c>
      <c r="J668" s="3">
        <f>'[01_Entry.xlsx]Book'!P668</f>
        <v/>
      </c>
      <c r="K668" s="3">
        <f>'[01_Entry.xlsx]Book'!F668</f>
        <v/>
      </c>
      <c r="L668" s="3">
        <f>'[01_Entry.xlsx]Book'!G668</f>
        <v/>
      </c>
      <c r="M668" s="3">
        <f>'[01_Entry.xlsx]Book'!I668</f>
        <v/>
      </c>
      <c r="N668" s="2">
        <f>IF($A668="","",MID($A668,6,2))</f>
        <v>0</v>
      </c>
      <c r="O668" s="2">
        <f>IF(OR($C668="",$C668&lt;&gt;'Inv'!$D$12),"",N(O$667)+1)</f>
        <v>0</v>
      </c>
    </row>
    <row r="669" spans="1:15">
      <c r="A669" s="2">
        <f>'[01_Entry.xlsx]Book'!A669</f>
        <v/>
      </c>
      <c r="B669" s="2">
        <f>'[01_Entry.xlsx]Book'!B669</f>
        <v/>
      </c>
      <c r="C669" s="2">
        <f>'[01_Entry.xlsx]Book'!D669</f>
        <v/>
      </c>
      <c r="D669" s="2">
        <f>'[01_Entry.xlsx]Book'!E669</f>
        <v/>
      </c>
      <c r="E669" s="2">
        <f>'[01_Entry.xlsx]Book'!O669</f>
        <v/>
      </c>
      <c r="F669" s="2">
        <f>'[01_Entry.xlsx]Book'!N669</f>
        <v/>
      </c>
      <c r="G669" s="3">
        <f>'[01_Entry.xlsx]Book'!L669</f>
        <v/>
      </c>
      <c r="H669" s="3">
        <f>'[01_Entry.xlsx]Book'!M669</f>
        <v/>
      </c>
      <c r="I669" s="3">
        <f>'[01_Entry.xlsx]Book'!K669</f>
        <v/>
      </c>
      <c r="J669" s="3">
        <f>'[01_Entry.xlsx]Book'!P669</f>
        <v/>
      </c>
      <c r="K669" s="3">
        <f>'[01_Entry.xlsx]Book'!F669</f>
        <v/>
      </c>
      <c r="L669" s="3">
        <f>'[01_Entry.xlsx]Book'!G669</f>
        <v/>
      </c>
      <c r="M669" s="3">
        <f>'[01_Entry.xlsx]Book'!I669</f>
        <v/>
      </c>
      <c r="N669" s="2">
        <f>IF($A669="","",MID($A669,6,2))</f>
        <v>0</v>
      </c>
      <c r="O669" s="2">
        <f>IF(OR($C669="",$C669&lt;&gt;'Inv'!$D$12),"",N(O$668)+1)</f>
        <v>0</v>
      </c>
    </row>
    <row r="670" spans="1:15">
      <c r="A670" s="2">
        <f>'[01_Entry.xlsx]Book'!A670</f>
        <v/>
      </c>
      <c r="B670" s="2">
        <f>'[01_Entry.xlsx]Book'!B670</f>
        <v/>
      </c>
      <c r="C670" s="2">
        <f>'[01_Entry.xlsx]Book'!D670</f>
        <v/>
      </c>
      <c r="D670" s="2">
        <f>'[01_Entry.xlsx]Book'!E670</f>
        <v/>
      </c>
      <c r="E670" s="2">
        <f>'[01_Entry.xlsx]Book'!O670</f>
        <v/>
      </c>
      <c r="F670" s="2">
        <f>'[01_Entry.xlsx]Book'!N670</f>
        <v/>
      </c>
      <c r="G670" s="3">
        <f>'[01_Entry.xlsx]Book'!L670</f>
        <v/>
      </c>
      <c r="H670" s="3">
        <f>'[01_Entry.xlsx]Book'!M670</f>
        <v/>
      </c>
      <c r="I670" s="3">
        <f>'[01_Entry.xlsx]Book'!K670</f>
        <v/>
      </c>
      <c r="J670" s="3">
        <f>'[01_Entry.xlsx]Book'!P670</f>
        <v/>
      </c>
      <c r="K670" s="3">
        <f>'[01_Entry.xlsx]Book'!F670</f>
        <v/>
      </c>
      <c r="L670" s="3">
        <f>'[01_Entry.xlsx]Book'!G670</f>
        <v/>
      </c>
      <c r="M670" s="3">
        <f>'[01_Entry.xlsx]Book'!I670</f>
        <v/>
      </c>
      <c r="N670" s="2">
        <f>IF($A670="","",MID($A670,6,2))</f>
        <v>0</v>
      </c>
      <c r="O670" s="2">
        <f>IF(OR($C670="",$C670&lt;&gt;'Inv'!$D$12),"",N(O$669)+1)</f>
        <v>0</v>
      </c>
    </row>
    <row r="671" spans="1:15">
      <c r="A671" s="2">
        <f>'[01_Entry.xlsx]Book'!A671</f>
        <v/>
      </c>
      <c r="B671" s="2">
        <f>'[01_Entry.xlsx]Book'!B671</f>
        <v/>
      </c>
      <c r="C671" s="2">
        <f>'[01_Entry.xlsx]Book'!D671</f>
        <v/>
      </c>
      <c r="D671" s="2">
        <f>'[01_Entry.xlsx]Book'!E671</f>
        <v/>
      </c>
      <c r="E671" s="2">
        <f>'[01_Entry.xlsx]Book'!O671</f>
        <v/>
      </c>
      <c r="F671" s="2">
        <f>'[01_Entry.xlsx]Book'!N671</f>
        <v/>
      </c>
      <c r="G671" s="3">
        <f>'[01_Entry.xlsx]Book'!L671</f>
        <v/>
      </c>
      <c r="H671" s="3">
        <f>'[01_Entry.xlsx]Book'!M671</f>
        <v/>
      </c>
      <c r="I671" s="3">
        <f>'[01_Entry.xlsx]Book'!K671</f>
        <v/>
      </c>
      <c r="J671" s="3">
        <f>'[01_Entry.xlsx]Book'!P671</f>
        <v/>
      </c>
      <c r="K671" s="3">
        <f>'[01_Entry.xlsx]Book'!F671</f>
        <v/>
      </c>
      <c r="L671" s="3">
        <f>'[01_Entry.xlsx]Book'!G671</f>
        <v/>
      </c>
      <c r="M671" s="3">
        <f>'[01_Entry.xlsx]Book'!I671</f>
        <v/>
      </c>
      <c r="N671" s="2">
        <f>IF($A671="","",MID($A671,6,2))</f>
        <v>0</v>
      </c>
      <c r="O671" s="2">
        <f>IF(OR($C671="",$C671&lt;&gt;'Inv'!$D$12),"",N(O$670)+1)</f>
        <v>0</v>
      </c>
    </row>
    <row r="672" spans="1:15">
      <c r="A672" s="2">
        <f>'[01_Entry.xlsx]Book'!A672</f>
        <v/>
      </c>
      <c r="B672" s="2">
        <f>'[01_Entry.xlsx]Book'!B672</f>
        <v/>
      </c>
      <c r="C672" s="2">
        <f>'[01_Entry.xlsx]Book'!D672</f>
        <v/>
      </c>
      <c r="D672" s="2">
        <f>'[01_Entry.xlsx]Book'!E672</f>
        <v/>
      </c>
      <c r="E672" s="2">
        <f>'[01_Entry.xlsx]Book'!O672</f>
        <v/>
      </c>
      <c r="F672" s="2">
        <f>'[01_Entry.xlsx]Book'!N672</f>
        <v/>
      </c>
      <c r="G672" s="3">
        <f>'[01_Entry.xlsx]Book'!L672</f>
        <v/>
      </c>
      <c r="H672" s="3">
        <f>'[01_Entry.xlsx]Book'!M672</f>
        <v/>
      </c>
      <c r="I672" s="3">
        <f>'[01_Entry.xlsx]Book'!K672</f>
        <v/>
      </c>
      <c r="J672" s="3">
        <f>'[01_Entry.xlsx]Book'!P672</f>
        <v/>
      </c>
      <c r="K672" s="3">
        <f>'[01_Entry.xlsx]Book'!F672</f>
        <v/>
      </c>
      <c r="L672" s="3">
        <f>'[01_Entry.xlsx]Book'!G672</f>
        <v/>
      </c>
      <c r="M672" s="3">
        <f>'[01_Entry.xlsx]Book'!I672</f>
        <v/>
      </c>
      <c r="N672" s="2">
        <f>IF($A672="","",MID($A672,6,2))</f>
        <v>0</v>
      </c>
      <c r="O672" s="2">
        <f>IF(OR($C672="",$C672&lt;&gt;'Inv'!$D$12),"",N(O$671)+1)</f>
        <v>0</v>
      </c>
    </row>
    <row r="673" spans="1:15">
      <c r="A673" s="2">
        <f>'[01_Entry.xlsx]Book'!A673</f>
        <v/>
      </c>
      <c r="B673" s="2">
        <f>'[01_Entry.xlsx]Book'!B673</f>
        <v/>
      </c>
      <c r="C673" s="2">
        <f>'[01_Entry.xlsx]Book'!D673</f>
        <v/>
      </c>
      <c r="D673" s="2">
        <f>'[01_Entry.xlsx]Book'!E673</f>
        <v/>
      </c>
      <c r="E673" s="2">
        <f>'[01_Entry.xlsx]Book'!O673</f>
        <v/>
      </c>
      <c r="F673" s="2">
        <f>'[01_Entry.xlsx]Book'!N673</f>
        <v/>
      </c>
      <c r="G673" s="3">
        <f>'[01_Entry.xlsx]Book'!L673</f>
        <v/>
      </c>
      <c r="H673" s="3">
        <f>'[01_Entry.xlsx]Book'!M673</f>
        <v/>
      </c>
      <c r="I673" s="3">
        <f>'[01_Entry.xlsx]Book'!K673</f>
        <v/>
      </c>
      <c r="J673" s="3">
        <f>'[01_Entry.xlsx]Book'!P673</f>
        <v/>
      </c>
      <c r="K673" s="3">
        <f>'[01_Entry.xlsx]Book'!F673</f>
        <v/>
      </c>
      <c r="L673" s="3">
        <f>'[01_Entry.xlsx]Book'!G673</f>
        <v/>
      </c>
      <c r="M673" s="3">
        <f>'[01_Entry.xlsx]Book'!I673</f>
        <v/>
      </c>
      <c r="N673" s="2">
        <f>IF($A673="","",MID($A673,6,2))</f>
        <v>0</v>
      </c>
      <c r="O673" s="2">
        <f>IF(OR($C673="",$C673&lt;&gt;'Inv'!$D$12),"",N(O$672)+1)</f>
        <v>0</v>
      </c>
    </row>
    <row r="674" spans="1:15">
      <c r="A674" s="2">
        <f>'[01_Entry.xlsx]Book'!A674</f>
        <v/>
      </c>
      <c r="B674" s="2">
        <f>'[01_Entry.xlsx]Book'!B674</f>
        <v/>
      </c>
      <c r="C674" s="2">
        <f>'[01_Entry.xlsx]Book'!D674</f>
        <v/>
      </c>
      <c r="D674" s="2">
        <f>'[01_Entry.xlsx]Book'!E674</f>
        <v/>
      </c>
      <c r="E674" s="2">
        <f>'[01_Entry.xlsx]Book'!O674</f>
        <v/>
      </c>
      <c r="F674" s="2">
        <f>'[01_Entry.xlsx]Book'!N674</f>
        <v/>
      </c>
      <c r="G674" s="3">
        <f>'[01_Entry.xlsx]Book'!L674</f>
        <v/>
      </c>
      <c r="H674" s="3">
        <f>'[01_Entry.xlsx]Book'!M674</f>
        <v/>
      </c>
      <c r="I674" s="3">
        <f>'[01_Entry.xlsx]Book'!K674</f>
        <v/>
      </c>
      <c r="J674" s="3">
        <f>'[01_Entry.xlsx]Book'!P674</f>
        <v/>
      </c>
      <c r="K674" s="3">
        <f>'[01_Entry.xlsx]Book'!F674</f>
        <v/>
      </c>
      <c r="L674" s="3">
        <f>'[01_Entry.xlsx]Book'!G674</f>
        <v/>
      </c>
      <c r="M674" s="3">
        <f>'[01_Entry.xlsx]Book'!I674</f>
        <v/>
      </c>
      <c r="N674" s="2">
        <f>IF($A674="","",MID($A674,6,2))</f>
        <v>0</v>
      </c>
      <c r="O674" s="2">
        <f>IF(OR($C674="",$C674&lt;&gt;'Inv'!$D$12),"",N(O$673)+1)</f>
        <v>0</v>
      </c>
    </row>
    <row r="675" spans="1:15">
      <c r="A675" s="2">
        <f>'[01_Entry.xlsx]Book'!A675</f>
        <v/>
      </c>
      <c r="B675" s="2">
        <f>'[01_Entry.xlsx]Book'!B675</f>
        <v/>
      </c>
      <c r="C675" s="2">
        <f>'[01_Entry.xlsx]Book'!D675</f>
        <v/>
      </c>
      <c r="D675" s="2">
        <f>'[01_Entry.xlsx]Book'!E675</f>
        <v/>
      </c>
      <c r="E675" s="2">
        <f>'[01_Entry.xlsx]Book'!O675</f>
        <v/>
      </c>
      <c r="F675" s="2">
        <f>'[01_Entry.xlsx]Book'!N675</f>
        <v/>
      </c>
      <c r="G675" s="3">
        <f>'[01_Entry.xlsx]Book'!L675</f>
        <v/>
      </c>
      <c r="H675" s="3">
        <f>'[01_Entry.xlsx]Book'!M675</f>
        <v/>
      </c>
      <c r="I675" s="3">
        <f>'[01_Entry.xlsx]Book'!K675</f>
        <v/>
      </c>
      <c r="J675" s="3">
        <f>'[01_Entry.xlsx]Book'!P675</f>
        <v/>
      </c>
      <c r="K675" s="3">
        <f>'[01_Entry.xlsx]Book'!F675</f>
        <v/>
      </c>
      <c r="L675" s="3">
        <f>'[01_Entry.xlsx]Book'!G675</f>
        <v/>
      </c>
      <c r="M675" s="3">
        <f>'[01_Entry.xlsx]Book'!I675</f>
        <v/>
      </c>
      <c r="N675" s="2">
        <f>IF($A675="","",MID($A675,6,2))</f>
        <v>0</v>
      </c>
      <c r="O675" s="2">
        <f>IF(OR($C675="",$C675&lt;&gt;'Inv'!$D$12),"",N(O$674)+1)</f>
        <v>0</v>
      </c>
    </row>
    <row r="676" spans="1:15">
      <c r="A676" s="2">
        <f>'[01_Entry.xlsx]Book'!A676</f>
        <v/>
      </c>
      <c r="B676" s="2">
        <f>'[01_Entry.xlsx]Book'!B676</f>
        <v/>
      </c>
      <c r="C676" s="2">
        <f>'[01_Entry.xlsx]Book'!D676</f>
        <v/>
      </c>
      <c r="D676" s="2">
        <f>'[01_Entry.xlsx]Book'!E676</f>
        <v/>
      </c>
      <c r="E676" s="2">
        <f>'[01_Entry.xlsx]Book'!O676</f>
        <v/>
      </c>
      <c r="F676" s="2">
        <f>'[01_Entry.xlsx]Book'!N676</f>
        <v/>
      </c>
      <c r="G676" s="3">
        <f>'[01_Entry.xlsx]Book'!L676</f>
        <v/>
      </c>
      <c r="H676" s="3">
        <f>'[01_Entry.xlsx]Book'!M676</f>
        <v/>
      </c>
      <c r="I676" s="3">
        <f>'[01_Entry.xlsx]Book'!K676</f>
        <v/>
      </c>
      <c r="J676" s="3">
        <f>'[01_Entry.xlsx]Book'!P676</f>
        <v/>
      </c>
      <c r="K676" s="3">
        <f>'[01_Entry.xlsx]Book'!F676</f>
        <v/>
      </c>
      <c r="L676" s="3">
        <f>'[01_Entry.xlsx]Book'!G676</f>
        <v/>
      </c>
      <c r="M676" s="3">
        <f>'[01_Entry.xlsx]Book'!I676</f>
        <v/>
      </c>
      <c r="N676" s="2">
        <f>IF($A676="","",MID($A676,6,2))</f>
        <v>0</v>
      </c>
      <c r="O676" s="2">
        <f>IF(OR($C676="",$C676&lt;&gt;'Inv'!$D$12),"",N(O$675)+1)</f>
        <v>0</v>
      </c>
    </row>
    <row r="677" spans="1:15">
      <c r="A677" s="2">
        <f>'[01_Entry.xlsx]Book'!A677</f>
        <v/>
      </c>
      <c r="B677" s="2">
        <f>'[01_Entry.xlsx]Book'!B677</f>
        <v/>
      </c>
      <c r="C677" s="2">
        <f>'[01_Entry.xlsx]Book'!D677</f>
        <v/>
      </c>
      <c r="D677" s="2">
        <f>'[01_Entry.xlsx]Book'!E677</f>
        <v/>
      </c>
      <c r="E677" s="2">
        <f>'[01_Entry.xlsx]Book'!O677</f>
        <v/>
      </c>
      <c r="F677" s="2">
        <f>'[01_Entry.xlsx]Book'!N677</f>
        <v/>
      </c>
      <c r="G677" s="3">
        <f>'[01_Entry.xlsx]Book'!L677</f>
        <v/>
      </c>
      <c r="H677" s="3">
        <f>'[01_Entry.xlsx]Book'!M677</f>
        <v/>
      </c>
      <c r="I677" s="3">
        <f>'[01_Entry.xlsx]Book'!K677</f>
        <v/>
      </c>
      <c r="J677" s="3">
        <f>'[01_Entry.xlsx]Book'!P677</f>
        <v/>
      </c>
      <c r="K677" s="3">
        <f>'[01_Entry.xlsx]Book'!F677</f>
        <v/>
      </c>
      <c r="L677" s="3">
        <f>'[01_Entry.xlsx]Book'!G677</f>
        <v/>
      </c>
      <c r="M677" s="3">
        <f>'[01_Entry.xlsx]Book'!I677</f>
        <v/>
      </c>
      <c r="N677" s="2">
        <f>IF($A677="","",MID($A677,6,2))</f>
        <v>0</v>
      </c>
      <c r="O677" s="2">
        <f>IF(OR($C677="",$C677&lt;&gt;'Inv'!$D$12),"",N(O$676)+1)</f>
        <v>0</v>
      </c>
    </row>
    <row r="678" spans="1:15">
      <c r="A678" s="2">
        <f>'[01_Entry.xlsx]Book'!A678</f>
        <v/>
      </c>
      <c r="B678" s="2">
        <f>'[01_Entry.xlsx]Book'!B678</f>
        <v/>
      </c>
      <c r="C678" s="2">
        <f>'[01_Entry.xlsx]Book'!D678</f>
        <v/>
      </c>
      <c r="D678" s="2">
        <f>'[01_Entry.xlsx]Book'!E678</f>
        <v/>
      </c>
      <c r="E678" s="2">
        <f>'[01_Entry.xlsx]Book'!O678</f>
        <v/>
      </c>
      <c r="F678" s="2">
        <f>'[01_Entry.xlsx]Book'!N678</f>
        <v/>
      </c>
      <c r="G678" s="3">
        <f>'[01_Entry.xlsx]Book'!L678</f>
        <v/>
      </c>
      <c r="H678" s="3">
        <f>'[01_Entry.xlsx]Book'!M678</f>
        <v/>
      </c>
      <c r="I678" s="3">
        <f>'[01_Entry.xlsx]Book'!K678</f>
        <v/>
      </c>
      <c r="J678" s="3">
        <f>'[01_Entry.xlsx]Book'!P678</f>
        <v/>
      </c>
      <c r="K678" s="3">
        <f>'[01_Entry.xlsx]Book'!F678</f>
        <v/>
      </c>
      <c r="L678" s="3">
        <f>'[01_Entry.xlsx]Book'!G678</f>
        <v/>
      </c>
      <c r="M678" s="3">
        <f>'[01_Entry.xlsx]Book'!I678</f>
        <v/>
      </c>
      <c r="N678" s="2">
        <f>IF($A678="","",MID($A678,6,2))</f>
        <v>0</v>
      </c>
      <c r="O678" s="2">
        <f>IF(OR($C678="",$C678&lt;&gt;'Inv'!$D$12),"",N(O$677)+1)</f>
        <v>0</v>
      </c>
    </row>
    <row r="679" spans="1:15">
      <c r="A679" s="2">
        <f>'[01_Entry.xlsx]Book'!A679</f>
        <v/>
      </c>
      <c r="B679" s="2">
        <f>'[01_Entry.xlsx]Book'!B679</f>
        <v/>
      </c>
      <c r="C679" s="2">
        <f>'[01_Entry.xlsx]Book'!D679</f>
        <v/>
      </c>
      <c r="D679" s="2">
        <f>'[01_Entry.xlsx]Book'!E679</f>
        <v/>
      </c>
      <c r="E679" s="2">
        <f>'[01_Entry.xlsx]Book'!O679</f>
        <v/>
      </c>
      <c r="F679" s="2">
        <f>'[01_Entry.xlsx]Book'!N679</f>
        <v/>
      </c>
      <c r="G679" s="3">
        <f>'[01_Entry.xlsx]Book'!L679</f>
        <v/>
      </c>
      <c r="H679" s="3">
        <f>'[01_Entry.xlsx]Book'!M679</f>
        <v/>
      </c>
      <c r="I679" s="3">
        <f>'[01_Entry.xlsx]Book'!K679</f>
        <v/>
      </c>
      <c r="J679" s="3">
        <f>'[01_Entry.xlsx]Book'!P679</f>
        <v/>
      </c>
      <c r="K679" s="3">
        <f>'[01_Entry.xlsx]Book'!F679</f>
        <v/>
      </c>
      <c r="L679" s="3">
        <f>'[01_Entry.xlsx]Book'!G679</f>
        <v/>
      </c>
      <c r="M679" s="3">
        <f>'[01_Entry.xlsx]Book'!I679</f>
        <v/>
      </c>
      <c r="N679" s="2">
        <f>IF($A679="","",MID($A679,6,2))</f>
        <v>0</v>
      </c>
      <c r="O679" s="2">
        <f>IF(OR($C679="",$C679&lt;&gt;'Inv'!$D$12),"",N(O$678)+1)</f>
        <v>0</v>
      </c>
    </row>
    <row r="680" spans="1:15">
      <c r="A680" s="2">
        <f>'[01_Entry.xlsx]Book'!A680</f>
        <v/>
      </c>
      <c r="B680" s="2">
        <f>'[01_Entry.xlsx]Book'!B680</f>
        <v/>
      </c>
      <c r="C680" s="2">
        <f>'[01_Entry.xlsx]Book'!D680</f>
        <v/>
      </c>
      <c r="D680" s="2">
        <f>'[01_Entry.xlsx]Book'!E680</f>
        <v/>
      </c>
      <c r="E680" s="2">
        <f>'[01_Entry.xlsx]Book'!O680</f>
        <v/>
      </c>
      <c r="F680" s="2">
        <f>'[01_Entry.xlsx]Book'!N680</f>
        <v/>
      </c>
      <c r="G680" s="3">
        <f>'[01_Entry.xlsx]Book'!L680</f>
        <v/>
      </c>
      <c r="H680" s="3">
        <f>'[01_Entry.xlsx]Book'!M680</f>
        <v/>
      </c>
      <c r="I680" s="3">
        <f>'[01_Entry.xlsx]Book'!K680</f>
        <v/>
      </c>
      <c r="J680" s="3">
        <f>'[01_Entry.xlsx]Book'!P680</f>
        <v/>
      </c>
      <c r="K680" s="3">
        <f>'[01_Entry.xlsx]Book'!F680</f>
        <v/>
      </c>
      <c r="L680" s="3">
        <f>'[01_Entry.xlsx]Book'!G680</f>
        <v/>
      </c>
      <c r="M680" s="3">
        <f>'[01_Entry.xlsx]Book'!I680</f>
        <v/>
      </c>
      <c r="N680" s="2">
        <f>IF($A680="","",MID($A680,6,2))</f>
        <v>0</v>
      </c>
      <c r="O680" s="2">
        <f>IF(OR($C680="",$C680&lt;&gt;'Inv'!$D$12),"",N(O$679)+1)</f>
        <v>0</v>
      </c>
    </row>
    <row r="681" spans="1:15">
      <c r="A681" s="2">
        <f>'[01_Entry.xlsx]Book'!A681</f>
        <v/>
      </c>
      <c r="B681" s="2">
        <f>'[01_Entry.xlsx]Book'!B681</f>
        <v/>
      </c>
      <c r="C681" s="2">
        <f>'[01_Entry.xlsx]Book'!D681</f>
        <v/>
      </c>
      <c r="D681" s="2">
        <f>'[01_Entry.xlsx]Book'!E681</f>
        <v/>
      </c>
      <c r="E681" s="2">
        <f>'[01_Entry.xlsx]Book'!O681</f>
        <v/>
      </c>
      <c r="F681" s="2">
        <f>'[01_Entry.xlsx]Book'!N681</f>
        <v/>
      </c>
      <c r="G681" s="3">
        <f>'[01_Entry.xlsx]Book'!L681</f>
        <v/>
      </c>
      <c r="H681" s="3">
        <f>'[01_Entry.xlsx]Book'!M681</f>
        <v/>
      </c>
      <c r="I681" s="3">
        <f>'[01_Entry.xlsx]Book'!K681</f>
        <v/>
      </c>
      <c r="J681" s="3">
        <f>'[01_Entry.xlsx]Book'!P681</f>
        <v/>
      </c>
      <c r="K681" s="3">
        <f>'[01_Entry.xlsx]Book'!F681</f>
        <v/>
      </c>
      <c r="L681" s="3">
        <f>'[01_Entry.xlsx]Book'!G681</f>
        <v/>
      </c>
      <c r="M681" s="3">
        <f>'[01_Entry.xlsx]Book'!I681</f>
        <v/>
      </c>
      <c r="N681" s="2">
        <f>IF($A681="","",MID($A681,6,2))</f>
        <v>0</v>
      </c>
      <c r="O681" s="2">
        <f>IF(OR($C681="",$C681&lt;&gt;'Inv'!$D$12),"",N(O$680)+1)</f>
        <v>0</v>
      </c>
    </row>
    <row r="682" spans="1:15">
      <c r="A682" s="2">
        <f>'[01_Entry.xlsx]Book'!A682</f>
        <v/>
      </c>
      <c r="B682" s="2">
        <f>'[01_Entry.xlsx]Book'!B682</f>
        <v/>
      </c>
      <c r="C682" s="2">
        <f>'[01_Entry.xlsx]Book'!D682</f>
        <v/>
      </c>
      <c r="D682" s="2">
        <f>'[01_Entry.xlsx]Book'!E682</f>
        <v/>
      </c>
      <c r="E682" s="2">
        <f>'[01_Entry.xlsx]Book'!O682</f>
        <v/>
      </c>
      <c r="F682" s="2">
        <f>'[01_Entry.xlsx]Book'!N682</f>
        <v/>
      </c>
      <c r="G682" s="3">
        <f>'[01_Entry.xlsx]Book'!L682</f>
        <v/>
      </c>
      <c r="H682" s="3">
        <f>'[01_Entry.xlsx]Book'!M682</f>
        <v/>
      </c>
      <c r="I682" s="3">
        <f>'[01_Entry.xlsx]Book'!K682</f>
        <v/>
      </c>
      <c r="J682" s="3">
        <f>'[01_Entry.xlsx]Book'!P682</f>
        <v/>
      </c>
      <c r="K682" s="3">
        <f>'[01_Entry.xlsx]Book'!F682</f>
        <v/>
      </c>
      <c r="L682" s="3">
        <f>'[01_Entry.xlsx]Book'!G682</f>
        <v/>
      </c>
      <c r="M682" s="3">
        <f>'[01_Entry.xlsx]Book'!I682</f>
        <v/>
      </c>
      <c r="N682" s="2">
        <f>IF($A682="","",MID($A682,6,2))</f>
        <v>0</v>
      </c>
      <c r="O682" s="2">
        <f>IF(OR($C682="",$C682&lt;&gt;'Inv'!$D$12),"",N(O$681)+1)</f>
        <v>0</v>
      </c>
    </row>
    <row r="683" spans="1:15">
      <c r="A683" s="2">
        <f>'[01_Entry.xlsx]Book'!A683</f>
        <v/>
      </c>
      <c r="B683" s="2">
        <f>'[01_Entry.xlsx]Book'!B683</f>
        <v/>
      </c>
      <c r="C683" s="2">
        <f>'[01_Entry.xlsx]Book'!D683</f>
        <v/>
      </c>
      <c r="D683" s="2">
        <f>'[01_Entry.xlsx]Book'!E683</f>
        <v/>
      </c>
      <c r="E683" s="2">
        <f>'[01_Entry.xlsx]Book'!O683</f>
        <v/>
      </c>
      <c r="F683" s="2">
        <f>'[01_Entry.xlsx]Book'!N683</f>
        <v/>
      </c>
      <c r="G683" s="3">
        <f>'[01_Entry.xlsx]Book'!L683</f>
        <v/>
      </c>
      <c r="H683" s="3">
        <f>'[01_Entry.xlsx]Book'!M683</f>
        <v/>
      </c>
      <c r="I683" s="3">
        <f>'[01_Entry.xlsx]Book'!K683</f>
        <v/>
      </c>
      <c r="J683" s="3">
        <f>'[01_Entry.xlsx]Book'!P683</f>
        <v/>
      </c>
      <c r="K683" s="3">
        <f>'[01_Entry.xlsx]Book'!F683</f>
        <v/>
      </c>
      <c r="L683" s="3">
        <f>'[01_Entry.xlsx]Book'!G683</f>
        <v/>
      </c>
      <c r="M683" s="3">
        <f>'[01_Entry.xlsx]Book'!I683</f>
        <v/>
      </c>
      <c r="N683" s="2">
        <f>IF($A683="","",MID($A683,6,2))</f>
        <v>0</v>
      </c>
      <c r="O683" s="2">
        <f>IF(OR($C683="",$C683&lt;&gt;'Inv'!$D$12),"",N(O$682)+1)</f>
        <v>0</v>
      </c>
    </row>
    <row r="684" spans="1:15">
      <c r="A684" s="2">
        <f>'[01_Entry.xlsx]Book'!A684</f>
        <v/>
      </c>
      <c r="B684" s="2">
        <f>'[01_Entry.xlsx]Book'!B684</f>
        <v/>
      </c>
      <c r="C684" s="2">
        <f>'[01_Entry.xlsx]Book'!D684</f>
        <v/>
      </c>
      <c r="D684" s="2">
        <f>'[01_Entry.xlsx]Book'!E684</f>
        <v/>
      </c>
      <c r="E684" s="2">
        <f>'[01_Entry.xlsx]Book'!O684</f>
        <v/>
      </c>
      <c r="F684" s="2">
        <f>'[01_Entry.xlsx]Book'!N684</f>
        <v/>
      </c>
      <c r="G684" s="3">
        <f>'[01_Entry.xlsx]Book'!L684</f>
        <v/>
      </c>
      <c r="H684" s="3">
        <f>'[01_Entry.xlsx]Book'!M684</f>
        <v/>
      </c>
      <c r="I684" s="3">
        <f>'[01_Entry.xlsx]Book'!K684</f>
        <v/>
      </c>
      <c r="J684" s="3">
        <f>'[01_Entry.xlsx]Book'!P684</f>
        <v/>
      </c>
      <c r="K684" s="3">
        <f>'[01_Entry.xlsx]Book'!F684</f>
        <v/>
      </c>
      <c r="L684" s="3">
        <f>'[01_Entry.xlsx]Book'!G684</f>
        <v/>
      </c>
      <c r="M684" s="3">
        <f>'[01_Entry.xlsx]Book'!I684</f>
        <v/>
      </c>
      <c r="N684" s="2">
        <f>IF($A684="","",MID($A684,6,2))</f>
        <v>0</v>
      </c>
      <c r="O684" s="2">
        <f>IF(OR($C684="",$C684&lt;&gt;'Inv'!$D$12),"",N(O$683)+1)</f>
        <v>0</v>
      </c>
    </row>
    <row r="685" spans="1:15">
      <c r="A685" s="2">
        <f>'[01_Entry.xlsx]Book'!A685</f>
        <v/>
      </c>
      <c r="B685" s="2">
        <f>'[01_Entry.xlsx]Book'!B685</f>
        <v/>
      </c>
      <c r="C685" s="2">
        <f>'[01_Entry.xlsx]Book'!D685</f>
        <v/>
      </c>
      <c r="D685" s="2">
        <f>'[01_Entry.xlsx]Book'!E685</f>
        <v/>
      </c>
      <c r="E685" s="2">
        <f>'[01_Entry.xlsx]Book'!O685</f>
        <v/>
      </c>
      <c r="F685" s="2">
        <f>'[01_Entry.xlsx]Book'!N685</f>
        <v/>
      </c>
      <c r="G685" s="3">
        <f>'[01_Entry.xlsx]Book'!L685</f>
        <v/>
      </c>
      <c r="H685" s="3">
        <f>'[01_Entry.xlsx]Book'!M685</f>
        <v/>
      </c>
      <c r="I685" s="3">
        <f>'[01_Entry.xlsx]Book'!K685</f>
        <v/>
      </c>
      <c r="J685" s="3">
        <f>'[01_Entry.xlsx]Book'!P685</f>
        <v/>
      </c>
      <c r="K685" s="3">
        <f>'[01_Entry.xlsx]Book'!F685</f>
        <v/>
      </c>
      <c r="L685" s="3">
        <f>'[01_Entry.xlsx]Book'!G685</f>
        <v/>
      </c>
      <c r="M685" s="3">
        <f>'[01_Entry.xlsx]Book'!I685</f>
        <v/>
      </c>
      <c r="N685" s="2">
        <f>IF($A685="","",MID($A685,6,2))</f>
        <v>0</v>
      </c>
      <c r="O685" s="2">
        <f>IF(OR($C685="",$C685&lt;&gt;'Inv'!$D$12),"",N(O$684)+1)</f>
        <v>0</v>
      </c>
    </row>
    <row r="686" spans="1:15">
      <c r="A686" s="2">
        <f>'[01_Entry.xlsx]Book'!A686</f>
        <v/>
      </c>
      <c r="B686" s="2">
        <f>'[01_Entry.xlsx]Book'!B686</f>
        <v/>
      </c>
      <c r="C686" s="2">
        <f>'[01_Entry.xlsx]Book'!D686</f>
        <v/>
      </c>
      <c r="D686" s="2">
        <f>'[01_Entry.xlsx]Book'!E686</f>
        <v/>
      </c>
      <c r="E686" s="2">
        <f>'[01_Entry.xlsx]Book'!O686</f>
        <v/>
      </c>
      <c r="F686" s="2">
        <f>'[01_Entry.xlsx]Book'!N686</f>
        <v/>
      </c>
      <c r="G686" s="3">
        <f>'[01_Entry.xlsx]Book'!L686</f>
        <v/>
      </c>
      <c r="H686" s="3">
        <f>'[01_Entry.xlsx]Book'!M686</f>
        <v/>
      </c>
      <c r="I686" s="3">
        <f>'[01_Entry.xlsx]Book'!K686</f>
        <v/>
      </c>
      <c r="J686" s="3">
        <f>'[01_Entry.xlsx]Book'!P686</f>
        <v/>
      </c>
      <c r="K686" s="3">
        <f>'[01_Entry.xlsx]Book'!F686</f>
        <v/>
      </c>
      <c r="L686" s="3">
        <f>'[01_Entry.xlsx]Book'!G686</f>
        <v/>
      </c>
      <c r="M686" s="3">
        <f>'[01_Entry.xlsx]Book'!I686</f>
        <v/>
      </c>
      <c r="N686" s="2">
        <f>IF($A686="","",MID($A686,6,2))</f>
        <v>0</v>
      </c>
      <c r="O686" s="2">
        <f>IF(OR($C686="",$C686&lt;&gt;'Inv'!$D$12),"",N(O$685)+1)</f>
        <v>0</v>
      </c>
    </row>
    <row r="687" spans="1:15">
      <c r="A687" s="2">
        <f>'[01_Entry.xlsx]Book'!A687</f>
        <v/>
      </c>
      <c r="B687" s="2">
        <f>'[01_Entry.xlsx]Book'!B687</f>
        <v/>
      </c>
      <c r="C687" s="2">
        <f>'[01_Entry.xlsx]Book'!D687</f>
        <v/>
      </c>
      <c r="D687" s="2">
        <f>'[01_Entry.xlsx]Book'!E687</f>
        <v/>
      </c>
      <c r="E687" s="2">
        <f>'[01_Entry.xlsx]Book'!O687</f>
        <v/>
      </c>
      <c r="F687" s="2">
        <f>'[01_Entry.xlsx]Book'!N687</f>
        <v/>
      </c>
      <c r="G687" s="3">
        <f>'[01_Entry.xlsx]Book'!L687</f>
        <v/>
      </c>
      <c r="H687" s="3">
        <f>'[01_Entry.xlsx]Book'!M687</f>
        <v/>
      </c>
      <c r="I687" s="3">
        <f>'[01_Entry.xlsx]Book'!K687</f>
        <v/>
      </c>
      <c r="J687" s="3">
        <f>'[01_Entry.xlsx]Book'!P687</f>
        <v/>
      </c>
      <c r="K687" s="3">
        <f>'[01_Entry.xlsx]Book'!F687</f>
        <v/>
      </c>
      <c r="L687" s="3">
        <f>'[01_Entry.xlsx]Book'!G687</f>
        <v/>
      </c>
      <c r="M687" s="3">
        <f>'[01_Entry.xlsx]Book'!I687</f>
        <v/>
      </c>
      <c r="N687" s="2">
        <f>IF($A687="","",MID($A687,6,2))</f>
        <v>0</v>
      </c>
      <c r="O687" s="2">
        <f>IF(OR($C687="",$C687&lt;&gt;'Inv'!$D$12),"",N(O$686)+1)</f>
        <v>0</v>
      </c>
    </row>
    <row r="688" spans="1:15">
      <c r="A688" s="2">
        <f>'[01_Entry.xlsx]Book'!A688</f>
        <v/>
      </c>
      <c r="B688" s="2">
        <f>'[01_Entry.xlsx]Book'!B688</f>
        <v/>
      </c>
      <c r="C688" s="2">
        <f>'[01_Entry.xlsx]Book'!D688</f>
        <v/>
      </c>
      <c r="D688" s="2">
        <f>'[01_Entry.xlsx]Book'!E688</f>
        <v/>
      </c>
      <c r="E688" s="2">
        <f>'[01_Entry.xlsx]Book'!O688</f>
        <v/>
      </c>
      <c r="F688" s="2">
        <f>'[01_Entry.xlsx]Book'!N688</f>
        <v/>
      </c>
      <c r="G688" s="3">
        <f>'[01_Entry.xlsx]Book'!L688</f>
        <v/>
      </c>
      <c r="H688" s="3">
        <f>'[01_Entry.xlsx]Book'!M688</f>
        <v/>
      </c>
      <c r="I688" s="3">
        <f>'[01_Entry.xlsx]Book'!K688</f>
        <v/>
      </c>
      <c r="J688" s="3">
        <f>'[01_Entry.xlsx]Book'!P688</f>
        <v/>
      </c>
      <c r="K688" s="3">
        <f>'[01_Entry.xlsx]Book'!F688</f>
        <v/>
      </c>
      <c r="L688" s="3">
        <f>'[01_Entry.xlsx]Book'!G688</f>
        <v/>
      </c>
      <c r="M688" s="3">
        <f>'[01_Entry.xlsx]Book'!I688</f>
        <v/>
      </c>
      <c r="N688" s="2">
        <f>IF($A688="","",MID($A688,6,2))</f>
        <v>0</v>
      </c>
      <c r="O688" s="2">
        <f>IF(OR($C688="",$C688&lt;&gt;'Inv'!$D$12),"",N(O$687)+1)</f>
        <v>0</v>
      </c>
    </row>
    <row r="689" spans="1:15">
      <c r="A689" s="2">
        <f>'[01_Entry.xlsx]Book'!A689</f>
        <v/>
      </c>
      <c r="B689" s="2">
        <f>'[01_Entry.xlsx]Book'!B689</f>
        <v/>
      </c>
      <c r="C689" s="2">
        <f>'[01_Entry.xlsx]Book'!D689</f>
        <v/>
      </c>
      <c r="D689" s="2">
        <f>'[01_Entry.xlsx]Book'!E689</f>
        <v/>
      </c>
      <c r="E689" s="2">
        <f>'[01_Entry.xlsx]Book'!O689</f>
        <v/>
      </c>
      <c r="F689" s="2">
        <f>'[01_Entry.xlsx]Book'!N689</f>
        <v/>
      </c>
      <c r="G689" s="3">
        <f>'[01_Entry.xlsx]Book'!L689</f>
        <v/>
      </c>
      <c r="H689" s="3">
        <f>'[01_Entry.xlsx]Book'!M689</f>
        <v/>
      </c>
      <c r="I689" s="3">
        <f>'[01_Entry.xlsx]Book'!K689</f>
        <v/>
      </c>
      <c r="J689" s="3">
        <f>'[01_Entry.xlsx]Book'!P689</f>
        <v/>
      </c>
      <c r="K689" s="3">
        <f>'[01_Entry.xlsx]Book'!F689</f>
        <v/>
      </c>
      <c r="L689" s="3">
        <f>'[01_Entry.xlsx]Book'!G689</f>
        <v/>
      </c>
      <c r="M689" s="3">
        <f>'[01_Entry.xlsx]Book'!I689</f>
        <v/>
      </c>
      <c r="N689" s="2">
        <f>IF($A689="","",MID($A689,6,2))</f>
        <v>0</v>
      </c>
      <c r="O689" s="2">
        <f>IF(OR($C689="",$C689&lt;&gt;'Inv'!$D$12),"",N(O$688)+1)</f>
        <v>0</v>
      </c>
    </row>
    <row r="690" spans="1:15">
      <c r="A690" s="2">
        <f>'[01_Entry.xlsx]Book'!A690</f>
        <v/>
      </c>
      <c r="B690" s="2">
        <f>'[01_Entry.xlsx]Book'!B690</f>
        <v/>
      </c>
      <c r="C690" s="2">
        <f>'[01_Entry.xlsx]Book'!D690</f>
        <v/>
      </c>
      <c r="D690" s="2">
        <f>'[01_Entry.xlsx]Book'!E690</f>
        <v/>
      </c>
      <c r="E690" s="2">
        <f>'[01_Entry.xlsx]Book'!O690</f>
        <v/>
      </c>
      <c r="F690" s="2">
        <f>'[01_Entry.xlsx]Book'!N690</f>
        <v/>
      </c>
      <c r="G690" s="3">
        <f>'[01_Entry.xlsx]Book'!L690</f>
        <v/>
      </c>
      <c r="H690" s="3">
        <f>'[01_Entry.xlsx]Book'!M690</f>
        <v/>
      </c>
      <c r="I690" s="3">
        <f>'[01_Entry.xlsx]Book'!K690</f>
        <v/>
      </c>
      <c r="J690" s="3">
        <f>'[01_Entry.xlsx]Book'!P690</f>
        <v/>
      </c>
      <c r="K690" s="3">
        <f>'[01_Entry.xlsx]Book'!F690</f>
        <v/>
      </c>
      <c r="L690" s="3">
        <f>'[01_Entry.xlsx]Book'!G690</f>
        <v/>
      </c>
      <c r="M690" s="3">
        <f>'[01_Entry.xlsx]Book'!I690</f>
        <v/>
      </c>
      <c r="N690" s="2">
        <f>IF($A690="","",MID($A690,6,2))</f>
        <v>0</v>
      </c>
      <c r="O690" s="2">
        <f>IF(OR($C690="",$C690&lt;&gt;'Inv'!$D$12),"",N(O$689)+1)</f>
        <v>0</v>
      </c>
    </row>
    <row r="691" spans="1:15">
      <c r="A691" s="2">
        <f>'[01_Entry.xlsx]Book'!A691</f>
        <v/>
      </c>
      <c r="B691" s="2">
        <f>'[01_Entry.xlsx]Book'!B691</f>
        <v/>
      </c>
      <c r="C691" s="2">
        <f>'[01_Entry.xlsx]Book'!D691</f>
        <v/>
      </c>
      <c r="D691" s="2">
        <f>'[01_Entry.xlsx]Book'!E691</f>
        <v/>
      </c>
      <c r="E691" s="2">
        <f>'[01_Entry.xlsx]Book'!O691</f>
        <v/>
      </c>
      <c r="F691" s="2">
        <f>'[01_Entry.xlsx]Book'!N691</f>
        <v/>
      </c>
      <c r="G691" s="3">
        <f>'[01_Entry.xlsx]Book'!L691</f>
        <v/>
      </c>
      <c r="H691" s="3">
        <f>'[01_Entry.xlsx]Book'!M691</f>
        <v/>
      </c>
      <c r="I691" s="3">
        <f>'[01_Entry.xlsx]Book'!K691</f>
        <v/>
      </c>
      <c r="J691" s="3">
        <f>'[01_Entry.xlsx]Book'!P691</f>
        <v/>
      </c>
      <c r="K691" s="3">
        <f>'[01_Entry.xlsx]Book'!F691</f>
        <v/>
      </c>
      <c r="L691" s="3">
        <f>'[01_Entry.xlsx]Book'!G691</f>
        <v/>
      </c>
      <c r="M691" s="3">
        <f>'[01_Entry.xlsx]Book'!I691</f>
        <v/>
      </c>
      <c r="N691" s="2">
        <f>IF($A691="","",MID($A691,6,2))</f>
        <v>0</v>
      </c>
      <c r="O691" s="2">
        <f>IF(OR($C691="",$C691&lt;&gt;'Inv'!$D$12),"",N(O$690)+1)</f>
        <v>0</v>
      </c>
    </row>
    <row r="692" spans="1:15">
      <c r="A692" s="2">
        <f>'[01_Entry.xlsx]Book'!A692</f>
        <v/>
      </c>
      <c r="B692" s="2">
        <f>'[01_Entry.xlsx]Book'!B692</f>
        <v/>
      </c>
      <c r="C692" s="2">
        <f>'[01_Entry.xlsx]Book'!D692</f>
        <v/>
      </c>
      <c r="D692" s="2">
        <f>'[01_Entry.xlsx]Book'!E692</f>
        <v/>
      </c>
      <c r="E692" s="2">
        <f>'[01_Entry.xlsx]Book'!O692</f>
        <v/>
      </c>
      <c r="F692" s="2">
        <f>'[01_Entry.xlsx]Book'!N692</f>
        <v/>
      </c>
      <c r="G692" s="3">
        <f>'[01_Entry.xlsx]Book'!L692</f>
        <v/>
      </c>
      <c r="H692" s="3">
        <f>'[01_Entry.xlsx]Book'!M692</f>
        <v/>
      </c>
      <c r="I692" s="3">
        <f>'[01_Entry.xlsx]Book'!K692</f>
        <v/>
      </c>
      <c r="J692" s="3">
        <f>'[01_Entry.xlsx]Book'!P692</f>
        <v/>
      </c>
      <c r="K692" s="3">
        <f>'[01_Entry.xlsx]Book'!F692</f>
        <v/>
      </c>
      <c r="L692" s="3">
        <f>'[01_Entry.xlsx]Book'!G692</f>
        <v/>
      </c>
      <c r="M692" s="3">
        <f>'[01_Entry.xlsx]Book'!I692</f>
        <v/>
      </c>
      <c r="N692" s="2">
        <f>IF($A692="","",MID($A692,6,2))</f>
        <v>0</v>
      </c>
      <c r="O692" s="2">
        <f>IF(OR($C692="",$C692&lt;&gt;'Inv'!$D$12),"",N(O$691)+1)</f>
        <v>0</v>
      </c>
    </row>
    <row r="693" spans="1:15">
      <c r="A693" s="2">
        <f>'[01_Entry.xlsx]Book'!A693</f>
        <v/>
      </c>
      <c r="B693" s="2">
        <f>'[01_Entry.xlsx]Book'!B693</f>
        <v/>
      </c>
      <c r="C693" s="2">
        <f>'[01_Entry.xlsx]Book'!D693</f>
        <v/>
      </c>
      <c r="D693" s="2">
        <f>'[01_Entry.xlsx]Book'!E693</f>
        <v/>
      </c>
      <c r="E693" s="2">
        <f>'[01_Entry.xlsx]Book'!O693</f>
        <v/>
      </c>
      <c r="F693" s="2">
        <f>'[01_Entry.xlsx]Book'!N693</f>
        <v/>
      </c>
      <c r="G693" s="3">
        <f>'[01_Entry.xlsx]Book'!L693</f>
        <v/>
      </c>
      <c r="H693" s="3">
        <f>'[01_Entry.xlsx]Book'!M693</f>
        <v/>
      </c>
      <c r="I693" s="3">
        <f>'[01_Entry.xlsx]Book'!K693</f>
        <v/>
      </c>
      <c r="J693" s="3">
        <f>'[01_Entry.xlsx]Book'!P693</f>
        <v/>
      </c>
      <c r="K693" s="3">
        <f>'[01_Entry.xlsx]Book'!F693</f>
        <v/>
      </c>
      <c r="L693" s="3">
        <f>'[01_Entry.xlsx]Book'!G693</f>
        <v/>
      </c>
      <c r="M693" s="3">
        <f>'[01_Entry.xlsx]Book'!I693</f>
        <v/>
      </c>
      <c r="N693" s="2">
        <f>IF($A693="","",MID($A693,6,2))</f>
        <v>0</v>
      </c>
      <c r="O693" s="2">
        <f>IF(OR($C693="",$C693&lt;&gt;'Inv'!$D$12),"",N(O$692)+1)</f>
        <v>0</v>
      </c>
    </row>
    <row r="694" spans="1:15">
      <c r="A694" s="2">
        <f>'[01_Entry.xlsx]Book'!A694</f>
        <v/>
      </c>
      <c r="B694" s="2">
        <f>'[01_Entry.xlsx]Book'!B694</f>
        <v/>
      </c>
      <c r="C694" s="2">
        <f>'[01_Entry.xlsx]Book'!D694</f>
        <v/>
      </c>
      <c r="D694" s="2">
        <f>'[01_Entry.xlsx]Book'!E694</f>
        <v/>
      </c>
      <c r="E694" s="2">
        <f>'[01_Entry.xlsx]Book'!O694</f>
        <v/>
      </c>
      <c r="F694" s="2">
        <f>'[01_Entry.xlsx]Book'!N694</f>
        <v/>
      </c>
      <c r="G694" s="3">
        <f>'[01_Entry.xlsx]Book'!L694</f>
        <v/>
      </c>
      <c r="H694" s="3">
        <f>'[01_Entry.xlsx]Book'!M694</f>
        <v/>
      </c>
      <c r="I694" s="3">
        <f>'[01_Entry.xlsx]Book'!K694</f>
        <v/>
      </c>
      <c r="J694" s="3">
        <f>'[01_Entry.xlsx]Book'!P694</f>
        <v/>
      </c>
      <c r="K694" s="3">
        <f>'[01_Entry.xlsx]Book'!F694</f>
        <v/>
      </c>
      <c r="L694" s="3">
        <f>'[01_Entry.xlsx]Book'!G694</f>
        <v/>
      </c>
      <c r="M694" s="3">
        <f>'[01_Entry.xlsx]Book'!I694</f>
        <v/>
      </c>
      <c r="N694" s="2">
        <f>IF($A694="","",MID($A694,6,2))</f>
        <v>0</v>
      </c>
      <c r="O694" s="2">
        <f>IF(OR($C694="",$C694&lt;&gt;'Inv'!$D$12),"",N(O$693)+1)</f>
        <v>0</v>
      </c>
    </row>
    <row r="695" spans="1:15">
      <c r="A695" s="2">
        <f>'[01_Entry.xlsx]Book'!A695</f>
        <v/>
      </c>
      <c r="B695" s="2">
        <f>'[01_Entry.xlsx]Book'!B695</f>
        <v/>
      </c>
      <c r="C695" s="2">
        <f>'[01_Entry.xlsx]Book'!D695</f>
        <v/>
      </c>
      <c r="D695" s="2">
        <f>'[01_Entry.xlsx]Book'!E695</f>
        <v/>
      </c>
      <c r="E695" s="2">
        <f>'[01_Entry.xlsx]Book'!O695</f>
        <v/>
      </c>
      <c r="F695" s="2">
        <f>'[01_Entry.xlsx]Book'!N695</f>
        <v/>
      </c>
      <c r="G695" s="3">
        <f>'[01_Entry.xlsx]Book'!L695</f>
        <v/>
      </c>
      <c r="H695" s="3">
        <f>'[01_Entry.xlsx]Book'!M695</f>
        <v/>
      </c>
      <c r="I695" s="3">
        <f>'[01_Entry.xlsx]Book'!K695</f>
        <v/>
      </c>
      <c r="J695" s="3">
        <f>'[01_Entry.xlsx]Book'!P695</f>
        <v/>
      </c>
      <c r="K695" s="3">
        <f>'[01_Entry.xlsx]Book'!F695</f>
        <v/>
      </c>
      <c r="L695" s="3">
        <f>'[01_Entry.xlsx]Book'!G695</f>
        <v/>
      </c>
      <c r="M695" s="3">
        <f>'[01_Entry.xlsx]Book'!I695</f>
        <v/>
      </c>
      <c r="N695" s="2">
        <f>IF($A695="","",MID($A695,6,2))</f>
        <v>0</v>
      </c>
      <c r="O695" s="2">
        <f>IF(OR($C695="",$C695&lt;&gt;'Inv'!$D$12),"",N(O$694)+1)</f>
        <v>0</v>
      </c>
    </row>
    <row r="696" spans="1:15">
      <c r="A696" s="2">
        <f>'[01_Entry.xlsx]Book'!A696</f>
        <v/>
      </c>
      <c r="B696" s="2">
        <f>'[01_Entry.xlsx]Book'!B696</f>
        <v/>
      </c>
      <c r="C696" s="2">
        <f>'[01_Entry.xlsx]Book'!D696</f>
        <v/>
      </c>
      <c r="D696" s="2">
        <f>'[01_Entry.xlsx]Book'!E696</f>
        <v/>
      </c>
      <c r="E696" s="2">
        <f>'[01_Entry.xlsx]Book'!O696</f>
        <v/>
      </c>
      <c r="F696" s="2">
        <f>'[01_Entry.xlsx]Book'!N696</f>
        <v/>
      </c>
      <c r="G696" s="3">
        <f>'[01_Entry.xlsx]Book'!L696</f>
        <v/>
      </c>
      <c r="H696" s="3">
        <f>'[01_Entry.xlsx]Book'!M696</f>
        <v/>
      </c>
      <c r="I696" s="3">
        <f>'[01_Entry.xlsx]Book'!K696</f>
        <v/>
      </c>
      <c r="J696" s="3">
        <f>'[01_Entry.xlsx]Book'!P696</f>
        <v/>
      </c>
      <c r="K696" s="3">
        <f>'[01_Entry.xlsx]Book'!F696</f>
        <v/>
      </c>
      <c r="L696" s="3">
        <f>'[01_Entry.xlsx]Book'!G696</f>
        <v/>
      </c>
      <c r="M696" s="3">
        <f>'[01_Entry.xlsx]Book'!I696</f>
        <v/>
      </c>
      <c r="N696" s="2">
        <f>IF($A696="","",MID($A696,6,2))</f>
        <v>0</v>
      </c>
      <c r="O696" s="2">
        <f>IF(OR($C696="",$C696&lt;&gt;'Inv'!$D$12),"",N(O$695)+1)</f>
        <v>0</v>
      </c>
    </row>
    <row r="697" spans="1:15">
      <c r="A697" s="2">
        <f>'[01_Entry.xlsx]Book'!A697</f>
        <v/>
      </c>
      <c r="B697" s="2">
        <f>'[01_Entry.xlsx]Book'!B697</f>
        <v/>
      </c>
      <c r="C697" s="2">
        <f>'[01_Entry.xlsx]Book'!D697</f>
        <v/>
      </c>
      <c r="D697" s="2">
        <f>'[01_Entry.xlsx]Book'!E697</f>
        <v/>
      </c>
      <c r="E697" s="2">
        <f>'[01_Entry.xlsx]Book'!O697</f>
        <v/>
      </c>
      <c r="F697" s="2">
        <f>'[01_Entry.xlsx]Book'!N697</f>
        <v/>
      </c>
      <c r="G697" s="3">
        <f>'[01_Entry.xlsx]Book'!L697</f>
        <v/>
      </c>
      <c r="H697" s="3">
        <f>'[01_Entry.xlsx]Book'!M697</f>
        <v/>
      </c>
      <c r="I697" s="3">
        <f>'[01_Entry.xlsx]Book'!K697</f>
        <v/>
      </c>
      <c r="J697" s="3">
        <f>'[01_Entry.xlsx]Book'!P697</f>
        <v/>
      </c>
      <c r="K697" s="3">
        <f>'[01_Entry.xlsx]Book'!F697</f>
        <v/>
      </c>
      <c r="L697" s="3">
        <f>'[01_Entry.xlsx]Book'!G697</f>
        <v/>
      </c>
      <c r="M697" s="3">
        <f>'[01_Entry.xlsx]Book'!I697</f>
        <v/>
      </c>
      <c r="N697" s="2">
        <f>IF($A697="","",MID($A697,6,2))</f>
        <v>0</v>
      </c>
      <c r="O697" s="2">
        <f>IF(OR($C697="",$C697&lt;&gt;'Inv'!$D$12),"",N(O$696)+1)</f>
        <v>0</v>
      </c>
    </row>
    <row r="698" spans="1:15">
      <c r="A698" s="2">
        <f>'[01_Entry.xlsx]Book'!A698</f>
        <v/>
      </c>
      <c r="B698" s="2">
        <f>'[01_Entry.xlsx]Book'!B698</f>
        <v/>
      </c>
      <c r="C698" s="2">
        <f>'[01_Entry.xlsx]Book'!D698</f>
        <v/>
      </c>
      <c r="D698" s="2">
        <f>'[01_Entry.xlsx]Book'!E698</f>
        <v/>
      </c>
      <c r="E698" s="2">
        <f>'[01_Entry.xlsx]Book'!O698</f>
        <v/>
      </c>
      <c r="F698" s="2">
        <f>'[01_Entry.xlsx]Book'!N698</f>
        <v/>
      </c>
      <c r="G698" s="3">
        <f>'[01_Entry.xlsx]Book'!L698</f>
        <v/>
      </c>
      <c r="H698" s="3">
        <f>'[01_Entry.xlsx]Book'!M698</f>
        <v/>
      </c>
      <c r="I698" s="3">
        <f>'[01_Entry.xlsx]Book'!K698</f>
        <v/>
      </c>
      <c r="J698" s="3">
        <f>'[01_Entry.xlsx]Book'!P698</f>
        <v/>
      </c>
      <c r="K698" s="3">
        <f>'[01_Entry.xlsx]Book'!F698</f>
        <v/>
      </c>
      <c r="L698" s="3">
        <f>'[01_Entry.xlsx]Book'!G698</f>
        <v/>
      </c>
      <c r="M698" s="3">
        <f>'[01_Entry.xlsx]Book'!I698</f>
        <v/>
      </c>
      <c r="N698" s="2">
        <f>IF($A698="","",MID($A698,6,2))</f>
        <v>0</v>
      </c>
      <c r="O698" s="2">
        <f>IF(OR($C698="",$C698&lt;&gt;'Inv'!$D$12),"",N(O$697)+1)</f>
        <v>0</v>
      </c>
    </row>
    <row r="699" spans="1:15">
      <c r="A699" s="2">
        <f>'[01_Entry.xlsx]Book'!A699</f>
        <v/>
      </c>
      <c r="B699" s="2">
        <f>'[01_Entry.xlsx]Book'!B699</f>
        <v/>
      </c>
      <c r="C699" s="2">
        <f>'[01_Entry.xlsx]Book'!D699</f>
        <v/>
      </c>
      <c r="D699" s="2">
        <f>'[01_Entry.xlsx]Book'!E699</f>
        <v/>
      </c>
      <c r="E699" s="2">
        <f>'[01_Entry.xlsx]Book'!O699</f>
        <v/>
      </c>
      <c r="F699" s="2">
        <f>'[01_Entry.xlsx]Book'!N699</f>
        <v/>
      </c>
      <c r="G699" s="3">
        <f>'[01_Entry.xlsx]Book'!L699</f>
        <v/>
      </c>
      <c r="H699" s="3">
        <f>'[01_Entry.xlsx]Book'!M699</f>
        <v/>
      </c>
      <c r="I699" s="3">
        <f>'[01_Entry.xlsx]Book'!K699</f>
        <v/>
      </c>
      <c r="J699" s="3">
        <f>'[01_Entry.xlsx]Book'!P699</f>
        <v/>
      </c>
      <c r="K699" s="3">
        <f>'[01_Entry.xlsx]Book'!F699</f>
        <v/>
      </c>
      <c r="L699" s="3">
        <f>'[01_Entry.xlsx]Book'!G699</f>
        <v/>
      </c>
      <c r="M699" s="3">
        <f>'[01_Entry.xlsx]Book'!I699</f>
        <v/>
      </c>
      <c r="N699" s="2">
        <f>IF($A699="","",MID($A699,6,2))</f>
        <v>0</v>
      </c>
      <c r="O699" s="2">
        <f>IF(OR($C699="",$C699&lt;&gt;'Inv'!$D$12),"",N(O$698)+1)</f>
        <v>0</v>
      </c>
    </row>
    <row r="700" spans="1:15">
      <c r="A700" s="2">
        <f>'[01_Entry.xlsx]Book'!A700</f>
        <v/>
      </c>
      <c r="B700" s="2">
        <f>'[01_Entry.xlsx]Book'!B700</f>
        <v/>
      </c>
      <c r="C700" s="2">
        <f>'[01_Entry.xlsx]Book'!D700</f>
        <v/>
      </c>
      <c r="D700" s="2">
        <f>'[01_Entry.xlsx]Book'!E700</f>
        <v/>
      </c>
      <c r="E700" s="2">
        <f>'[01_Entry.xlsx]Book'!O700</f>
        <v/>
      </c>
      <c r="F700" s="2">
        <f>'[01_Entry.xlsx]Book'!N700</f>
        <v/>
      </c>
      <c r="G700" s="3">
        <f>'[01_Entry.xlsx]Book'!L700</f>
        <v/>
      </c>
      <c r="H700" s="3">
        <f>'[01_Entry.xlsx]Book'!M700</f>
        <v/>
      </c>
      <c r="I700" s="3">
        <f>'[01_Entry.xlsx]Book'!K700</f>
        <v/>
      </c>
      <c r="J700" s="3">
        <f>'[01_Entry.xlsx]Book'!P700</f>
        <v/>
      </c>
      <c r="K700" s="3">
        <f>'[01_Entry.xlsx]Book'!F700</f>
        <v/>
      </c>
      <c r="L700" s="3">
        <f>'[01_Entry.xlsx]Book'!G700</f>
        <v/>
      </c>
      <c r="M700" s="3">
        <f>'[01_Entry.xlsx]Book'!I700</f>
        <v/>
      </c>
      <c r="N700" s="2">
        <f>IF($A700="","",MID($A700,6,2))</f>
        <v>0</v>
      </c>
      <c r="O700" s="2">
        <f>IF(OR($C700="",$C700&lt;&gt;'Inv'!$D$12),"",N(O$699)+1)</f>
        <v>0</v>
      </c>
    </row>
    <row r="701" spans="1:15">
      <c r="A701" s="2">
        <f>'[01_Entry.xlsx]Book'!A701</f>
        <v/>
      </c>
      <c r="B701" s="2">
        <f>'[01_Entry.xlsx]Book'!B701</f>
        <v/>
      </c>
      <c r="C701" s="2">
        <f>'[01_Entry.xlsx]Book'!D701</f>
        <v/>
      </c>
      <c r="D701" s="2">
        <f>'[01_Entry.xlsx]Book'!E701</f>
        <v/>
      </c>
      <c r="E701" s="2">
        <f>'[01_Entry.xlsx]Book'!O701</f>
        <v/>
      </c>
      <c r="F701" s="2">
        <f>'[01_Entry.xlsx]Book'!N701</f>
        <v/>
      </c>
      <c r="G701" s="3">
        <f>'[01_Entry.xlsx]Book'!L701</f>
        <v/>
      </c>
      <c r="H701" s="3">
        <f>'[01_Entry.xlsx]Book'!M701</f>
        <v/>
      </c>
      <c r="I701" s="3">
        <f>'[01_Entry.xlsx]Book'!K701</f>
        <v/>
      </c>
      <c r="J701" s="3">
        <f>'[01_Entry.xlsx]Book'!P701</f>
        <v/>
      </c>
      <c r="K701" s="3">
        <f>'[01_Entry.xlsx]Book'!F701</f>
        <v/>
      </c>
      <c r="L701" s="3">
        <f>'[01_Entry.xlsx]Book'!G701</f>
        <v/>
      </c>
      <c r="M701" s="3">
        <f>'[01_Entry.xlsx]Book'!I701</f>
        <v/>
      </c>
      <c r="N701" s="2">
        <f>IF($A701="","",MID($A701,6,2))</f>
        <v>0</v>
      </c>
      <c r="O701" s="2">
        <f>IF(OR($C701="",$C701&lt;&gt;'Inv'!$D$12),"",N(O$700)+1)</f>
        <v>0</v>
      </c>
    </row>
    <row r="702" spans="1:15">
      <c r="A702" s="2">
        <f>'[01_Entry.xlsx]Book'!A702</f>
        <v/>
      </c>
      <c r="B702" s="2">
        <f>'[01_Entry.xlsx]Book'!B702</f>
        <v/>
      </c>
      <c r="C702" s="2">
        <f>'[01_Entry.xlsx]Book'!D702</f>
        <v/>
      </c>
      <c r="D702" s="2">
        <f>'[01_Entry.xlsx]Book'!E702</f>
        <v/>
      </c>
      <c r="E702" s="2">
        <f>'[01_Entry.xlsx]Book'!O702</f>
        <v/>
      </c>
      <c r="F702" s="2">
        <f>'[01_Entry.xlsx]Book'!N702</f>
        <v/>
      </c>
      <c r="G702" s="3">
        <f>'[01_Entry.xlsx]Book'!L702</f>
        <v/>
      </c>
      <c r="H702" s="3">
        <f>'[01_Entry.xlsx]Book'!M702</f>
        <v/>
      </c>
      <c r="I702" s="3">
        <f>'[01_Entry.xlsx]Book'!K702</f>
        <v/>
      </c>
      <c r="J702" s="3">
        <f>'[01_Entry.xlsx]Book'!P702</f>
        <v/>
      </c>
      <c r="K702" s="3">
        <f>'[01_Entry.xlsx]Book'!F702</f>
        <v/>
      </c>
      <c r="L702" s="3">
        <f>'[01_Entry.xlsx]Book'!G702</f>
        <v/>
      </c>
      <c r="M702" s="3">
        <f>'[01_Entry.xlsx]Book'!I702</f>
        <v/>
      </c>
      <c r="N702" s="2">
        <f>IF($A702="","",MID($A702,6,2))</f>
        <v>0</v>
      </c>
      <c r="O702" s="2">
        <f>IF(OR($C702="",$C702&lt;&gt;'Inv'!$D$12),"",N(O$701)+1)</f>
        <v>0</v>
      </c>
    </row>
    <row r="703" spans="1:15">
      <c r="A703" s="2">
        <f>'[01_Entry.xlsx]Book'!A703</f>
        <v/>
      </c>
      <c r="B703" s="2">
        <f>'[01_Entry.xlsx]Book'!B703</f>
        <v/>
      </c>
      <c r="C703" s="2">
        <f>'[01_Entry.xlsx]Book'!D703</f>
        <v/>
      </c>
      <c r="D703" s="2">
        <f>'[01_Entry.xlsx]Book'!E703</f>
        <v/>
      </c>
      <c r="E703" s="2">
        <f>'[01_Entry.xlsx]Book'!O703</f>
        <v/>
      </c>
      <c r="F703" s="2">
        <f>'[01_Entry.xlsx]Book'!N703</f>
        <v/>
      </c>
      <c r="G703" s="3">
        <f>'[01_Entry.xlsx]Book'!L703</f>
        <v/>
      </c>
      <c r="H703" s="3">
        <f>'[01_Entry.xlsx]Book'!M703</f>
        <v/>
      </c>
      <c r="I703" s="3">
        <f>'[01_Entry.xlsx]Book'!K703</f>
        <v/>
      </c>
      <c r="J703" s="3">
        <f>'[01_Entry.xlsx]Book'!P703</f>
        <v/>
      </c>
      <c r="K703" s="3">
        <f>'[01_Entry.xlsx]Book'!F703</f>
        <v/>
      </c>
      <c r="L703" s="3">
        <f>'[01_Entry.xlsx]Book'!G703</f>
        <v/>
      </c>
      <c r="M703" s="3">
        <f>'[01_Entry.xlsx]Book'!I703</f>
        <v/>
      </c>
      <c r="N703" s="2">
        <f>IF($A703="","",MID($A703,6,2))</f>
        <v>0</v>
      </c>
      <c r="O703" s="2">
        <f>IF(OR($C703="",$C703&lt;&gt;'Inv'!$D$12),"",N(O$702)+1)</f>
        <v>0</v>
      </c>
    </row>
    <row r="704" spans="1:15">
      <c r="A704" s="2">
        <f>'[01_Entry.xlsx]Book'!A704</f>
        <v/>
      </c>
      <c r="B704" s="2">
        <f>'[01_Entry.xlsx]Book'!B704</f>
        <v/>
      </c>
      <c r="C704" s="2">
        <f>'[01_Entry.xlsx]Book'!D704</f>
        <v/>
      </c>
      <c r="D704" s="2">
        <f>'[01_Entry.xlsx]Book'!E704</f>
        <v/>
      </c>
      <c r="E704" s="2">
        <f>'[01_Entry.xlsx]Book'!O704</f>
        <v/>
      </c>
      <c r="F704" s="2">
        <f>'[01_Entry.xlsx]Book'!N704</f>
        <v/>
      </c>
      <c r="G704" s="3">
        <f>'[01_Entry.xlsx]Book'!L704</f>
        <v/>
      </c>
      <c r="H704" s="3">
        <f>'[01_Entry.xlsx]Book'!M704</f>
        <v/>
      </c>
      <c r="I704" s="3">
        <f>'[01_Entry.xlsx]Book'!K704</f>
        <v/>
      </c>
      <c r="J704" s="3">
        <f>'[01_Entry.xlsx]Book'!P704</f>
        <v/>
      </c>
      <c r="K704" s="3">
        <f>'[01_Entry.xlsx]Book'!F704</f>
        <v/>
      </c>
      <c r="L704" s="3">
        <f>'[01_Entry.xlsx]Book'!G704</f>
        <v/>
      </c>
      <c r="M704" s="3">
        <f>'[01_Entry.xlsx]Book'!I704</f>
        <v/>
      </c>
      <c r="N704" s="2">
        <f>IF($A704="","",MID($A704,6,2))</f>
        <v>0</v>
      </c>
      <c r="O704" s="2">
        <f>IF(OR($C704="",$C704&lt;&gt;'Inv'!$D$12),"",N(O$703)+1)</f>
        <v>0</v>
      </c>
    </row>
    <row r="705" spans="1:15">
      <c r="A705" s="2">
        <f>'[01_Entry.xlsx]Book'!A705</f>
        <v/>
      </c>
      <c r="B705" s="2">
        <f>'[01_Entry.xlsx]Book'!B705</f>
        <v/>
      </c>
      <c r="C705" s="2">
        <f>'[01_Entry.xlsx]Book'!D705</f>
        <v/>
      </c>
      <c r="D705" s="2">
        <f>'[01_Entry.xlsx]Book'!E705</f>
        <v/>
      </c>
      <c r="E705" s="2">
        <f>'[01_Entry.xlsx]Book'!O705</f>
        <v/>
      </c>
      <c r="F705" s="2">
        <f>'[01_Entry.xlsx]Book'!N705</f>
        <v/>
      </c>
      <c r="G705" s="3">
        <f>'[01_Entry.xlsx]Book'!L705</f>
        <v/>
      </c>
      <c r="H705" s="3">
        <f>'[01_Entry.xlsx]Book'!M705</f>
        <v/>
      </c>
      <c r="I705" s="3">
        <f>'[01_Entry.xlsx]Book'!K705</f>
        <v/>
      </c>
      <c r="J705" s="3">
        <f>'[01_Entry.xlsx]Book'!P705</f>
        <v/>
      </c>
      <c r="K705" s="3">
        <f>'[01_Entry.xlsx]Book'!F705</f>
        <v/>
      </c>
      <c r="L705" s="3">
        <f>'[01_Entry.xlsx]Book'!G705</f>
        <v/>
      </c>
      <c r="M705" s="3">
        <f>'[01_Entry.xlsx]Book'!I705</f>
        <v/>
      </c>
      <c r="N705" s="2">
        <f>IF($A705="","",MID($A705,6,2))</f>
        <v>0</v>
      </c>
      <c r="O705" s="2">
        <f>IF(OR($C705="",$C705&lt;&gt;'Inv'!$D$12),"",N(O$704)+1)</f>
        <v>0</v>
      </c>
    </row>
    <row r="706" spans="1:15">
      <c r="A706" s="2">
        <f>'[01_Entry.xlsx]Book'!A706</f>
        <v/>
      </c>
      <c r="B706" s="2">
        <f>'[01_Entry.xlsx]Book'!B706</f>
        <v/>
      </c>
      <c r="C706" s="2">
        <f>'[01_Entry.xlsx]Book'!D706</f>
        <v/>
      </c>
      <c r="D706" s="2">
        <f>'[01_Entry.xlsx]Book'!E706</f>
        <v/>
      </c>
      <c r="E706" s="2">
        <f>'[01_Entry.xlsx]Book'!O706</f>
        <v/>
      </c>
      <c r="F706" s="2">
        <f>'[01_Entry.xlsx]Book'!N706</f>
        <v/>
      </c>
      <c r="G706" s="3">
        <f>'[01_Entry.xlsx]Book'!L706</f>
        <v/>
      </c>
      <c r="H706" s="3">
        <f>'[01_Entry.xlsx]Book'!M706</f>
        <v/>
      </c>
      <c r="I706" s="3">
        <f>'[01_Entry.xlsx]Book'!K706</f>
        <v/>
      </c>
      <c r="J706" s="3">
        <f>'[01_Entry.xlsx]Book'!P706</f>
        <v/>
      </c>
      <c r="K706" s="3">
        <f>'[01_Entry.xlsx]Book'!F706</f>
        <v/>
      </c>
      <c r="L706" s="3">
        <f>'[01_Entry.xlsx]Book'!G706</f>
        <v/>
      </c>
      <c r="M706" s="3">
        <f>'[01_Entry.xlsx]Book'!I706</f>
        <v/>
      </c>
      <c r="N706" s="2">
        <f>IF($A706="","",MID($A706,6,2))</f>
        <v>0</v>
      </c>
      <c r="O706" s="2">
        <f>IF(OR($C706="",$C706&lt;&gt;'Inv'!$D$12),"",N(O$705)+1)</f>
        <v>0</v>
      </c>
    </row>
    <row r="707" spans="1:15">
      <c r="A707" s="2">
        <f>'[01_Entry.xlsx]Book'!A707</f>
        <v/>
      </c>
      <c r="B707" s="2">
        <f>'[01_Entry.xlsx]Book'!B707</f>
        <v/>
      </c>
      <c r="C707" s="2">
        <f>'[01_Entry.xlsx]Book'!D707</f>
        <v/>
      </c>
      <c r="D707" s="2">
        <f>'[01_Entry.xlsx]Book'!E707</f>
        <v/>
      </c>
      <c r="E707" s="2">
        <f>'[01_Entry.xlsx]Book'!O707</f>
        <v/>
      </c>
      <c r="F707" s="2">
        <f>'[01_Entry.xlsx]Book'!N707</f>
        <v/>
      </c>
      <c r="G707" s="3">
        <f>'[01_Entry.xlsx]Book'!L707</f>
        <v/>
      </c>
      <c r="H707" s="3">
        <f>'[01_Entry.xlsx]Book'!M707</f>
        <v/>
      </c>
      <c r="I707" s="3">
        <f>'[01_Entry.xlsx]Book'!K707</f>
        <v/>
      </c>
      <c r="J707" s="3">
        <f>'[01_Entry.xlsx]Book'!P707</f>
        <v/>
      </c>
      <c r="K707" s="3">
        <f>'[01_Entry.xlsx]Book'!F707</f>
        <v/>
      </c>
      <c r="L707" s="3">
        <f>'[01_Entry.xlsx]Book'!G707</f>
        <v/>
      </c>
      <c r="M707" s="3">
        <f>'[01_Entry.xlsx]Book'!I707</f>
        <v/>
      </c>
      <c r="N707" s="2">
        <f>IF($A707="","",MID($A707,6,2))</f>
        <v>0</v>
      </c>
      <c r="O707" s="2">
        <f>IF(OR($C707="",$C707&lt;&gt;'Inv'!$D$12),"",N(O$706)+1)</f>
        <v>0</v>
      </c>
    </row>
    <row r="708" spans="1:15">
      <c r="A708" s="2">
        <f>'[01_Entry.xlsx]Book'!A708</f>
        <v/>
      </c>
      <c r="B708" s="2">
        <f>'[01_Entry.xlsx]Book'!B708</f>
        <v/>
      </c>
      <c r="C708" s="2">
        <f>'[01_Entry.xlsx]Book'!D708</f>
        <v/>
      </c>
      <c r="D708" s="2">
        <f>'[01_Entry.xlsx]Book'!E708</f>
        <v/>
      </c>
      <c r="E708" s="2">
        <f>'[01_Entry.xlsx]Book'!O708</f>
        <v/>
      </c>
      <c r="F708" s="2">
        <f>'[01_Entry.xlsx]Book'!N708</f>
        <v/>
      </c>
      <c r="G708" s="3">
        <f>'[01_Entry.xlsx]Book'!L708</f>
        <v/>
      </c>
      <c r="H708" s="3">
        <f>'[01_Entry.xlsx]Book'!M708</f>
        <v/>
      </c>
      <c r="I708" s="3">
        <f>'[01_Entry.xlsx]Book'!K708</f>
        <v/>
      </c>
      <c r="J708" s="3">
        <f>'[01_Entry.xlsx]Book'!P708</f>
        <v/>
      </c>
      <c r="K708" s="3">
        <f>'[01_Entry.xlsx]Book'!F708</f>
        <v/>
      </c>
      <c r="L708" s="3">
        <f>'[01_Entry.xlsx]Book'!G708</f>
        <v/>
      </c>
      <c r="M708" s="3">
        <f>'[01_Entry.xlsx]Book'!I708</f>
        <v/>
      </c>
      <c r="N708" s="2">
        <f>IF($A708="","",MID($A708,6,2))</f>
        <v>0</v>
      </c>
      <c r="O708" s="2">
        <f>IF(OR($C708="",$C708&lt;&gt;'Inv'!$D$12),"",N(O$707)+1)</f>
        <v>0</v>
      </c>
    </row>
    <row r="709" spans="1:15">
      <c r="A709" s="2">
        <f>'[01_Entry.xlsx]Book'!A709</f>
        <v/>
      </c>
      <c r="B709" s="2">
        <f>'[01_Entry.xlsx]Book'!B709</f>
        <v/>
      </c>
      <c r="C709" s="2">
        <f>'[01_Entry.xlsx]Book'!D709</f>
        <v/>
      </c>
      <c r="D709" s="2">
        <f>'[01_Entry.xlsx]Book'!E709</f>
        <v/>
      </c>
      <c r="E709" s="2">
        <f>'[01_Entry.xlsx]Book'!O709</f>
        <v/>
      </c>
      <c r="F709" s="2">
        <f>'[01_Entry.xlsx]Book'!N709</f>
        <v/>
      </c>
      <c r="G709" s="3">
        <f>'[01_Entry.xlsx]Book'!L709</f>
        <v/>
      </c>
      <c r="H709" s="3">
        <f>'[01_Entry.xlsx]Book'!M709</f>
        <v/>
      </c>
      <c r="I709" s="3">
        <f>'[01_Entry.xlsx]Book'!K709</f>
        <v/>
      </c>
      <c r="J709" s="3">
        <f>'[01_Entry.xlsx]Book'!P709</f>
        <v/>
      </c>
      <c r="K709" s="3">
        <f>'[01_Entry.xlsx]Book'!F709</f>
        <v/>
      </c>
      <c r="L709" s="3">
        <f>'[01_Entry.xlsx]Book'!G709</f>
        <v/>
      </c>
      <c r="M709" s="3">
        <f>'[01_Entry.xlsx]Book'!I709</f>
        <v/>
      </c>
      <c r="N709" s="2">
        <f>IF($A709="","",MID($A709,6,2))</f>
        <v>0</v>
      </c>
      <c r="O709" s="2">
        <f>IF(OR($C709="",$C709&lt;&gt;'Inv'!$D$12),"",N(O$708)+1)</f>
        <v>0</v>
      </c>
    </row>
    <row r="710" spans="1:15">
      <c r="A710" s="2">
        <f>'[01_Entry.xlsx]Book'!A710</f>
        <v/>
      </c>
      <c r="B710" s="2">
        <f>'[01_Entry.xlsx]Book'!B710</f>
        <v/>
      </c>
      <c r="C710" s="2">
        <f>'[01_Entry.xlsx]Book'!D710</f>
        <v/>
      </c>
      <c r="D710" s="2">
        <f>'[01_Entry.xlsx]Book'!E710</f>
        <v/>
      </c>
      <c r="E710" s="2">
        <f>'[01_Entry.xlsx]Book'!O710</f>
        <v/>
      </c>
      <c r="F710" s="2">
        <f>'[01_Entry.xlsx]Book'!N710</f>
        <v/>
      </c>
      <c r="G710" s="3">
        <f>'[01_Entry.xlsx]Book'!L710</f>
        <v/>
      </c>
      <c r="H710" s="3">
        <f>'[01_Entry.xlsx]Book'!M710</f>
        <v/>
      </c>
      <c r="I710" s="3">
        <f>'[01_Entry.xlsx]Book'!K710</f>
        <v/>
      </c>
      <c r="J710" s="3">
        <f>'[01_Entry.xlsx]Book'!P710</f>
        <v/>
      </c>
      <c r="K710" s="3">
        <f>'[01_Entry.xlsx]Book'!F710</f>
        <v/>
      </c>
      <c r="L710" s="3">
        <f>'[01_Entry.xlsx]Book'!G710</f>
        <v/>
      </c>
      <c r="M710" s="3">
        <f>'[01_Entry.xlsx]Book'!I710</f>
        <v/>
      </c>
      <c r="N710" s="2">
        <f>IF($A710="","",MID($A710,6,2))</f>
        <v>0</v>
      </c>
      <c r="O710" s="2">
        <f>IF(OR($C710="",$C710&lt;&gt;'Inv'!$D$12),"",N(O$709)+1)</f>
        <v>0</v>
      </c>
    </row>
    <row r="711" spans="1:15">
      <c r="A711" s="2">
        <f>'[01_Entry.xlsx]Book'!A711</f>
        <v/>
      </c>
      <c r="B711" s="2">
        <f>'[01_Entry.xlsx]Book'!B711</f>
        <v/>
      </c>
      <c r="C711" s="2">
        <f>'[01_Entry.xlsx]Book'!D711</f>
        <v/>
      </c>
      <c r="D711" s="2">
        <f>'[01_Entry.xlsx]Book'!E711</f>
        <v/>
      </c>
      <c r="E711" s="2">
        <f>'[01_Entry.xlsx]Book'!O711</f>
        <v/>
      </c>
      <c r="F711" s="2">
        <f>'[01_Entry.xlsx]Book'!N711</f>
        <v/>
      </c>
      <c r="G711" s="3">
        <f>'[01_Entry.xlsx]Book'!L711</f>
        <v/>
      </c>
      <c r="H711" s="3">
        <f>'[01_Entry.xlsx]Book'!M711</f>
        <v/>
      </c>
      <c r="I711" s="3">
        <f>'[01_Entry.xlsx]Book'!K711</f>
        <v/>
      </c>
      <c r="J711" s="3">
        <f>'[01_Entry.xlsx]Book'!P711</f>
        <v/>
      </c>
      <c r="K711" s="3">
        <f>'[01_Entry.xlsx]Book'!F711</f>
        <v/>
      </c>
      <c r="L711" s="3">
        <f>'[01_Entry.xlsx]Book'!G711</f>
        <v/>
      </c>
      <c r="M711" s="3">
        <f>'[01_Entry.xlsx]Book'!I711</f>
        <v/>
      </c>
      <c r="N711" s="2">
        <f>IF($A711="","",MID($A711,6,2))</f>
        <v>0</v>
      </c>
      <c r="O711" s="2">
        <f>IF(OR($C711="",$C711&lt;&gt;'Inv'!$D$12),"",N(O$710)+1)</f>
        <v>0</v>
      </c>
    </row>
    <row r="712" spans="1:15">
      <c r="A712" s="2">
        <f>'[01_Entry.xlsx]Book'!A712</f>
        <v/>
      </c>
      <c r="B712" s="2">
        <f>'[01_Entry.xlsx]Book'!B712</f>
        <v/>
      </c>
      <c r="C712" s="2">
        <f>'[01_Entry.xlsx]Book'!D712</f>
        <v/>
      </c>
      <c r="D712" s="2">
        <f>'[01_Entry.xlsx]Book'!E712</f>
        <v/>
      </c>
      <c r="E712" s="2">
        <f>'[01_Entry.xlsx]Book'!O712</f>
        <v/>
      </c>
      <c r="F712" s="2">
        <f>'[01_Entry.xlsx]Book'!N712</f>
        <v/>
      </c>
      <c r="G712" s="3">
        <f>'[01_Entry.xlsx]Book'!L712</f>
        <v/>
      </c>
      <c r="H712" s="3">
        <f>'[01_Entry.xlsx]Book'!M712</f>
        <v/>
      </c>
      <c r="I712" s="3">
        <f>'[01_Entry.xlsx]Book'!K712</f>
        <v/>
      </c>
      <c r="J712" s="3">
        <f>'[01_Entry.xlsx]Book'!P712</f>
        <v/>
      </c>
      <c r="K712" s="3">
        <f>'[01_Entry.xlsx]Book'!F712</f>
        <v/>
      </c>
      <c r="L712" s="3">
        <f>'[01_Entry.xlsx]Book'!G712</f>
        <v/>
      </c>
      <c r="M712" s="3">
        <f>'[01_Entry.xlsx]Book'!I712</f>
        <v/>
      </c>
      <c r="N712" s="2">
        <f>IF($A712="","",MID($A712,6,2))</f>
        <v>0</v>
      </c>
      <c r="O712" s="2">
        <f>IF(OR($C712="",$C712&lt;&gt;'Inv'!$D$12),"",N(O$711)+1)</f>
        <v>0</v>
      </c>
    </row>
    <row r="713" spans="1:15">
      <c r="A713" s="2">
        <f>'[01_Entry.xlsx]Book'!A713</f>
        <v/>
      </c>
      <c r="B713" s="2">
        <f>'[01_Entry.xlsx]Book'!B713</f>
        <v/>
      </c>
      <c r="C713" s="2">
        <f>'[01_Entry.xlsx]Book'!D713</f>
        <v/>
      </c>
      <c r="D713" s="2">
        <f>'[01_Entry.xlsx]Book'!E713</f>
        <v/>
      </c>
      <c r="E713" s="2">
        <f>'[01_Entry.xlsx]Book'!O713</f>
        <v/>
      </c>
      <c r="F713" s="2">
        <f>'[01_Entry.xlsx]Book'!N713</f>
        <v/>
      </c>
      <c r="G713" s="3">
        <f>'[01_Entry.xlsx]Book'!L713</f>
        <v/>
      </c>
      <c r="H713" s="3">
        <f>'[01_Entry.xlsx]Book'!M713</f>
        <v/>
      </c>
      <c r="I713" s="3">
        <f>'[01_Entry.xlsx]Book'!K713</f>
        <v/>
      </c>
      <c r="J713" s="3">
        <f>'[01_Entry.xlsx]Book'!P713</f>
        <v/>
      </c>
      <c r="K713" s="3">
        <f>'[01_Entry.xlsx]Book'!F713</f>
        <v/>
      </c>
      <c r="L713" s="3">
        <f>'[01_Entry.xlsx]Book'!G713</f>
        <v/>
      </c>
      <c r="M713" s="3">
        <f>'[01_Entry.xlsx]Book'!I713</f>
        <v/>
      </c>
      <c r="N713" s="2">
        <f>IF($A713="","",MID($A713,6,2))</f>
        <v>0</v>
      </c>
      <c r="O713" s="2">
        <f>IF(OR($C713="",$C713&lt;&gt;'Inv'!$D$12),"",N(O$712)+1)</f>
        <v>0</v>
      </c>
    </row>
    <row r="714" spans="1:15">
      <c r="A714" s="2">
        <f>'[01_Entry.xlsx]Book'!A714</f>
        <v/>
      </c>
      <c r="B714" s="2">
        <f>'[01_Entry.xlsx]Book'!B714</f>
        <v/>
      </c>
      <c r="C714" s="2">
        <f>'[01_Entry.xlsx]Book'!D714</f>
        <v/>
      </c>
      <c r="D714" s="2">
        <f>'[01_Entry.xlsx]Book'!E714</f>
        <v/>
      </c>
      <c r="E714" s="2">
        <f>'[01_Entry.xlsx]Book'!O714</f>
        <v/>
      </c>
      <c r="F714" s="2">
        <f>'[01_Entry.xlsx]Book'!N714</f>
        <v/>
      </c>
      <c r="G714" s="3">
        <f>'[01_Entry.xlsx]Book'!L714</f>
        <v/>
      </c>
      <c r="H714" s="3">
        <f>'[01_Entry.xlsx]Book'!M714</f>
        <v/>
      </c>
      <c r="I714" s="3">
        <f>'[01_Entry.xlsx]Book'!K714</f>
        <v/>
      </c>
      <c r="J714" s="3">
        <f>'[01_Entry.xlsx]Book'!P714</f>
        <v/>
      </c>
      <c r="K714" s="3">
        <f>'[01_Entry.xlsx]Book'!F714</f>
        <v/>
      </c>
      <c r="L714" s="3">
        <f>'[01_Entry.xlsx]Book'!G714</f>
        <v/>
      </c>
      <c r="M714" s="3">
        <f>'[01_Entry.xlsx]Book'!I714</f>
        <v/>
      </c>
      <c r="N714" s="2">
        <f>IF($A714="","",MID($A714,6,2))</f>
        <v>0</v>
      </c>
      <c r="O714" s="2">
        <f>IF(OR($C714="",$C714&lt;&gt;'Inv'!$D$12),"",N(O$713)+1)</f>
        <v>0</v>
      </c>
    </row>
    <row r="715" spans="1:15">
      <c r="A715" s="2">
        <f>'[01_Entry.xlsx]Book'!A715</f>
        <v/>
      </c>
      <c r="B715" s="2">
        <f>'[01_Entry.xlsx]Book'!B715</f>
        <v/>
      </c>
      <c r="C715" s="2">
        <f>'[01_Entry.xlsx]Book'!D715</f>
        <v/>
      </c>
      <c r="D715" s="2">
        <f>'[01_Entry.xlsx]Book'!E715</f>
        <v/>
      </c>
      <c r="E715" s="2">
        <f>'[01_Entry.xlsx]Book'!O715</f>
        <v/>
      </c>
      <c r="F715" s="2">
        <f>'[01_Entry.xlsx]Book'!N715</f>
        <v/>
      </c>
      <c r="G715" s="3">
        <f>'[01_Entry.xlsx]Book'!L715</f>
        <v/>
      </c>
      <c r="H715" s="3">
        <f>'[01_Entry.xlsx]Book'!M715</f>
        <v/>
      </c>
      <c r="I715" s="3">
        <f>'[01_Entry.xlsx]Book'!K715</f>
        <v/>
      </c>
      <c r="J715" s="3">
        <f>'[01_Entry.xlsx]Book'!P715</f>
        <v/>
      </c>
      <c r="K715" s="3">
        <f>'[01_Entry.xlsx]Book'!F715</f>
        <v/>
      </c>
      <c r="L715" s="3">
        <f>'[01_Entry.xlsx]Book'!G715</f>
        <v/>
      </c>
      <c r="M715" s="3">
        <f>'[01_Entry.xlsx]Book'!I715</f>
        <v/>
      </c>
      <c r="N715" s="2">
        <f>IF($A715="","",MID($A715,6,2))</f>
        <v>0</v>
      </c>
      <c r="O715" s="2">
        <f>IF(OR($C715="",$C715&lt;&gt;'Inv'!$D$12),"",N(O$714)+1)</f>
        <v>0</v>
      </c>
    </row>
    <row r="716" spans="1:15">
      <c r="A716" s="2">
        <f>'[01_Entry.xlsx]Book'!A716</f>
        <v/>
      </c>
      <c r="B716" s="2">
        <f>'[01_Entry.xlsx]Book'!B716</f>
        <v/>
      </c>
      <c r="C716" s="2">
        <f>'[01_Entry.xlsx]Book'!D716</f>
        <v/>
      </c>
      <c r="D716" s="2">
        <f>'[01_Entry.xlsx]Book'!E716</f>
        <v/>
      </c>
      <c r="E716" s="2">
        <f>'[01_Entry.xlsx]Book'!O716</f>
        <v/>
      </c>
      <c r="F716" s="2">
        <f>'[01_Entry.xlsx]Book'!N716</f>
        <v/>
      </c>
      <c r="G716" s="3">
        <f>'[01_Entry.xlsx]Book'!L716</f>
        <v/>
      </c>
      <c r="H716" s="3">
        <f>'[01_Entry.xlsx]Book'!M716</f>
        <v/>
      </c>
      <c r="I716" s="3">
        <f>'[01_Entry.xlsx]Book'!K716</f>
        <v/>
      </c>
      <c r="J716" s="3">
        <f>'[01_Entry.xlsx]Book'!P716</f>
        <v/>
      </c>
      <c r="K716" s="3">
        <f>'[01_Entry.xlsx]Book'!F716</f>
        <v/>
      </c>
      <c r="L716" s="3">
        <f>'[01_Entry.xlsx]Book'!G716</f>
        <v/>
      </c>
      <c r="M716" s="3">
        <f>'[01_Entry.xlsx]Book'!I716</f>
        <v/>
      </c>
      <c r="N716" s="2">
        <f>IF($A716="","",MID($A716,6,2))</f>
        <v>0</v>
      </c>
      <c r="O716" s="2">
        <f>IF(OR($C716="",$C716&lt;&gt;'Inv'!$D$12),"",N(O$715)+1)</f>
        <v>0</v>
      </c>
    </row>
    <row r="717" spans="1:15">
      <c r="A717" s="2">
        <f>'[01_Entry.xlsx]Book'!A717</f>
        <v/>
      </c>
      <c r="B717" s="2">
        <f>'[01_Entry.xlsx]Book'!B717</f>
        <v/>
      </c>
      <c r="C717" s="2">
        <f>'[01_Entry.xlsx]Book'!D717</f>
        <v/>
      </c>
      <c r="D717" s="2">
        <f>'[01_Entry.xlsx]Book'!E717</f>
        <v/>
      </c>
      <c r="E717" s="2">
        <f>'[01_Entry.xlsx]Book'!O717</f>
        <v/>
      </c>
      <c r="F717" s="2">
        <f>'[01_Entry.xlsx]Book'!N717</f>
        <v/>
      </c>
      <c r="G717" s="3">
        <f>'[01_Entry.xlsx]Book'!L717</f>
        <v/>
      </c>
      <c r="H717" s="3">
        <f>'[01_Entry.xlsx]Book'!M717</f>
        <v/>
      </c>
      <c r="I717" s="3">
        <f>'[01_Entry.xlsx]Book'!K717</f>
        <v/>
      </c>
      <c r="J717" s="3">
        <f>'[01_Entry.xlsx]Book'!P717</f>
        <v/>
      </c>
      <c r="K717" s="3">
        <f>'[01_Entry.xlsx]Book'!F717</f>
        <v/>
      </c>
      <c r="L717" s="3">
        <f>'[01_Entry.xlsx]Book'!G717</f>
        <v/>
      </c>
      <c r="M717" s="3">
        <f>'[01_Entry.xlsx]Book'!I717</f>
        <v/>
      </c>
      <c r="N717" s="2">
        <f>IF($A717="","",MID($A717,6,2))</f>
        <v>0</v>
      </c>
      <c r="O717" s="2">
        <f>IF(OR($C717="",$C717&lt;&gt;'Inv'!$D$12),"",N(O$716)+1)</f>
        <v>0</v>
      </c>
    </row>
    <row r="718" spans="1:15">
      <c r="A718" s="2">
        <f>'[01_Entry.xlsx]Book'!A718</f>
        <v/>
      </c>
      <c r="B718" s="2">
        <f>'[01_Entry.xlsx]Book'!B718</f>
        <v/>
      </c>
      <c r="C718" s="2">
        <f>'[01_Entry.xlsx]Book'!D718</f>
        <v/>
      </c>
      <c r="D718" s="2">
        <f>'[01_Entry.xlsx]Book'!E718</f>
        <v/>
      </c>
      <c r="E718" s="2">
        <f>'[01_Entry.xlsx]Book'!O718</f>
        <v/>
      </c>
      <c r="F718" s="2">
        <f>'[01_Entry.xlsx]Book'!N718</f>
        <v/>
      </c>
      <c r="G718" s="3">
        <f>'[01_Entry.xlsx]Book'!L718</f>
        <v/>
      </c>
      <c r="H718" s="3">
        <f>'[01_Entry.xlsx]Book'!M718</f>
        <v/>
      </c>
      <c r="I718" s="3">
        <f>'[01_Entry.xlsx]Book'!K718</f>
        <v/>
      </c>
      <c r="J718" s="3">
        <f>'[01_Entry.xlsx]Book'!P718</f>
        <v/>
      </c>
      <c r="K718" s="3">
        <f>'[01_Entry.xlsx]Book'!F718</f>
        <v/>
      </c>
      <c r="L718" s="3">
        <f>'[01_Entry.xlsx]Book'!G718</f>
        <v/>
      </c>
      <c r="M718" s="3">
        <f>'[01_Entry.xlsx]Book'!I718</f>
        <v/>
      </c>
      <c r="N718" s="2">
        <f>IF($A718="","",MID($A718,6,2))</f>
        <v>0</v>
      </c>
      <c r="O718" s="2">
        <f>IF(OR($C718="",$C718&lt;&gt;'Inv'!$D$12),"",N(O$717)+1)</f>
        <v>0</v>
      </c>
    </row>
    <row r="719" spans="1:15">
      <c r="A719" s="2">
        <f>'[01_Entry.xlsx]Book'!A719</f>
        <v/>
      </c>
      <c r="B719" s="2">
        <f>'[01_Entry.xlsx]Book'!B719</f>
        <v/>
      </c>
      <c r="C719" s="2">
        <f>'[01_Entry.xlsx]Book'!D719</f>
        <v/>
      </c>
      <c r="D719" s="2">
        <f>'[01_Entry.xlsx]Book'!E719</f>
        <v/>
      </c>
      <c r="E719" s="2">
        <f>'[01_Entry.xlsx]Book'!O719</f>
        <v/>
      </c>
      <c r="F719" s="2">
        <f>'[01_Entry.xlsx]Book'!N719</f>
        <v/>
      </c>
      <c r="G719" s="3">
        <f>'[01_Entry.xlsx]Book'!L719</f>
        <v/>
      </c>
      <c r="H719" s="3">
        <f>'[01_Entry.xlsx]Book'!M719</f>
        <v/>
      </c>
      <c r="I719" s="3">
        <f>'[01_Entry.xlsx]Book'!K719</f>
        <v/>
      </c>
      <c r="J719" s="3">
        <f>'[01_Entry.xlsx]Book'!P719</f>
        <v/>
      </c>
      <c r="K719" s="3">
        <f>'[01_Entry.xlsx]Book'!F719</f>
        <v/>
      </c>
      <c r="L719" s="3">
        <f>'[01_Entry.xlsx]Book'!G719</f>
        <v/>
      </c>
      <c r="M719" s="3">
        <f>'[01_Entry.xlsx]Book'!I719</f>
        <v/>
      </c>
      <c r="N719" s="2">
        <f>IF($A719="","",MID($A719,6,2))</f>
        <v>0</v>
      </c>
      <c r="O719" s="2">
        <f>IF(OR($C719="",$C719&lt;&gt;'Inv'!$D$12),"",N(O$718)+1)</f>
        <v>0</v>
      </c>
    </row>
    <row r="720" spans="1:15">
      <c r="A720" s="2">
        <f>'[01_Entry.xlsx]Book'!A720</f>
        <v/>
      </c>
      <c r="B720" s="2">
        <f>'[01_Entry.xlsx]Book'!B720</f>
        <v/>
      </c>
      <c r="C720" s="2">
        <f>'[01_Entry.xlsx]Book'!D720</f>
        <v/>
      </c>
      <c r="D720" s="2">
        <f>'[01_Entry.xlsx]Book'!E720</f>
        <v/>
      </c>
      <c r="E720" s="2">
        <f>'[01_Entry.xlsx]Book'!O720</f>
        <v/>
      </c>
      <c r="F720" s="2">
        <f>'[01_Entry.xlsx]Book'!N720</f>
        <v/>
      </c>
      <c r="G720" s="3">
        <f>'[01_Entry.xlsx]Book'!L720</f>
        <v/>
      </c>
      <c r="H720" s="3">
        <f>'[01_Entry.xlsx]Book'!M720</f>
        <v/>
      </c>
      <c r="I720" s="3">
        <f>'[01_Entry.xlsx]Book'!K720</f>
        <v/>
      </c>
      <c r="J720" s="3">
        <f>'[01_Entry.xlsx]Book'!P720</f>
        <v/>
      </c>
      <c r="K720" s="3">
        <f>'[01_Entry.xlsx]Book'!F720</f>
        <v/>
      </c>
      <c r="L720" s="3">
        <f>'[01_Entry.xlsx]Book'!G720</f>
        <v/>
      </c>
      <c r="M720" s="3">
        <f>'[01_Entry.xlsx]Book'!I720</f>
        <v/>
      </c>
      <c r="N720" s="2">
        <f>IF($A720="","",MID($A720,6,2))</f>
        <v>0</v>
      </c>
      <c r="O720" s="2">
        <f>IF(OR($C720="",$C720&lt;&gt;'Inv'!$D$12),"",N(O$719)+1)</f>
        <v>0</v>
      </c>
    </row>
    <row r="721" spans="1:15">
      <c r="A721" s="2">
        <f>'[01_Entry.xlsx]Book'!A721</f>
        <v/>
      </c>
      <c r="B721" s="2">
        <f>'[01_Entry.xlsx]Book'!B721</f>
        <v/>
      </c>
      <c r="C721" s="2">
        <f>'[01_Entry.xlsx]Book'!D721</f>
        <v/>
      </c>
      <c r="D721" s="2">
        <f>'[01_Entry.xlsx]Book'!E721</f>
        <v/>
      </c>
      <c r="E721" s="2">
        <f>'[01_Entry.xlsx]Book'!O721</f>
        <v/>
      </c>
      <c r="F721" s="2">
        <f>'[01_Entry.xlsx]Book'!N721</f>
        <v/>
      </c>
      <c r="G721" s="3">
        <f>'[01_Entry.xlsx]Book'!L721</f>
        <v/>
      </c>
      <c r="H721" s="3">
        <f>'[01_Entry.xlsx]Book'!M721</f>
        <v/>
      </c>
      <c r="I721" s="3">
        <f>'[01_Entry.xlsx]Book'!K721</f>
        <v/>
      </c>
      <c r="J721" s="3">
        <f>'[01_Entry.xlsx]Book'!P721</f>
        <v/>
      </c>
      <c r="K721" s="3">
        <f>'[01_Entry.xlsx]Book'!F721</f>
        <v/>
      </c>
      <c r="L721" s="3">
        <f>'[01_Entry.xlsx]Book'!G721</f>
        <v/>
      </c>
      <c r="M721" s="3">
        <f>'[01_Entry.xlsx]Book'!I721</f>
        <v/>
      </c>
      <c r="N721" s="2">
        <f>IF($A721="","",MID($A721,6,2))</f>
        <v>0</v>
      </c>
      <c r="O721" s="2">
        <f>IF(OR($C721="",$C721&lt;&gt;'Inv'!$D$12),"",N(O$720)+1)</f>
        <v>0</v>
      </c>
    </row>
    <row r="722" spans="1:15">
      <c r="A722" s="2">
        <f>'[01_Entry.xlsx]Book'!A722</f>
        <v/>
      </c>
      <c r="B722" s="2">
        <f>'[01_Entry.xlsx]Book'!B722</f>
        <v/>
      </c>
      <c r="C722" s="2">
        <f>'[01_Entry.xlsx]Book'!D722</f>
        <v/>
      </c>
      <c r="D722" s="2">
        <f>'[01_Entry.xlsx]Book'!E722</f>
        <v/>
      </c>
      <c r="E722" s="2">
        <f>'[01_Entry.xlsx]Book'!O722</f>
        <v/>
      </c>
      <c r="F722" s="2">
        <f>'[01_Entry.xlsx]Book'!N722</f>
        <v/>
      </c>
      <c r="G722" s="3">
        <f>'[01_Entry.xlsx]Book'!L722</f>
        <v/>
      </c>
      <c r="H722" s="3">
        <f>'[01_Entry.xlsx]Book'!M722</f>
        <v/>
      </c>
      <c r="I722" s="3">
        <f>'[01_Entry.xlsx]Book'!K722</f>
        <v/>
      </c>
      <c r="J722" s="3">
        <f>'[01_Entry.xlsx]Book'!P722</f>
        <v/>
      </c>
      <c r="K722" s="3">
        <f>'[01_Entry.xlsx]Book'!F722</f>
        <v/>
      </c>
      <c r="L722" s="3">
        <f>'[01_Entry.xlsx]Book'!G722</f>
        <v/>
      </c>
      <c r="M722" s="3">
        <f>'[01_Entry.xlsx]Book'!I722</f>
        <v/>
      </c>
      <c r="N722" s="2">
        <f>IF($A722="","",MID($A722,6,2))</f>
        <v>0</v>
      </c>
      <c r="O722" s="2">
        <f>IF(OR($C722="",$C722&lt;&gt;'Inv'!$D$12),"",N(O$721)+1)</f>
        <v>0</v>
      </c>
    </row>
    <row r="723" spans="1:15">
      <c r="A723" s="2">
        <f>'[01_Entry.xlsx]Book'!A723</f>
        <v/>
      </c>
      <c r="B723" s="2">
        <f>'[01_Entry.xlsx]Book'!B723</f>
        <v/>
      </c>
      <c r="C723" s="2">
        <f>'[01_Entry.xlsx]Book'!D723</f>
        <v/>
      </c>
      <c r="D723" s="2">
        <f>'[01_Entry.xlsx]Book'!E723</f>
        <v/>
      </c>
      <c r="E723" s="2">
        <f>'[01_Entry.xlsx]Book'!O723</f>
        <v/>
      </c>
      <c r="F723" s="2">
        <f>'[01_Entry.xlsx]Book'!N723</f>
        <v/>
      </c>
      <c r="G723" s="3">
        <f>'[01_Entry.xlsx]Book'!L723</f>
        <v/>
      </c>
      <c r="H723" s="3">
        <f>'[01_Entry.xlsx]Book'!M723</f>
        <v/>
      </c>
      <c r="I723" s="3">
        <f>'[01_Entry.xlsx]Book'!K723</f>
        <v/>
      </c>
      <c r="J723" s="3">
        <f>'[01_Entry.xlsx]Book'!P723</f>
        <v/>
      </c>
      <c r="K723" s="3">
        <f>'[01_Entry.xlsx]Book'!F723</f>
        <v/>
      </c>
      <c r="L723" s="3">
        <f>'[01_Entry.xlsx]Book'!G723</f>
        <v/>
      </c>
      <c r="M723" s="3">
        <f>'[01_Entry.xlsx]Book'!I723</f>
        <v/>
      </c>
      <c r="N723" s="2">
        <f>IF($A723="","",MID($A723,6,2))</f>
        <v>0</v>
      </c>
      <c r="O723" s="2">
        <f>IF(OR($C723="",$C723&lt;&gt;'Inv'!$D$12),"",N(O$722)+1)</f>
        <v>0</v>
      </c>
    </row>
    <row r="724" spans="1:15">
      <c r="A724" s="2">
        <f>'[01_Entry.xlsx]Book'!A724</f>
        <v/>
      </c>
      <c r="B724" s="2">
        <f>'[01_Entry.xlsx]Book'!B724</f>
        <v/>
      </c>
      <c r="C724" s="2">
        <f>'[01_Entry.xlsx]Book'!D724</f>
        <v/>
      </c>
      <c r="D724" s="2">
        <f>'[01_Entry.xlsx]Book'!E724</f>
        <v/>
      </c>
      <c r="E724" s="2">
        <f>'[01_Entry.xlsx]Book'!O724</f>
        <v/>
      </c>
      <c r="F724" s="2">
        <f>'[01_Entry.xlsx]Book'!N724</f>
        <v/>
      </c>
      <c r="G724" s="3">
        <f>'[01_Entry.xlsx]Book'!L724</f>
        <v/>
      </c>
      <c r="H724" s="3">
        <f>'[01_Entry.xlsx]Book'!M724</f>
        <v/>
      </c>
      <c r="I724" s="3">
        <f>'[01_Entry.xlsx]Book'!K724</f>
        <v/>
      </c>
      <c r="J724" s="3">
        <f>'[01_Entry.xlsx]Book'!P724</f>
        <v/>
      </c>
      <c r="K724" s="3">
        <f>'[01_Entry.xlsx]Book'!F724</f>
        <v/>
      </c>
      <c r="L724" s="3">
        <f>'[01_Entry.xlsx]Book'!G724</f>
        <v/>
      </c>
      <c r="M724" s="3">
        <f>'[01_Entry.xlsx]Book'!I724</f>
        <v/>
      </c>
      <c r="N724" s="2">
        <f>IF($A724="","",MID($A724,6,2))</f>
        <v>0</v>
      </c>
      <c r="O724" s="2">
        <f>IF(OR($C724="",$C724&lt;&gt;'Inv'!$D$12),"",N(O$723)+1)</f>
        <v>0</v>
      </c>
    </row>
    <row r="725" spans="1:15">
      <c r="A725" s="2">
        <f>'[01_Entry.xlsx]Book'!A725</f>
        <v/>
      </c>
      <c r="B725" s="2">
        <f>'[01_Entry.xlsx]Book'!B725</f>
        <v/>
      </c>
      <c r="C725" s="2">
        <f>'[01_Entry.xlsx]Book'!D725</f>
        <v/>
      </c>
      <c r="D725" s="2">
        <f>'[01_Entry.xlsx]Book'!E725</f>
        <v/>
      </c>
      <c r="E725" s="2">
        <f>'[01_Entry.xlsx]Book'!O725</f>
        <v/>
      </c>
      <c r="F725" s="2">
        <f>'[01_Entry.xlsx]Book'!N725</f>
        <v/>
      </c>
      <c r="G725" s="3">
        <f>'[01_Entry.xlsx]Book'!L725</f>
        <v/>
      </c>
      <c r="H725" s="3">
        <f>'[01_Entry.xlsx]Book'!M725</f>
        <v/>
      </c>
      <c r="I725" s="3">
        <f>'[01_Entry.xlsx]Book'!K725</f>
        <v/>
      </c>
      <c r="J725" s="3">
        <f>'[01_Entry.xlsx]Book'!P725</f>
        <v/>
      </c>
      <c r="K725" s="3">
        <f>'[01_Entry.xlsx]Book'!F725</f>
        <v/>
      </c>
      <c r="L725" s="3">
        <f>'[01_Entry.xlsx]Book'!G725</f>
        <v/>
      </c>
      <c r="M725" s="3">
        <f>'[01_Entry.xlsx]Book'!I725</f>
        <v/>
      </c>
      <c r="N725" s="2">
        <f>IF($A725="","",MID($A725,6,2))</f>
        <v>0</v>
      </c>
      <c r="O725" s="2">
        <f>IF(OR($C725="",$C725&lt;&gt;'Inv'!$D$12),"",N(O$724)+1)</f>
        <v>0</v>
      </c>
    </row>
    <row r="726" spans="1:15">
      <c r="A726" s="2">
        <f>'[01_Entry.xlsx]Book'!A726</f>
        <v/>
      </c>
      <c r="B726" s="2">
        <f>'[01_Entry.xlsx]Book'!B726</f>
        <v/>
      </c>
      <c r="C726" s="2">
        <f>'[01_Entry.xlsx]Book'!D726</f>
        <v/>
      </c>
      <c r="D726" s="2">
        <f>'[01_Entry.xlsx]Book'!E726</f>
        <v/>
      </c>
      <c r="E726" s="2">
        <f>'[01_Entry.xlsx]Book'!O726</f>
        <v/>
      </c>
      <c r="F726" s="2">
        <f>'[01_Entry.xlsx]Book'!N726</f>
        <v/>
      </c>
      <c r="G726" s="3">
        <f>'[01_Entry.xlsx]Book'!L726</f>
        <v/>
      </c>
      <c r="H726" s="3">
        <f>'[01_Entry.xlsx]Book'!M726</f>
        <v/>
      </c>
      <c r="I726" s="3">
        <f>'[01_Entry.xlsx]Book'!K726</f>
        <v/>
      </c>
      <c r="J726" s="3">
        <f>'[01_Entry.xlsx]Book'!P726</f>
        <v/>
      </c>
      <c r="K726" s="3">
        <f>'[01_Entry.xlsx]Book'!F726</f>
        <v/>
      </c>
      <c r="L726" s="3">
        <f>'[01_Entry.xlsx]Book'!G726</f>
        <v/>
      </c>
      <c r="M726" s="3">
        <f>'[01_Entry.xlsx]Book'!I726</f>
        <v/>
      </c>
      <c r="N726" s="2">
        <f>IF($A726="","",MID($A726,6,2))</f>
        <v>0</v>
      </c>
      <c r="O726" s="2">
        <f>IF(OR($C726="",$C726&lt;&gt;'Inv'!$D$12),"",N(O$725)+1)</f>
        <v>0</v>
      </c>
    </row>
    <row r="727" spans="1:15">
      <c r="A727" s="2">
        <f>'[01_Entry.xlsx]Book'!A727</f>
        <v/>
      </c>
      <c r="B727" s="2">
        <f>'[01_Entry.xlsx]Book'!B727</f>
        <v/>
      </c>
      <c r="C727" s="2">
        <f>'[01_Entry.xlsx]Book'!D727</f>
        <v/>
      </c>
      <c r="D727" s="2">
        <f>'[01_Entry.xlsx]Book'!E727</f>
        <v/>
      </c>
      <c r="E727" s="2">
        <f>'[01_Entry.xlsx]Book'!O727</f>
        <v/>
      </c>
      <c r="F727" s="2">
        <f>'[01_Entry.xlsx]Book'!N727</f>
        <v/>
      </c>
      <c r="G727" s="3">
        <f>'[01_Entry.xlsx]Book'!L727</f>
        <v/>
      </c>
      <c r="H727" s="3">
        <f>'[01_Entry.xlsx]Book'!M727</f>
        <v/>
      </c>
      <c r="I727" s="3">
        <f>'[01_Entry.xlsx]Book'!K727</f>
        <v/>
      </c>
      <c r="J727" s="3">
        <f>'[01_Entry.xlsx]Book'!P727</f>
        <v/>
      </c>
      <c r="K727" s="3">
        <f>'[01_Entry.xlsx]Book'!F727</f>
        <v/>
      </c>
      <c r="L727" s="3">
        <f>'[01_Entry.xlsx]Book'!G727</f>
        <v/>
      </c>
      <c r="M727" s="3">
        <f>'[01_Entry.xlsx]Book'!I727</f>
        <v/>
      </c>
      <c r="N727" s="2">
        <f>IF($A727="","",MID($A727,6,2))</f>
        <v>0</v>
      </c>
      <c r="O727" s="2">
        <f>IF(OR($C727="",$C727&lt;&gt;'Inv'!$D$12),"",N(O$726)+1)</f>
        <v>0</v>
      </c>
    </row>
    <row r="728" spans="1:15">
      <c r="A728" s="2">
        <f>'[01_Entry.xlsx]Book'!A728</f>
        <v/>
      </c>
      <c r="B728" s="2">
        <f>'[01_Entry.xlsx]Book'!B728</f>
        <v/>
      </c>
      <c r="C728" s="2">
        <f>'[01_Entry.xlsx]Book'!D728</f>
        <v/>
      </c>
      <c r="D728" s="2">
        <f>'[01_Entry.xlsx]Book'!E728</f>
        <v/>
      </c>
      <c r="E728" s="2">
        <f>'[01_Entry.xlsx]Book'!O728</f>
        <v/>
      </c>
      <c r="F728" s="2">
        <f>'[01_Entry.xlsx]Book'!N728</f>
        <v/>
      </c>
      <c r="G728" s="3">
        <f>'[01_Entry.xlsx]Book'!L728</f>
        <v/>
      </c>
      <c r="H728" s="3">
        <f>'[01_Entry.xlsx]Book'!M728</f>
        <v/>
      </c>
      <c r="I728" s="3">
        <f>'[01_Entry.xlsx]Book'!K728</f>
        <v/>
      </c>
      <c r="J728" s="3">
        <f>'[01_Entry.xlsx]Book'!P728</f>
        <v/>
      </c>
      <c r="K728" s="3">
        <f>'[01_Entry.xlsx]Book'!F728</f>
        <v/>
      </c>
      <c r="L728" s="3">
        <f>'[01_Entry.xlsx]Book'!G728</f>
        <v/>
      </c>
      <c r="M728" s="3">
        <f>'[01_Entry.xlsx]Book'!I728</f>
        <v/>
      </c>
      <c r="N728" s="2">
        <f>IF($A728="","",MID($A728,6,2))</f>
        <v>0</v>
      </c>
      <c r="O728" s="2">
        <f>IF(OR($C728="",$C728&lt;&gt;'Inv'!$D$12),"",N(O$727)+1)</f>
        <v>0</v>
      </c>
    </row>
    <row r="729" spans="1:15">
      <c r="A729" s="2">
        <f>'[01_Entry.xlsx]Book'!A729</f>
        <v/>
      </c>
      <c r="B729" s="2">
        <f>'[01_Entry.xlsx]Book'!B729</f>
        <v/>
      </c>
      <c r="C729" s="2">
        <f>'[01_Entry.xlsx]Book'!D729</f>
        <v/>
      </c>
      <c r="D729" s="2">
        <f>'[01_Entry.xlsx]Book'!E729</f>
        <v/>
      </c>
      <c r="E729" s="2">
        <f>'[01_Entry.xlsx]Book'!O729</f>
        <v/>
      </c>
      <c r="F729" s="2">
        <f>'[01_Entry.xlsx]Book'!N729</f>
        <v/>
      </c>
      <c r="G729" s="3">
        <f>'[01_Entry.xlsx]Book'!L729</f>
        <v/>
      </c>
      <c r="H729" s="3">
        <f>'[01_Entry.xlsx]Book'!M729</f>
        <v/>
      </c>
      <c r="I729" s="3">
        <f>'[01_Entry.xlsx]Book'!K729</f>
        <v/>
      </c>
      <c r="J729" s="3">
        <f>'[01_Entry.xlsx]Book'!P729</f>
        <v/>
      </c>
      <c r="K729" s="3">
        <f>'[01_Entry.xlsx]Book'!F729</f>
        <v/>
      </c>
      <c r="L729" s="3">
        <f>'[01_Entry.xlsx]Book'!G729</f>
        <v/>
      </c>
      <c r="M729" s="3">
        <f>'[01_Entry.xlsx]Book'!I729</f>
        <v/>
      </c>
      <c r="N729" s="2">
        <f>IF($A729="","",MID($A729,6,2))</f>
        <v>0</v>
      </c>
      <c r="O729" s="2">
        <f>IF(OR($C729="",$C729&lt;&gt;'Inv'!$D$12),"",N(O$728)+1)</f>
        <v>0</v>
      </c>
    </row>
    <row r="730" spans="1:15">
      <c r="A730" s="2">
        <f>'[01_Entry.xlsx]Book'!A730</f>
        <v/>
      </c>
      <c r="B730" s="2">
        <f>'[01_Entry.xlsx]Book'!B730</f>
        <v/>
      </c>
      <c r="C730" s="2">
        <f>'[01_Entry.xlsx]Book'!D730</f>
        <v/>
      </c>
      <c r="D730" s="2">
        <f>'[01_Entry.xlsx]Book'!E730</f>
        <v/>
      </c>
      <c r="E730" s="2">
        <f>'[01_Entry.xlsx]Book'!O730</f>
        <v/>
      </c>
      <c r="F730" s="2">
        <f>'[01_Entry.xlsx]Book'!N730</f>
        <v/>
      </c>
      <c r="G730" s="3">
        <f>'[01_Entry.xlsx]Book'!L730</f>
        <v/>
      </c>
      <c r="H730" s="3">
        <f>'[01_Entry.xlsx]Book'!M730</f>
        <v/>
      </c>
      <c r="I730" s="3">
        <f>'[01_Entry.xlsx]Book'!K730</f>
        <v/>
      </c>
      <c r="J730" s="3">
        <f>'[01_Entry.xlsx]Book'!P730</f>
        <v/>
      </c>
      <c r="K730" s="3">
        <f>'[01_Entry.xlsx]Book'!F730</f>
        <v/>
      </c>
      <c r="L730" s="3">
        <f>'[01_Entry.xlsx]Book'!G730</f>
        <v/>
      </c>
      <c r="M730" s="3">
        <f>'[01_Entry.xlsx]Book'!I730</f>
        <v/>
      </c>
      <c r="N730" s="2">
        <f>IF($A730="","",MID($A730,6,2))</f>
        <v>0</v>
      </c>
      <c r="O730" s="2">
        <f>IF(OR($C730="",$C730&lt;&gt;'Inv'!$D$12),"",N(O$729)+1)</f>
        <v>0</v>
      </c>
    </row>
    <row r="731" spans="1:15">
      <c r="A731" s="2">
        <f>'[01_Entry.xlsx]Book'!A731</f>
        <v/>
      </c>
      <c r="B731" s="2">
        <f>'[01_Entry.xlsx]Book'!B731</f>
        <v/>
      </c>
      <c r="C731" s="2">
        <f>'[01_Entry.xlsx]Book'!D731</f>
        <v/>
      </c>
      <c r="D731" s="2">
        <f>'[01_Entry.xlsx]Book'!E731</f>
        <v/>
      </c>
      <c r="E731" s="2">
        <f>'[01_Entry.xlsx]Book'!O731</f>
        <v/>
      </c>
      <c r="F731" s="2">
        <f>'[01_Entry.xlsx]Book'!N731</f>
        <v/>
      </c>
      <c r="G731" s="3">
        <f>'[01_Entry.xlsx]Book'!L731</f>
        <v/>
      </c>
      <c r="H731" s="3">
        <f>'[01_Entry.xlsx]Book'!M731</f>
        <v/>
      </c>
      <c r="I731" s="3">
        <f>'[01_Entry.xlsx]Book'!K731</f>
        <v/>
      </c>
      <c r="J731" s="3">
        <f>'[01_Entry.xlsx]Book'!P731</f>
        <v/>
      </c>
      <c r="K731" s="3">
        <f>'[01_Entry.xlsx]Book'!F731</f>
        <v/>
      </c>
      <c r="L731" s="3">
        <f>'[01_Entry.xlsx]Book'!G731</f>
        <v/>
      </c>
      <c r="M731" s="3">
        <f>'[01_Entry.xlsx]Book'!I731</f>
        <v/>
      </c>
      <c r="N731" s="2">
        <f>IF($A731="","",MID($A731,6,2))</f>
        <v>0</v>
      </c>
      <c r="O731" s="2">
        <f>IF(OR($C731="",$C731&lt;&gt;'Inv'!$D$12),"",N(O$730)+1)</f>
        <v>0</v>
      </c>
    </row>
    <row r="732" spans="1:15">
      <c r="A732" s="2">
        <f>'[01_Entry.xlsx]Book'!A732</f>
        <v/>
      </c>
      <c r="B732" s="2">
        <f>'[01_Entry.xlsx]Book'!B732</f>
        <v/>
      </c>
      <c r="C732" s="2">
        <f>'[01_Entry.xlsx]Book'!D732</f>
        <v/>
      </c>
      <c r="D732" s="2">
        <f>'[01_Entry.xlsx]Book'!E732</f>
        <v/>
      </c>
      <c r="E732" s="2">
        <f>'[01_Entry.xlsx]Book'!O732</f>
        <v/>
      </c>
      <c r="F732" s="2">
        <f>'[01_Entry.xlsx]Book'!N732</f>
        <v/>
      </c>
      <c r="G732" s="3">
        <f>'[01_Entry.xlsx]Book'!L732</f>
        <v/>
      </c>
      <c r="H732" s="3">
        <f>'[01_Entry.xlsx]Book'!M732</f>
        <v/>
      </c>
      <c r="I732" s="3">
        <f>'[01_Entry.xlsx]Book'!K732</f>
        <v/>
      </c>
      <c r="J732" s="3">
        <f>'[01_Entry.xlsx]Book'!P732</f>
        <v/>
      </c>
      <c r="K732" s="3">
        <f>'[01_Entry.xlsx]Book'!F732</f>
        <v/>
      </c>
      <c r="L732" s="3">
        <f>'[01_Entry.xlsx]Book'!G732</f>
        <v/>
      </c>
      <c r="M732" s="3">
        <f>'[01_Entry.xlsx]Book'!I732</f>
        <v/>
      </c>
      <c r="N732" s="2">
        <f>IF($A732="","",MID($A732,6,2))</f>
        <v>0</v>
      </c>
      <c r="O732" s="2">
        <f>IF(OR($C732="",$C732&lt;&gt;'Inv'!$D$12),"",N(O$731)+1)</f>
        <v>0</v>
      </c>
    </row>
    <row r="733" spans="1:15">
      <c r="A733" s="2">
        <f>'[01_Entry.xlsx]Book'!A733</f>
        <v/>
      </c>
      <c r="B733" s="2">
        <f>'[01_Entry.xlsx]Book'!B733</f>
        <v/>
      </c>
      <c r="C733" s="2">
        <f>'[01_Entry.xlsx]Book'!D733</f>
        <v/>
      </c>
      <c r="D733" s="2">
        <f>'[01_Entry.xlsx]Book'!E733</f>
        <v/>
      </c>
      <c r="E733" s="2">
        <f>'[01_Entry.xlsx]Book'!O733</f>
        <v/>
      </c>
      <c r="F733" s="2">
        <f>'[01_Entry.xlsx]Book'!N733</f>
        <v/>
      </c>
      <c r="G733" s="3">
        <f>'[01_Entry.xlsx]Book'!L733</f>
        <v/>
      </c>
      <c r="H733" s="3">
        <f>'[01_Entry.xlsx]Book'!M733</f>
        <v/>
      </c>
      <c r="I733" s="3">
        <f>'[01_Entry.xlsx]Book'!K733</f>
        <v/>
      </c>
      <c r="J733" s="3">
        <f>'[01_Entry.xlsx]Book'!P733</f>
        <v/>
      </c>
      <c r="K733" s="3">
        <f>'[01_Entry.xlsx]Book'!F733</f>
        <v/>
      </c>
      <c r="L733" s="3">
        <f>'[01_Entry.xlsx]Book'!G733</f>
        <v/>
      </c>
      <c r="M733" s="3">
        <f>'[01_Entry.xlsx]Book'!I733</f>
        <v/>
      </c>
      <c r="N733" s="2">
        <f>IF($A733="","",MID($A733,6,2))</f>
        <v>0</v>
      </c>
      <c r="O733" s="2">
        <f>IF(OR($C733="",$C733&lt;&gt;'Inv'!$D$12),"",N(O$732)+1)</f>
        <v>0</v>
      </c>
    </row>
    <row r="734" spans="1:15">
      <c r="A734" s="2">
        <f>'[01_Entry.xlsx]Book'!A734</f>
        <v/>
      </c>
      <c r="B734" s="2">
        <f>'[01_Entry.xlsx]Book'!B734</f>
        <v/>
      </c>
      <c r="C734" s="2">
        <f>'[01_Entry.xlsx]Book'!D734</f>
        <v/>
      </c>
      <c r="D734" s="2">
        <f>'[01_Entry.xlsx]Book'!E734</f>
        <v/>
      </c>
      <c r="E734" s="2">
        <f>'[01_Entry.xlsx]Book'!O734</f>
        <v/>
      </c>
      <c r="F734" s="2">
        <f>'[01_Entry.xlsx]Book'!N734</f>
        <v/>
      </c>
      <c r="G734" s="3">
        <f>'[01_Entry.xlsx]Book'!L734</f>
        <v/>
      </c>
      <c r="H734" s="3">
        <f>'[01_Entry.xlsx]Book'!M734</f>
        <v/>
      </c>
      <c r="I734" s="3">
        <f>'[01_Entry.xlsx]Book'!K734</f>
        <v/>
      </c>
      <c r="J734" s="3">
        <f>'[01_Entry.xlsx]Book'!P734</f>
        <v/>
      </c>
      <c r="K734" s="3">
        <f>'[01_Entry.xlsx]Book'!F734</f>
        <v/>
      </c>
      <c r="L734" s="3">
        <f>'[01_Entry.xlsx]Book'!G734</f>
        <v/>
      </c>
      <c r="M734" s="3">
        <f>'[01_Entry.xlsx]Book'!I734</f>
        <v/>
      </c>
      <c r="N734" s="2">
        <f>IF($A734="","",MID($A734,6,2))</f>
        <v>0</v>
      </c>
      <c r="O734" s="2">
        <f>IF(OR($C734="",$C734&lt;&gt;'Inv'!$D$12),"",N(O$733)+1)</f>
        <v>0</v>
      </c>
    </row>
    <row r="735" spans="1:15">
      <c r="A735" s="2">
        <f>'[01_Entry.xlsx]Book'!A735</f>
        <v/>
      </c>
      <c r="B735" s="2">
        <f>'[01_Entry.xlsx]Book'!B735</f>
        <v/>
      </c>
      <c r="C735" s="2">
        <f>'[01_Entry.xlsx]Book'!D735</f>
        <v/>
      </c>
      <c r="D735" s="2">
        <f>'[01_Entry.xlsx]Book'!E735</f>
        <v/>
      </c>
      <c r="E735" s="2">
        <f>'[01_Entry.xlsx]Book'!O735</f>
        <v/>
      </c>
      <c r="F735" s="2">
        <f>'[01_Entry.xlsx]Book'!N735</f>
        <v/>
      </c>
      <c r="G735" s="3">
        <f>'[01_Entry.xlsx]Book'!L735</f>
        <v/>
      </c>
      <c r="H735" s="3">
        <f>'[01_Entry.xlsx]Book'!M735</f>
        <v/>
      </c>
      <c r="I735" s="3">
        <f>'[01_Entry.xlsx]Book'!K735</f>
        <v/>
      </c>
      <c r="J735" s="3">
        <f>'[01_Entry.xlsx]Book'!P735</f>
        <v/>
      </c>
      <c r="K735" s="3">
        <f>'[01_Entry.xlsx]Book'!F735</f>
        <v/>
      </c>
      <c r="L735" s="3">
        <f>'[01_Entry.xlsx]Book'!G735</f>
        <v/>
      </c>
      <c r="M735" s="3">
        <f>'[01_Entry.xlsx]Book'!I735</f>
        <v/>
      </c>
      <c r="N735" s="2">
        <f>IF($A735="","",MID($A735,6,2))</f>
        <v>0</v>
      </c>
      <c r="O735" s="2">
        <f>IF(OR($C735="",$C735&lt;&gt;'Inv'!$D$12),"",N(O$734)+1)</f>
        <v>0</v>
      </c>
    </row>
    <row r="736" spans="1:15">
      <c r="A736" s="2">
        <f>'[01_Entry.xlsx]Book'!A736</f>
        <v/>
      </c>
      <c r="B736" s="2">
        <f>'[01_Entry.xlsx]Book'!B736</f>
        <v/>
      </c>
      <c r="C736" s="2">
        <f>'[01_Entry.xlsx]Book'!D736</f>
        <v/>
      </c>
      <c r="D736" s="2">
        <f>'[01_Entry.xlsx]Book'!E736</f>
        <v/>
      </c>
      <c r="E736" s="2">
        <f>'[01_Entry.xlsx]Book'!O736</f>
        <v/>
      </c>
      <c r="F736" s="2">
        <f>'[01_Entry.xlsx]Book'!N736</f>
        <v/>
      </c>
      <c r="G736" s="3">
        <f>'[01_Entry.xlsx]Book'!L736</f>
        <v/>
      </c>
      <c r="H736" s="3">
        <f>'[01_Entry.xlsx]Book'!M736</f>
        <v/>
      </c>
      <c r="I736" s="3">
        <f>'[01_Entry.xlsx]Book'!K736</f>
        <v/>
      </c>
      <c r="J736" s="3">
        <f>'[01_Entry.xlsx]Book'!P736</f>
        <v/>
      </c>
      <c r="K736" s="3">
        <f>'[01_Entry.xlsx]Book'!F736</f>
        <v/>
      </c>
      <c r="L736" s="3">
        <f>'[01_Entry.xlsx]Book'!G736</f>
        <v/>
      </c>
      <c r="M736" s="3">
        <f>'[01_Entry.xlsx]Book'!I736</f>
        <v/>
      </c>
      <c r="N736" s="2">
        <f>IF($A736="","",MID($A736,6,2))</f>
        <v>0</v>
      </c>
      <c r="O736" s="2">
        <f>IF(OR($C736="",$C736&lt;&gt;'Inv'!$D$12),"",N(O$735)+1)</f>
        <v>0</v>
      </c>
    </row>
    <row r="737" spans="1:15">
      <c r="A737" s="2">
        <f>'[01_Entry.xlsx]Book'!A737</f>
        <v/>
      </c>
      <c r="B737" s="2">
        <f>'[01_Entry.xlsx]Book'!B737</f>
        <v/>
      </c>
      <c r="C737" s="2">
        <f>'[01_Entry.xlsx]Book'!D737</f>
        <v/>
      </c>
      <c r="D737" s="2">
        <f>'[01_Entry.xlsx]Book'!E737</f>
        <v/>
      </c>
      <c r="E737" s="2">
        <f>'[01_Entry.xlsx]Book'!O737</f>
        <v/>
      </c>
      <c r="F737" s="2">
        <f>'[01_Entry.xlsx]Book'!N737</f>
        <v/>
      </c>
      <c r="G737" s="3">
        <f>'[01_Entry.xlsx]Book'!L737</f>
        <v/>
      </c>
      <c r="H737" s="3">
        <f>'[01_Entry.xlsx]Book'!M737</f>
        <v/>
      </c>
      <c r="I737" s="3">
        <f>'[01_Entry.xlsx]Book'!K737</f>
        <v/>
      </c>
      <c r="J737" s="3">
        <f>'[01_Entry.xlsx]Book'!P737</f>
        <v/>
      </c>
      <c r="K737" s="3">
        <f>'[01_Entry.xlsx]Book'!F737</f>
        <v/>
      </c>
      <c r="L737" s="3">
        <f>'[01_Entry.xlsx]Book'!G737</f>
        <v/>
      </c>
      <c r="M737" s="3">
        <f>'[01_Entry.xlsx]Book'!I737</f>
        <v/>
      </c>
      <c r="N737" s="2">
        <f>IF($A737="","",MID($A737,6,2))</f>
        <v>0</v>
      </c>
      <c r="O737" s="2">
        <f>IF(OR($C737="",$C737&lt;&gt;'Inv'!$D$12),"",N(O$736)+1)</f>
        <v>0</v>
      </c>
    </row>
    <row r="738" spans="1:15">
      <c r="A738" s="2">
        <f>'[01_Entry.xlsx]Book'!A738</f>
        <v/>
      </c>
      <c r="B738" s="2">
        <f>'[01_Entry.xlsx]Book'!B738</f>
        <v/>
      </c>
      <c r="C738" s="2">
        <f>'[01_Entry.xlsx]Book'!D738</f>
        <v/>
      </c>
      <c r="D738" s="2">
        <f>'[01_Entry.xlsx]Book'!E738</f>
        <v/>
      </c>
      <c r="E738" s="2">
        <f>'[01_Entry.xlsx]Book'!O738</f>
        <v/>
      </c>
      <c r="F738" s="2">
        <f>'[01_Entry.xlsx]Book'!N738</f>
        <v/>
      </c>
      <c r="G738" s="3">
        <f>'[01_Entry.xlsx]Book'!L738</f>
        <v/>
      </c>
      <c r="H738" s="3">
        <f>'[01_Entry.xlsx]Book'!M738</f>
        <v/>
      </c>
      <c r="I738" s="3">
        <f>'[01_Entry.xlsx]Book'!K738</f>
        <v/>
      </c>
      <c r="J738" s="3">
        <f>'[01_Entry.xlsx]Book'!P738</f>
        <v/>
      </c>
      <c r="K738" s="3">
        <f>'[01_Entry.xlsx]Book'!F738</f>
        <v/>
      </c>
      <c r="L738" s="3">
        <f>'[01_Entry.xlsx]Book'!G738</f>
        <v/>
      </c>
      <c r="M738" s="3">
        <f>'[01_Entry.xlsx]Book'!I738</f>
        <v/>
      </c>
      <c r="N738" s="2">
        <f>IF($A738="","",MID($A738,6,2))</f>
        <v>0</v>
      </c>
      <c r="O738" s="2">
        <f>IF(OR($C738="",$C738&lt;&gt;'Inv'!$D$12),"",N(O$737)+1)</f>
        <v>0</v>
      </c>
    </row>
    <row r="739" spans="1:15">
      <c r="A739" s="2">
        <f>'[01_Entry.xlsx]Book'!A739</f>
        <v/>
      </c>
      <c r="B739" s="2">
        <f>'[01_Entry.xlsx]Book'!B739</f>
        <v/>
      </c>
      <c r="C739" s="2">
        <f>'[01_Entry.xlsx]Book'!D739</f>
        <v/>
      </c>
      <c r="D739" s="2">
        <f>'[01_Entry.xlsx]Book'!E739</f>
        <v/>
      </c>
      <c r="E739" s="2">
        <f>'[01_Entry.xlsx]Book'!O739</f>
        <v/>
      </c>
      <c r="F739" s="2">
        <f>'[01_Entry.xlsx]Book'!N739</f>
        <v/>
      </c>
      <c r="G739" s="3">
        <f>'[01_Entry.xlsx]Book'!L739</f>
        <v/>
      </c>
      <c r="H739" s="3">
        <f>'[01_Entry.xlsx]Book'!M739</f>
        <v/>
      </c>
      <c r="I739" s="3">
        <f>'[01_Entry.xlsx]Book'!K739</f>
        <v/>
      </c>
      <c r="J739" s="3">
        <f>'[01_Entry.xlsx]Book'!P739</f>
        <v/>
      </c>
      <c r="K739" s="3">
        <f>'[01_Entry.xlsx]Book'!F739</f>
        <v/>
      </c>
      <c r="L739" s="3">
        <f>'[01_Entry.xlsx]Book'!G739</f>
        <v/>
      </c>
      <c r="M739" s="3">
        <f>'[01_Entry.xlsx]Book'!I739</f>
        <v/>
      </c>
      <c r="N739" s="2">
        <f>IF($A739="","",MID($A739,6,2))</f>
        <v>0</v>
      </c>
      <c r="O739" s="2">
        <f>IF(OR($C739="",$C739&lt;&gt;'Inv'!$D$12),"",N(O$738)+1)</f>
        <v>0</v>
      </c>
    </row>
    <row r="740" spans="1:15">
      <c r="A740" s="2">
        <f>'[01_Entry.xlsx]Book'!A740</f>
        <v/>
      </c>
      <c r="B740" s="2">
        <f>'[01_Entry.xlsx]Book'!B740</f>
        <v/>
      </c>
      <c r="C740" s="2">
        <f>'[01_Entry.xlsx]Book'!D740</f>
        <v/>
      </c>
      <c r="D740" s="2">
        <f>'[01_Entry.xlsx]Book'!E740</f>
        <v/>
      </c>
      <c r="E740" s="2">
        <f>'[01_Entry.xlsx]Book'!O740</f>
        <v/>
      </c>
      <c r="F740" s="2">
        <f>'[01_Entry.xlsx]Book'!N740</f>
        <v/>
      </c>
      <c r="G740" s="3">
        <f>'[01_Entry.xlsx]Book'!L740</f>
        <v/>
      </c>
      <c r="H740" s="3">
        <f>'[01_Entry.xlsx]Book'!M740</f>
        <v/>
      </c>
      <c r="I740" s="3">
        <f>'[01_Entry.xlsx]Book'!K740</f>
        <v/>
      </c>
      <c r="J740" s="3">
        <f>'[01_Entry.xlsx]Book'!P740</f>
        <v/>
      </c>
      <c r="K740" s="3">
        <f>'[01_Entry.xlsx]Book'!F740</f>
        <v/>
      </c>
      <c r="L740" s="3">
        <f>'[01_Entry.xlsx]Book'!G740</f>
        <v/>
      </c>
      <c r="M740" s="3">
        <f>'[01_Entry.xlsx]Book'!I740</f>
        <v/>
      </c>
      <c r="N740" s="2">
        <f>IF($A740="","",MID($A740,6,2))</f>
        <v>0</v>
      </c>
      <c r="O740" s="2">
        <f>IF(OR($C740="",$C740&lt;&gt;'Inv'!$D$12),"",N(O$739)+1)</f>
        <v>0</v>
      </c>
    </row>
    <row r="741" spans="1:15">
      <c r="A741" s="2">
        <f>'[01_Entry.xlsx]Book'!A741</f>
        <v/>
      </c>
      <c r="B741" s="2">
        <f>'[01_Entry.xlsx]Book'!B741</f>
        <v/>
      </c>
      <c r="C741" s="2">
        <f>'[01_Entry.xlsx]Book'!D741</f>
        <v/>
      </c>
      <c r="D741" s="2">
        <f>'[01_Entry.xlsx]Book'!E741</f>
        <v/>
      </c>
      <c r="E741" s="2">
        <f>'[01_Entry.xlsx]Book'!O741</f>
        <v/>
      </c>
      <c r="F741" s="2">
        <f>'[01_Entry.xlsx]Book'!N741</f>
        <v/>
      </c>
      <c r="G741" s="3">
        <f>'[01_Entry.xlsx]Book'!L741</f>
        <v/>
      </c>
      <c r="H741" s="3">
        <f>'[01_Entry.xlsx]Book'!M741</f>
        <v/>
      </c>
      <c r="I741" s="3">
        <f>'[01_Entry.xlsx]Book'!K741</f>
        <v/>
      </c>
      <c r="J741" s="3">
        <f>'[01_Entry.xlsx]Book'!P741</f>
        <v/>
      </c>
      <c r="K741" s="3">
        <f>'[01_Entry.xlsx]Book'!F741</f>
        <v/>
      </c>
      <c r="L741" s="3">
        <f>'[01_Entry.xlsx]Book'!G741</f>
        <v/>
      </c>
      <c r="M741" s="3">
        <f>'[01_Entry.xlsx]Book'!I741</f>
        <v/>
      </c>
      <c r="N741" s="2">
        <f>IF($A741="","",MID($A741,6,2))</f>
        <v>0</v>
      </c>
      <c r="O741" s="2">
        <f>IF(OR($C741="",$C741&lt;&gt;'Inv'!$D$12),"",N(O$740)+1)</f>
        <v>0</v>
      </c>
    </row>
    <row r="742" spans="1:15">
      <c r="A742" s="2">
        <f>'[01_Entry.xlsx]Book'!A742</f>
        <v/>
      </c>
      <c r="B742" s="2">
        <f>'[01_Entry.xlsx]Book'!B742</f>
        <v/>
      </c>
      <c r="C742" s="2">
        <f>'[01_Entry.xlsx]Book'!D742</f>
        <v/>
      </c>
      <c r="D742" s="2">
        <f>'[01_Entry.xlsx]Book'!E742</f>
        <v/>
      </c>
      <c r="E742" s="2">
        <f>'[01_Entry.xlsx]Book'!O742</f>
        <v/>
      </c>
      <c r="F742" s="2">
        <f>'[01_Entry.xlsx]Book'!N742</f>
        <v/>
      </c>
      <c r="G742" s="3">
        <f>'[01_Entry.xlsx]Book'!L742</f>
        <v/>
      </c>
      <c r="H742" s="3">
        <f>'[01_Entry.xlsx]Book'!M742</f>
        <v/>
      </c>
      <c r="I742" s="3">
        <f>'[01_Entry.xlsx]Book'!K742</f>
        <v/>
      </c>
      <c r="J742" s="3">
        <f>'[01_Entry.xlsx]Book'!P742</f>
        <v/>
      </c>
      <c r="K742" s="3">
        <f>'[01_Entry.xlsx]Book'!F742</f>
        <v/>
      </c>
      <c r="L742" s="3">
        <f>'[01_Entry.xlsx]Book'!G742</f>
        <v/>
      </c>
      <c r="M742" s="3">
        <f>'[01_Entry.xlsx]Book'!I742</f>
        <v/>
      </c>
      <c r="N742" s="2">
        <f>IF($A742="","",MID($A742,6,2))</f>
        <v>0</v>
      </c>
      <c r="O742" s="2">
        <f>IF(OR($C742="",$C742&lt;&gt;'Inv'!$D$12),"",N(O$741)+1)</f>
        <v>0</v>
      </c>
    </row>
    <row r="743" spans="1:15">
      <c r="A743" s="2">
        <f>'[01_Entry.xlsx]Book'!A743</f>
        <v/>
      </c>
      <c r="B743" s="2">
        <f>'[01_Entry.xlsx]Book'!B743</f>
        <v/>
      </c>
      <c r="C743" s="2">
        <f>'[01_Entry.xlsx]Book'!D743</f>
        <v/>
      </c>
      <c r="D743" s="2">
        <f>'[01_Entry.xlsx]Book'!E743</f>
        <v/>
      </c>
      <c r="E743" s="2">
        <f>'[01_Entry.xlsx]Book'!O743</f>
        <v/>
      </c>
      <c r="F743" s="2">
        <f>'[01_Entry.xlsx]Book'!N743</f>
        <v/>
      </c>
      <c r="G743" s="3">
        <f>'[01_Entry.xlsx]Book'!L743</f>
        <v/>
      </c>
      <c r="H743" s="3">
        <f>'[01_Entry.xlsx]Book'!M743</f>
        <v/>
      </c>
      <c r="I743" s="3">
        <f>'[01_Entry.xlsx]Book'!K743</f>
        <v/>
      </c>
      <c r="J743" s="3">
        <f>'[01_Entry.xlsx]Book'!P743</f>
        <v/>
      </c>
      <c r="K743" s="3">
        <f>'[01_Entry.xlsx]Book'!F743</f>
        <v/>
      </c>
      <c r="L743" s="3">
        <f>'[01_Entry.xlsx]Book'!G743</f>
        <v/>
      </c>
      <c r="M743" s="3">
        <f>'[01_Entry.xlsx]Book'!I743</f>
        <v/>
      </c>
      <c r="N743" s="2">
        <f>IF($A743="","",MID($A743,6,2))</f>
        <v>0</v>
      </c>
      <c r="O743" s="2">
        <f>IF(OR($C743="",$C743&lt;&gt;'Inv'!$D$12),"",N(O$742)+1)</f>
        <v>0</v>
      </c>
    </row>
    <row r="744" spans="1:15">
      <c r="A744" s="2">
        <f>'[01_Entry.xlsx]Book'!A744</f>
        <v/>
      </c>
      <c r="B744" s="2">
        <f>'[01_Entry.xlsx]Book'!B744</f>
        <v/>
      </c>
      <c r="C744" s="2">
        <f>'[01_Entry.xlsx]Book'!D744</f>
        <v/>
      </c>
      <c r="D744" s="2">
        <f>'[01_Entry.xlsx]Book'!E744</f>
        <v/>
      </c>
      <c r="E744" s="2">
        <f>'[01_Entry.xlsx]Book'!O744</f>
        <v/>
      </c>
      <c r="F744" s="2">
        <f>'[01_Entry.xlsx]Book'!N744</f>
        <v/>
      </c>
      <c r="G744" s="3">
        <f>'[01_Entry.xlsx]Book'!L744</f>
        <v/>
      </c>
      <c r="H744" s="3">
        <f>'[01_Entry.xlsx]Book'!M744</f>
        <v/>
      </c>
      <c r="I744" s="3">
        <f>'[01_Entry.xlsx]Book'!K744</f>
        <v/>
      </c>
      <c r="J744" s="3">
        <f>'[01_Entry.xlsx]Book'!P744</f>
        <v/>
      </c>
      <c r="K744" s="3">
        <f>'[01_Entry.xlsx]Book'!F744</f>
        <v/>
      </c>
      <c r="L744" s="3">
        <f>'[01_Entry.xlsx]Book'!G744</f>
        <v/>
      </c>
      <c r="M744" s="3">
        <f>'[01_Entry.xlsx]Book'!I744</f>
        <v/>
      </c>
      <c r="N744" s="2">
        <f>IF($A744="","",MID($A744,6,2))</f>
        <v>0</v>
      </c>
      <c r="O744" s="2">
        <f>IF(OR($C744="",$C744&lt;&gt;'Inv'!$D$12),"",N(O$743)+1)</f>
        <v>0</v>
      </c>
    </row>
    <row r="745" spans="1:15">
      <c r="A745" s="2">
        <f>'[01_Entry.xlsx]Book'!A745</f>
        <v/>
      </c>
      <c r="B745" s="2">
        <f>'[01_Entry.xlsx]Book'!B745</f>
        <v/>
      </c>
      <c r="C745" s="2">
        <f>'[01_Entry.xlsx]Book'!D745</f>
        <v/>
      </c>
      <c r="D745" s="2">
        <f>'[01_Entry.xlsx]Book'!E745</f>
        <v/>
      </c>
      <c r="E745" s="2">
        <f>'[01_Entry.xlsx]Book'!O745</f>
        <v/>
      </c>
      <c r="F745" s="2">
        <f>'[01_Entry.xlsx]Book'!N745</f>
        <v/>
      </c>
      <c r="G745" s="3">
        <f>'[01_Entry.xlsx]Book'!L745</f>
        <v/>
      </c>
      <c r="H745" s="3">
        <f>'[01_Entry.xlsx]Book'!M745</f>
        <v/>
      </c>
      <c r="I745" s="3">
        <f>'[01_Entry.xlsx]Book'!K745</f>
        <v/>
      </c>
      <c r="J745" s="3">
        <f>'[01_Entry.xlsx]Book'!P745</f>
        <v/>
      </c>
      <c r="K745" s="3">
        <f>'[01_Entry.xlsx]Book'!F745</f>
        <v/>
      </c>
      <c r="L745" s="3">
        <f>'[01_Entry.xlsx]Book'!G745</f>
        <v/>
      </c>
      <c r="M745" s="3">
        <f>'[01_Entry.xlsx]Book'!I745</f>
        <v/>
      </c>
      <c r="N745" s="2">
        <f>IF($A745="","",MID($A745,6,2))</f>
        <v>0</v>
      </c>
      <c r="O745" s="2">
        <f>IF(OR($C745="",$C745&lt;&gt;'Inv'!$D$12),"",N(O$744)+1)</f>
        <v>0</v>
      </c>
    </row>
    <row r="746" spans="1:15">
      <c r="A746" s="2">
        <f>'[01_Entry.xlsx]Book'!A746</f>
        <v/>
      </c>
      <c r="B746" s="2">
        <f>'[01_Entry.xlsx]Book'!B746</f>
        <v/>
      </c>
      <c r="C746" s="2">
        <f>'[01_Entry.xlsx]Book'!D746</f>
        <v/>
      </c>
      <c r="D746" s="2">
        <f>'[01_Entry.xlsx]Book'!E746</f>
        <v/>
      </c>
      <c r="E746" s="2">
        <f>'[01_Entry.xlsx]Book'!O746</f>
        <v/>
      </c>
      <c r="F746" s="2">
        <f>'[01_Entry.xlsx]Book'!N746</f>
        <v/>
      </c>
      <c r="G746" s="3">
        <f>'[01_Entry.xlsx]Book'!L746</f>
        <v/>
      </c>
      <c r="H746" s="3">
        <f>'[01_Entry.xlsx]Book'!M746</f>
        <v/>
      </c>
      <c r="I746" s="3">
        <f>'[01_Entry.xlsx]Book'!K746</f>
        <v/>
      </c>
      <c r="J746" s="3">
        <f>'[01_Entry.xlsx]Book'!P746</f>
        <v/>
      </c>
      <c r="K746" s="3">
        <f>'[01_Entry.xlsx]Book'!F746</f>
        <v/>
      </c>
      <c r="L746" s="3">
        <f>'[01_Entry.xlsx]Book'!G746</f>
        <v/>
      </c>
      <c r="M746" s="3">
        <f>'[01_Entry.xlsx]Book'!I746</f>
        <v/>
      </c>
      <c r="N746" s="2">
        <f>IF($A746="","",MID($A746,6,2))</f>
        <v>0</v>
      </c>
      <c r="O746" s="2">
        <f>IF(OR($C746="",$C746&lt;&gt;'Inv'!$D$12),"",N(O$745)+1)</f>
        <v>0</v>
      </c>
    </row>
    <row r="747" spans="1:15">
      <c r="A747" s="2">
        <f>'[01_Entry.xlsx]Book'!A747</f>
        <v/>
      </c>
      <c r="B747" s="2">
        <f>'[01_Entry.xlsx]Book'!B747</f>
        <v/>
      </c>
      <c r="C747" s="2">
        <f>'[01_Entry.xlsx]Book'!D747</f>
        <v/>
      </c>
      <c r="D747" s="2">
        <f>'[01_Entry.xlsx]Book'!E747</f>
        <v/>
      </c>
      <c r="E747" s="2">
        <f>'[01_Entry.xlsx]Book'!O747</f>
        <v/>
      </c>
      <c r="F747" s="2">
        <f>'[01_Entry.xlsx]Book'!N747</f>
        <v/>
      </c>
      <c r="G747" s="3">
        <f>'[01_Entry.xlsx]Book'!L747</f>
        <v/>
      </c>
      <c r="H747" s="3">
        <f>'[01_Entry.xlsx]Book'!M747</f>
        <v/>
      </c>
      <c r="I747" s="3">
        <f>'[01_Entry.xlsx]Book'!K747</f>
        <v/>
      </c>
      <c r="J747" s="3">
        <f>'[01_Entry.xlsx]Book'!P747</f>
        <v/>
      </c>
      <c r="K747" s="3">
        <f>'[01_Entry.xlsx]Book'!F747</f>
        <v/>
      </c>
      <c r="L747" s="3">
        <f>'[01_Entry.xlsx]Book'!G747</f>
        <v/>
      </c>
      <c r="M747" s="3">
        <f>'[01_Entry.xlsx]Book'!I747</f>
        <v/>
      </c>
      <c r="N747" s="2">
        <f>IF($A747="","",MID($A747,6,2))</f>
        <v>0</v>
      </c>
      <c r="O747" s="2">
        <f>IF(OR($C747="",$C747&lt;&gt;'Inv'!$D$12),"",N(O$746)+1)</f>
        <v>0</v>
      </c>
    </row>
    <row r="748" spans="1:15">
      <c r="A748" s="2">
        <f>'[01_Entry.xlsx]Book'!A748</f>
        <v/>
      </c>
      <c r="B748" s="2">
        <f>'[01_Entry.xlsx]Book'!B748</f>
        <v/>
      </c>
      <c r="C748" s="2">
        <f>'[01_Entry.xlsx]Book'!D748</f>
        <v/>
      </c>
      <c r="D748" s="2">
        <f>'[01_Entry.xlsx]Book'!E748</f>
        <v/>
      </c>
      <c r="E748" s="2">
        <f>'[01_Entry.xlsx]Book'!O748</f>
        <v/>
      </c>
      <c r="F748" s="2">
        <f>'[01_Entry.xlsx]Book'!N748</f>
        <v/>
      </c>
      <c r="G748" s="3">
        <f>'[01_Entry.xlsx]Book'!L748</f>
        <v/>
      </c>
      <c r="H748" s="3">
        <f>'[01_Entry.xlsx]Book'!M748</f>
        <v/>
      </c>
      <c r="I748" s="3">
        <f>'[01_Entry.xlsx]Book'!K748</f>
        <v/>
      </c>
      <c r="J748" s="3">
        <f>'[01_Entry.xlsx]Book'!P748</f>
        <v/>
      </c>
      <c r="K748" s="3">
        <f>'[01_Entry.xlsx]Book'!F748</f>
        <v/>
      </c>
      <c r="L748" s="3">
        <f>'[01_Entry.xlsx]Book'!G748</f>
        <v/>
      </c>
      <c r="M748" s="3">
        <f>'[01_Entry.xlsx]Book'!I748</f>
        <v/>
      </c>
      <c r="N748" s="2">
        <f>IF($A748="","",MID($A748,6,2))</f>
        <v>0</v>
      </c>
      <c r="O748" s="2">
        <f>IF(OR($C748="",$C748&lt;&gt;'Inv'!$D$12),"",N(O$747)+1)</f>
        <v>0</v>
      </c>
    </row>
    <row r="749" spans="1:15">
      <c r="A749" s="2">
        <f>'[01_Entry.xlsx]Book'!A749</f>
        <v/>
      </c>
      <c r="B749" s="2">
        <f>'[01_Entry.xlsx]Book'!B749</f>
        <v/>
      </c>
      <c r="C749" s="2">
        <f>'[01_Entry.xlsx]Book'!D749</f>
        <v/>
      </c>
      <c r="D749" s="2">
        <f>'[01_Entry.xlsx]Book'!E749</f>
        <v/>
      </c>
      <c r="E749" s="2">
        <f>'[01_Entry.xlsx]Book'!O749</f>
        <v/>
      </c>
      <c r="F749" s="2">
        <f>'[01_Entry.xlsx]Book'!N749</f>
        <v/>
      </c>
      <c r="G749" s="3">
        <f>'[01_Entry.xlsx]Book'!L749</f>
        <v/>
      </c>
      <c r="H749" s="3">
        <f>'[01_Entry.xlsx]Book'!M749</f>
        <v/>
      </c>
      <c r="I749" s="3">
        <f>'[01_Entry.xlsx]Book'!K749</f>
        <v/>
      </c>
      <c r="J749" s="3">
        <f>'[01_Entry.xlsx]Book'!P749</f>
        <v/>
      </c>
      <c r="K749" s="3">
        <f>'[01_Entry.xlsx]Book'!F749</f>
        <v/>
      </c>
      <c r="L749" s="3">
        <f>'[01_Entry.xlsx]Book'!G749</f>
        <v/>
      </c>
      <c r="M749" s="3">
        <f>'[01_Entry.xlsx]Book'!I749</f>
        <v/>
      </c>
      <c r="N749" s="2">
        <f>IF($A749="","",MID($A749,6,2))</f>
        <v>0</v>
      </c>
      <c r="O749" s="2">
        <f>IF(OR($C749="",$C749&lt;&gt;'Inv'!$D$12),"",N(O$748)+1)</f>
        <v>0</v>
      </c>
    </row>
    <row r="750" spans="1:15">
      <c r="A750" s="2">
        <f>'[01_Entry.xlsx]Book'!A750</f>
        <v/>
      </c>
      <c r="B750" s="2">
        <f>'[01_Entry.xlsx]Book'!B750</f>
        <v/>
      </c>
      <c r="C750" s="2">
        <f>'[01_Entry.xlsx]Book'!D750</f>
        <v/>
      </c>
      <c r="D750" s="2">
        <f>'[01_Entry.xlsx]Book'!E750</f>
        <v/>
      </c>
      <c r="E750" s="2">
        <f>'[01_Entry.xlsx]Book'!O750</f>
        <v/>
      </c>
      <c r="F750" s="2">
        <f>'[01_Entry.xlsx]Book'!N750</f>
        <v/>
      </c>
      <c r="G750" s="3">
        <f>'[01_Entry.xlsx]Book'!L750</f>
        <v/>
      </c>
      <c r="H750" s="3">
        <f>'[01_Entry.xlsx]Book'!M750</f>
        <v/>
      </c>
      <c r="I750" s="3">
        <f>'[01_Entry.xlsx]Book'!K750</f>
        <v/>
      </c>
      <c r="J750" s="3">
        <f>'[01_Entry.xlsx]Book'!P750</f>
        <v/>
      </c>
      <c r="K750" s="3">
        <f>'[01_Entry.xlsx]Book'!F750</f>
        <v/>
      </c>
      <c r="L750" s="3">
        <f>'[01_Entry.xlsx]Book'!G750</f>
        <v/>
      </c>
      <c r="M750" s="3">
        <f>'[01_Entry.xlsx]Book'!I750</f>
        <v/>
      </c>
      <c r="N750" s="2">
        <f>IF($A750="","",MID($A750,6,2))</f>
        <v>0</v>
      </c>
      <c r="O750" s="2">
        <f>IF(OR($C750="",$C750&lt;&gt;'Inv'!$D$12),"",N(O$749)+1)</f>
        <v>0</v>
      </c>
    </row>
    <row r="751" spans="1:15">
      <c r="A751" s="2">
        <f>'[01_Entry.xlsx]Book'!A751</f>
        <v/>
      </c>
      <c r="B751" s="2">
        <f>'[01_Entry.xlsx]Book'!B751</f>
        <v/>
      </c>
      <c r="C751" s="2">
        <f>'[01_Entry.xlsx]Book'!D751</f>
        <v/>
      </c>
      <c r="D751" s="2">
        <f>'[01_Entry.xlsx]Book'!E751</f>
        <v/>
      </c>
      <c r="E751" s="2">
        <f>'[01_Entry.xlsx]Book'!O751</f>
        <v/>
      </c>
      <c r="F751" s="2">
        <f>'[01_Entry.xlsx]Book'!N751</f>
        <v/>
      </c>
      <c r="G751" s="3">
        <f>'[01_Entry.xlsx]Book'!L751</f>
        <v/>
      </c>
      <c r="H751" s="3">
        <f>'[01_Entry.xlsx]Book'!M751</f>
        <v/>
      </c>
      <c r="I751" s="3">
        <f>'[01_Entry.xlsx]Book'!K751</f>
        <v/>
      </c>
      <c r="J751" s="3">
        <f>'[01_Entry.xlsx]Book'!P751</f>
        <v/>
      </c>
      <c r="K751" s="3">
        <f>'[01_Entry.xlsx]Book'!F751</f>
        <v/>
      </c>
      <c r="L751" s="3">
        <f>'[01_Entry.xlsx]Book'!G751</f>
        <v/>
      </c>
      <c r="M751" s="3">
        <f>'[01_Entry.xlsx]Book'!I751</f>
        <v/>
      </c>
      <c r="N751" s="2">
        <f>IF($A751="","",MID($A751,6,2))</f>
        <v>0</v>
      </c>
      <c r="O751" s="2">
        <f>IF(OR($C751="",$C751&lt;&gt;'Inv'!$D$12),"",N(O$750)+1)</f>
        <v>0</v>
      </c>
    </row>
    <row r="752" spans="1:15">
      <c r="A752" s="2">
        <f>'[01_Entry.xlsx]Book'!A752</f>
        <v/>
      </c>
      <c r="B752" s="2">
        <f>'[01_Entry.xlsx]Book'!B752</f>
        <v/>
      </c>
      <c r="C752" s="2">
        <f>'[01_Entry.xlsx]Book'!D752</f>
        <v/>
      </c>
      <c r="D752" s="2">
        <f>'[01_Entry.xlsx]Book'!E752</f>
        <v/>
      </c>
      <c r="E752" s="2">
        <f>'[01_Entry.xlsx]Book'!O752</f>
        <v/>
      </c>
      <c r="F752" s="2">
        <f>'[01_Entry.xlsx]Book'!N752</f>
        <v/>
      </c>
      <c r="G752" s="3">
        <f>'[01_Entry.xlsx]Book'!L752</f>
        <v/>
      </c>
      <c r="H752" s="3">
        <f>'[01_Entry.xlsx]Book'!M752</f>
        <v/>
      </c>
      <c r="I752" s="3">
        <f>'[01_Entry.xlsx]Book'!K752</f>
        <v/>
      </c>
      <c r="J752" s="3">
        <f>'[01_Entry.xlsx]Book'!P752</f>
        <v/>
      </c>
      <c r="K752" s="3">
        <f>'[01_Entry.xlsx]Book'!F752</f>
        <v/>
      </c>
      <c r="L752" s="3">
        <f>'[01_Entry.xlsx]Book'!G752</f>
        <v/>
      </c>
      <c r="M752" s="3">
        <f>'[01_Entry.xlsx]Book'!I752</f>
        <v/>
      </c>
      <c r="N752" s="2">
        <f>IF($A752="","",MID($A752,6,2))</f>
        <v>0</v>
      </c>
      <c r="O752" s="2">
        <f>IF(OR($C752="",$C752&lt;&gt;'Inv'!$D$12),"",N(O$751)+1)</f>
        <v>0</v>
      </c>
    </row>
    <row r="753" spans="1:15">
      <c r="A753" s="2">
        <f>'[01_Entry.xlsx]Book'!A753</f>
        <v/>
      </c>
      <c r="B753" s="2">
        <f>'[01_Entry.xlsx]Book'!B753</f>
        <v/>
      </c>
      <c r="C753" s="2">
        <f>'[01_Entry.xlsx]Book'!D753</f>
        <v/>
      </c>
      <c r="D753" s="2">
        <f>'[01_Entry.xlsx]Book'!E753</f>
        <v/>
      </c>
      <c r="E753" s="2">
        <f>'[01_Entry.xlsx]Book'!O753</f>
        <v/>
      </c>
      <c r="F753" s="2">
        <f>'[01_Entry.xlsx]Book'!N753</f>
        <v/>
      </c>
      <c r="G753" s="3">
        <f>'[01_Entry.xlsx]Book'!L753</f>
        <v/>
      </c>
      <c r="H753" s="3">
        <f>'[01_Entry.xlsx]Book'!M753</f>
        <v/>
      </c>
      <c r="I753" s="3">
        <f>'[01_Entry.xlsx]Book'!K753</f>
        <v/>
      </c>
      <c r="J753" s="3">
        <f>'[01_Entry.xlsx]Book'!P753</f>
        <v/>
      </c>
      <c r="K753" s="3">
        <f>'[01_Entry.xlsx]Book'!F753</f>
        <v/>
      </c>
      <c r="L753" s="3">
        <f>'[01_Entry.xlsx]Book'!G753</f>
        <v/>
      </c>
      <c r="M753" s="3">
        <f>'[01_Entry.xlsx]Book'!I753</f>
        <v/>
      </c>
      <c r="N753" s="2">
        <f>IF($A753="","",MID($A753,6,2))</f>
        <v>0</v>
      </c>
      <c r="O753" s="2">
        <f>IF(OR($C753="",$C753&lt;&gt;'Inv'!$D$12),"",N(O$752)+1)</f>
        <v>0</v>
      </c>
    </row>
    <row r="754" spans="1:15">
      <c r="A754" s="2">
        <f>'[01_Entry.xlsx]Book'!A754</f>
        <v/>
      </c>
      <c r="B754" s="2">
        <f>'[01_Entry.xlsx]Book'!B754</f>
        <v/>
      </c>
      <c r="C754" s="2">
        <f>'[01_Entry.xlsx]Book'!D754</f>
        <v/>
      </c>
      <c r="D754" s="2">
        <f>'[01_Entry.xlsx]Book'!E754</f>
        <v/>
      </c>
      <c r="E754" s="2">
        <f>'[01_Entry.xlsx]Book'!O754</f>
        <v/>
      </c>
      <c r="F754" s="2">
        <f>'[01_Entry.xlsx]Book'!N754</f>
        <v/>
      </c>
      <c r="G754" s="3">
        <f>'[01_Entry.xlsx]Book'!L754</f>
        <v/>
      </c>
      <c r="H754" s="3">
        <f>'[01_Entry.xlsx]Book'!M754</f>
        <v/>
      </c>
      <c r="I754" s="3">
        <f>'[01_Entry.xlsx]Book'!K754</f>
        <v/>
      </c>
      <c r="J754" s="3">
        <f>'[01_Entry.xlsx]Book'!P754</f>
        <v/>
      </c>
      <c r="K754" s="3">
        <f>'[01_Entry.xlsx]Book'!F754</f>
        <v/>
      </c>
      <c r="L754" s="3">
        <f>'[01_Entry.xlsx]Book'!G754</f>
        <v/>
      </c>
      <c r="M754" s="3">
        <f>'[01_Entry.xlsx]Book'!I754</f>
        <v/>
      </c>
      <c r="N754" s="2">
        <f>IF($A754="","",MID($A754,6,2))</f>
        <v>0</v>
      </c>
      <c r="O754" s="2">
        <f>IF(OR($C754="",$C754&lt;&gt;'Inv'!$D$12),"",N(O$753)+1)</f>
        <v>0</v>
      </c>
    </row>
    <row r="755" spans="1:15">
      <c r="A755" s="2">
        <f>'[01_Entry.xlsx]Book'!A755</f>
        <v/>
      </c>
      <c r="B755" s="2">
        <f>'[01_Entry.xlsx]Book'!B755</f>
        <v/>
      </c>
      <c r="C755" s="2">
        <f>'[01_Entry.xlsx]Book'!D755</f>
        <v/>
      </c>
      <c r="D755" s="2">
        <f>'[01_Entry.xlsx]Book'!E755</f>
        <v/>
      </c>
      <c r="E755" s="2">
        <f>'[01_Entry.xlsx]Book'!O755</f>
        <v/>
      </c>
      <c r="F755" s="2">
        <f>'[01_Entry.xlsx]Book'!N755</f>
        <v/>
      </c>
      <c r="G755" s="3">
        <f>'[01_Entry.xlsx]Book'!L755</f>
        <v/>
      </c>
      <c r="H755" s="3">
        <f>'[01_Entry.xlsx]Book'!M755</f>
        <v/>
      </c>
      <c r="I755" s="3">
        <f>'[01_Entry.xlsx]Book'!K755</f>
        <v/>
      </c>
      <c r="J755" s="3">
        <f>'[01_Entry.xlsx]Book'!P755</f>
        <v/>
      </c>
      <c r="K755" s="3">
        <f>'[01_Entry.xlsx]Book'!F755</f>
        <v/>
      </c>
      <c r="L755" s="3">
        <f>'[01_Entry.xlsx]Book'!G755</f>
        <v/>
      </c>
      <c r="M755" s="3">
        <f>'[01_Entry.xlsx]Book'!I755</f>
        <v/>
      </c>
      <c r="N755" s="2">
        <f>IF($A755="","",MID($A755,6,2))</f>
        <v>0</v>
      </c>
      <c r="O755" s="2">
        <f>IF(OR($C755="",$C755&lt;&gt;'Inv'!$D$12),"",N(O$754)+1)</f>
        <v>0</v>
      </c>
    </row>
    <row r="756" spans="1:15">
      <c r="A756" s="2">
        <f>'[01_Entry.xlsx]Book'!A756</f>
        <v/>
      </c>
      <c r="B756" s="2">
        <f>'[01_Entry.xlsx]Book'!B756</f>
        <v/>
      </c>
      <c r="C756" s="2">
        <f>'[01_Entry.xlsx]Book'!D756</f>
        <v/>
      </c>
      <c r="D756" s="2">
        <f>'[01_Entry.xlsx]Book'!E756</f>
        <v/>
      </c>
      <c r="E756" s="2">
        <f>'[01_Entry.xlsx]Book'!O756</f>
        <v/>
      </c>
      <c r="F756" s="2">
        <f>'[01_Entry.xlsx]Book'!N756</f>
        <v/>
      </c>
      <c r="G756" s="3">
        <f>'[01_Entry.xlsx]Book'!L756</f>
        <v/>
      </c>
      <c r="H756" s="3">
        <f>'[01_Entry.xlsx]Book'!M756</f>
        <v/>
      </c>
      <c r="I756" s="3">
        <f>'[01_Entry.xlsx]Book'!K756</f>
        <v/>
      </c>
      <c r="J756" s="3">
        <f>'[01_Entry.xlsx]Book'!P756</f>
        <v/>
      </c>
      <c r="K756" s="3">
        <f>'[01_Entry.xlsx]Book'!F756</f>
        <v/>
      </c>
      <c r="L756" s="3">
        <f>'[01_Entry.xlsx]Book'!G756</f>
        <v/>
      </c>
      <c r="M756" s="3">
        <f>'[01_Entry.xlsx]Book'!I756</f>
        <v/>
      </c>
      <c r="N756" s="2">
        <f>IF($A756="","",MID($A756,6,2))</f>
        <v>0</v>
      </c>
      <c r="O756" s="2">
        <f>IF(OR($C756="",$C756&lt;&gt;'Inv'!$D$12),"",N(O$755)+1)</f>
        <v>0</v>
      </c>
    </row>
    <row r="757" spans="1:15">
      <c r="A757" s="2">
        <f>'[01_Entry.xlsx]Book'!A757</f>
        <v/>
      </c>
      <c r="B757" s="2">
        <f>'[01_Entry.xlsx]Book'!B757</f>
        <v/>
      </c>
      <c r="C757" s="2">
        <f>'[01_Entry.xlsx]Book'!D757</f>
        <v/>
      </c>
      <c r="D757" s="2">
        <f>'[01_Entry.xlsx]Book'!E757</f>
        <v/>
      </c>
      <c r="E757" s="2">
        <f>'[01_Entry.xlsx]Book'!O757</f>
        <v/>
      </c>
      <c r="F757" s="2">
        <f>'[01_Entry.xlsx]Book'!N757</f>
        <v/>
      </c>
      <c r="G757" s="3">
        <f>'[01_Entry.xlsx]Book'!L757</f>
        <v/>
      </c>
      <c r="H757" s="3">
        <f>'[01_Entry.xlsx]Book'!M757</f>
        <v/>
      </c>
      <c r="I757" s="3">
        <f>'[01_Entry.xlsx]Book'!K757</f>
        <v/>
      </c>
      <c r="J757" s="3">
        <f>'[01_Entry.xlsx]Book'!P757</f>
        <v/>
      </c>
      <c r="K757" s="3">
        <f>'[01_Entry.xlsx]Book'!F757</f>
        <v/>
      </c>
      <c r="L757" s="3">
        <f>'[01_Entry.xlsx]Book'!G757</f>
        <v/>
      </c>
      <c r="M757" s="3">
        <f>'[01_Entry.xlsx]Book'!I757</f>
        <v/>
      </c>
      <c r="N757" s="2">
        <f>IF($A757="","",MID($A757,6,2))</f>
        <v>0</v>
      </c>
      <c r="O757" s="2">
        <f>IF(OR($C757="",$C757&lt;&gt;'Inv'!$D$12),"",N(O$756)+1)</f>
        <v>0</v>
      </c>
    </row>
    <row r="758" spans="1:15">
      <c r="A758" s="2">
        <f>'[01_Entry.xlsx]Book'!A758</f>
        <v/>
      </c>
      <c r="B758" s="2">
        <f>'[01_Entry.xlsx]Book'!B758</f>
        <v/>
      </c>
      <c r="C758" s="2">
        <f>'[01_Entry.xlsx]Book'!D758</f>
        <v/>
      </c>
      <c r="D758" s="2">
        <f>'[01_Entry.xlsx]Book'!E758</f>
        <v/>
      </c>
      <c r="E758" s="2">
        <f>'[01_Entry.xlsx]Book'!O758</f>
        <v/>
      </c>
      <c r="F758" s="2">
        <f>'[01_Entry.xlsx]Book'!N758</f>
        <v/>
      </c>
      <c r="G758" s="3">
        <f>'[01_Entry.xlsx]Book'!L758</f>
        <v/>
      </c>
      <c r="H758" s="3">
        <f>'[01_Entry.xlsx]Book'!M758</f>
        <v/>
      </c>
      <c r="I758" s="3">
        <f>'[01_Entry.xlsx]Book'!K758</f>
        <v/>
      </c>
      <c r="J758" s="3">
        <f>'[01_Entry.xlsx]Book'!P758</f>
        <v/>
      </c>
      <c r="K758" s="3">
        <f>'[01_Entry.xlsx]Book'!F758</f>
        <v/>
      </c>
      <c r="L758" s="3">
        <f>'[01_Entry.xlsx]Book'!G758</f>
        <v/>
      </c>
      <c r="M758" s="3">
        <f>'[01_Entry.xlsx]Book'!I758</f>
        <v/>
      </c>
      <c r="N758" s="2">
        <f>IF($A758="","",MID($A758,6,2))</f>
        <v>0</v>
      </c>
      <c r="O758" s="2">
        <f>IF(OR($C758="",$C758&lt;&gt;'Inv'!$D$12),"",N(O$757)+1)</f>
        <v>0</v>
      </c>
    </row>
    <row r="759" spans="1:15">
      <c r="A759" s="2">
        <f>'[01_Entry.xlsx]Book'!A759</f>
        <v/>
      </c>
      <c r="B759" s="2">
        <f>'[01_Entry.xlsx]Book'!B759</f>
        <v/>
      </c>
      <c r="C759" s="2">
        <f>'[01_Entry.xlsx]Book'!D759</f>
        <v/>
      </c>
      <c r="D759" s="2">
        <f>'[01_Entry.xlsx]Book'!E759</f>
        <v/>
      </c>
      <c r="E759" s="2">
        <f>'[01_Entry.xlsx]Book'!O759</f>
        <v/>
      </c>
      <c r="F759" s="2">
        <f>'[01_Entry.xlsx]Book'!N759</f>
        <v/>
      </c>
      <c r="G759" s="3">
        <f>'[01_Entry.xlsx]Book'!L759</f>
        <v/>
      </c>
      <c r="H759" s="3">
        <f>'[01_Entry.xlsx]Book'!M759</f>
        <v/>
      </c>
      <c r="I759" s="3">
        <f>'[01_Entry.xlsx]Book'!K759</f>
        <v/>
      </c>
      <c r="J759" s="3">
        <f>'[01_Entry.xlsx]Book'!P759</f>
        <v/>
      </c>
      <c r="K759" s="3">
        <f>'[01_Entry.xlsx]Book'!F759</f>
        <v/>
      </c>
      <c r="L759" s="3">
        <f>'[01_Entry.xlsx]Book'!G759</f>
        <v/>
      </c>
      <c r="M759" s="3">
        <f>'[01_Entry.xlsx]Book'!I759</f>
        <v/>
      </c>
      <c r="N759" s="2">
        <f>IF($A759="","",MID($A759,6,2))</f>
        <v>0</v>
      </c>
      <c r="O759" s="2">
        <f>IF(OR($C759="",$C759&lt;&gt;'Inv'!$D$12),"",N(O$758)+1)</f>
        <v>0</v>
      </c>
    </row>
    <row r="760" spans="1:15">
      <c r="A760" s="2">
        <f>'[01_Entry.xlsx]Book'!A760</f>
        <v/>
      </c>
      <c r="B760" s="2">
        <f>'[01_Entry.xlsx]Book'!B760</f>
        <v/>
      </c>
      <c r="C760" s="2">
        <f>'[01_Entry.xlsx]Book'!D760</f>
        <v/>
      </c>
      <c r="D760" s="2">
        <f>'[01_Entry.xlsx]Book'!E760</f>
        <v/>
      </c>
      <c r="E760" s="2">
        <f>'[01_Entry.xlsx]Book'!O760</f>
        <v/>
      </c>
      <c r="F760" s="2">
        <f>'[01_Entry.xlsx]Book'!N760</f>
        <v/>
      </c>
      <c r="G760" s="3">
        <f>'[01_Entry.xlsx]Book'!L760</f>
        <v/>
      </c>
      <c r="H760" s="3">
        <f>'[01_Entry.xlsx]Book'!M760</f>
        <v/>
      </c>
      <c r="I760" s="3">
        <f>'[01_Entry.xlsx]Book'!K760</f>
        <v/>
      </c>
      <c r="J760" s="3">
        <f>'[01_Entry.xlsx]Book'!P760</f>
        <v/>
      </c>
      <c r="K760" s="3">
        <f>'[01_Entry.xlsx]Book'!F760</f>
        <v/>
      </c>
      <c r="L760" s="3">
        <f>'[01_Entry.xlsx]Book'!G760</f>
        <v/>
      </c>
      <c r="M760" s="3">
        <f>'[01_Entry.xlsx]Book'!I760</f>
        <v/>
      </c>
      <c r="N760" s="2">
        <f>IF($A760="","",MID($A760,6,2))</f>
        <v>0</v>
      </c>
      <c r="O760" s="2">
        <f>IF(OR($C760="",$C760&lt;&gt;'Inv'!$D$12),"",N(O$759)+1)</f>
        <v>0</v>
      </c>
    </row>
    <row r="761" spans="1:15">
      <c r="A761" s="2">
        <f>'[01_Entry.xlsx]Book'!A761</f>
        <v/>
      </c>
      <c r="B761" s="2">
        <f>'[01_Entry.xlsx]Book'!B761</f>
        <v/>
      </c>
      <c r="C761" s="2">
        <f>'[01_Entry.xlsx]Book'!D761</f>
        <v/>
      </c>
      <c r="D761" s="2">
        <f>'[01_Entry.xlsx]Book'!E761</f>
        <v/>
      </c>
      <c r="E761" s="2">
        <f>'[01_Entry.xlsx]Book'!O761</f>
        <v/>
      </c>
      <c r="F761" s="2">
        <f>'[01_Entry.xlsx]Book'!N761</f>
        <v/>
      </c>
      <c r="G761" s="3">
        <f>'[01_Entry.xlsx]Book'!L761</f>
        <v/>
      </c>
      <c r="H761" s="3">
        <f>'[01_Entry.xlsx]Book'!M761</f>
        <v/>
      </c>
      <c r="I761" s="3">
        <f>'[01_Entry.xlsx]Book'!K761</f>
        <v/>
      </c>
      <c r="J761" s="3">
        <f>'[01_Entry.xlsx]Book'!P761</f>
        <v/>
      </c>
      <c r="K761" s="3">
        <f>'[01_Entry.xlsx]Book'!F761</f>
        <v/>
      </c>
      <c r="L761" s="3">
        <f>'[01_Entry.xlsx]Book'!G761</f>
        <v/>
      </c>
      <c r="M761" s="3">
        <f>'[01_Entry.xlsx]Book'!I761</f>
        <v/>
      </c>
      <c r="N761" s="2">
        <f>IF($A761="","",MID($A761,6,2))</f>
        <v>0</v>
      </c>
      <c r="O761" s="2">
        <f>IF(OR($C761="",$C761&lt;&gt;'Inv'!$D$12),"",N(O$760)+1)</f>
        <v>0</v>
      </c>
    </row>
    <row r="762" spans="1:15">
      <c r="A762" s="2">
        <f>'[01_Entry.xlsx]Book'!A762</f>
        <v/>
      </c>
      <c r="B762" s="2">
        <f>'[01_Entry.xlsx]Book'!B762</f>
        <v/>
      </c>
      <c r="C762" s="2">
        <f>'[01_Entry.xlsx]Book'!D762</f>
        <v/>
      </c>
      <c r="D762" s="2">
        <f>'[01_Entry.xlsx]Book'!E762</f>
        <v/>
      </c>
      <c r="E762" s="2">
        <f>'[01_Entry.xlsx]Book'!O762</f>
        <v/>
      </c>
      <c r="F762" s="2">
        <f>'[01_Entry.xlsx]Book'!N762</f>
        <v/>
      </c>
      <c r="G762" s="3">
        <f>'[01_Entry.xlsx]Book'!L762</f>
        <v/>
      </c>
      <c r="H762" s="3">
        <f>'[01_Entry.xlsx]Book'!M762</f>
        <v/>
      </c>
      <c r="I762" s="3">
        <f>'[01_Entry.xlsx]Book'!K762</f>
        <v/>
      </c>
      <c r="J762" s="3">
        <f>'[01_Entry.xlsx]Book'!P762</f>
        <v/>
      </c>
      <c r="K762" s="3">
        <f>'[01_Entry.xlsx]Book'!F762</f>
        <v/>
      </c>
      <c r="L762" s="3">
        <f>'[01_Entry.xlsx]Book'!G762</f>
        <v/>
      </c>
      <c r="M762" s="3">
        <f>'[01_Entry.xlsx]Book'!I762</f>
        <v/>
      </c>
      <c r="N762" s="2">
        <f>IF($A762="","",MID($A762,6,2))</f>
        <v>0</v>
      </c>
      <c r="O762" s="2">
        <f>IF(OR($C762="",$C762&lt;&gt;'Inv'!$D$12),"",N(O$761)+1)</f>
        <v>0</v>
      </c>
    </row>
    <row r="763" spans="1:15">
      <c r="A763" s="2">
        <f>'[01_Entry.xlsx]Book'!A763</f>
        <v/>
      </c>
      <c r="B763" s="2">
        <f>'[01_Entry.xlsx]Book'!B763</f>
        <v/>
      </c>
      <c r="C763" s="2">
        <f>'[01_Entry.xlsx]Book'!D763</f>
        <v/>
      </c>
      <c r="D763" s="2">
        <f>'[01_Entry.xlsx]Book'!E763</f>
        <v/>
      </c>
      <c r="E763" s="2">
        <f>'[01_Entry.xlsx]Book'!O763</f>
        <v/>
      </c>
      <c r="F763" s="2">
        <f>'[01_Entry.xlsx]Book'!N763</f>
        <v/>
      </c>
      <c r="G763" s="3">
        <f>'[01_Entry.xlsx]Book'!L763</f>
        <v/>
      </c>
      <c r="H763" s="3">
        <f>'[01_Entry.xlsx]Book'!M763</f>
        <v/>
      </c>
      <c r="I763" s="3">
        <f>'[01_Entry.xlsx]Book'!K763</f>
        <v/>
      </c>
      <c r="J763" s="3">
        <f>'[01_Entry.xlsx]Book'!P763</f>
        <v/>
      </c>
      <c r="K763" s="3">
        <f>'[01_Entry.xlsx]Book'!F763</f>
        <v/>
      </c>
      <c r="L763" s="3">
        <f>'[01_Entry.xlsx]Book'!G763</f>
        <v/>
      </c>
      <c r="M763" s="3">
        <f>'[01_Entry.xlsx]Book'!I763</f>
        <v/>
      </c>
      <c r="N763" s="2">
        <f>IF($A763="","",MID($A763,6,2))</f>
        <v>0</v>
      </c>
      <c r="O763" s="2">
        <f>IF(OR($C763="",$C763&lt;&gt;'Inv'!$D$12),"",N(O$762)+1)</f>
        <v>0</v>
      </c>
    </row>
    <row r="764" spans="1:15">
      <c r="A764" s="2">
        <f>'[01_Entry.xlsx]Book'!A764</f>
        <v/>
      </c>
      <c r="B764" s="2">
        <f>'[01_Entry.xlsx]Book'!B764</f>
        <v/>
      </c>
      <c r="C764" s="2">
        <f>'[01_Entry.xlsx]Book'!D764</f>
        <v/>
      </c>
      <c r="D764" s="2">
        <f>'[01_Entry.xlsx]Book'!E764</f>
        <v/>
      </c>
      <c r="E764" s="2">
        <f>'[01_Entry.xlsx]Book'!O764</f>
        <v/>
      </c>
      <c r="F764" s="2">
        <f>'[01_Entry.xlsx]Book'!N764</f>
        <v/>
      </c>
      <c r="G764" s="3">
        <f>'[01_Entry.xlsx]Book'!L764</f>
        <v/>
      </c>
      <c r="H764" s="3">
        <f>'[01_Entry.xlsx]Book'!M764</f>
        <v/>
      </c>
      <c r="I764" s="3">
        <f>'[01_Entry.xlsx]Book'!K764</f>
        <v/>
      </c>
      <c r="J764" s="3">
        <f>'[01_Entry.xlsx]Book'!P764</f>
        <v/>
      </c>
      <c r="K764" s="3">
        <f>'[01_Entry.xlsx]Book'!F764</f>
        <v/>
      </c>
      <c r="L764" s="3">
        <f>'[01_Entry.xlsx]Book'!G764</f>
        <v/>
      </c>
      <c r="M764" s="3">
        <f>'[01_Entry.xlsx]Book'!I764</f>
        <v/>
      </c>
      <c r="N764" s="2">
        <f>IF($A764="","",MID($A764,6,2))</f>
        <v>0</v>
      </c>
      <c r="O764" s="2">
        <f>IF(OR($C764="",$C764&lt;&gt;'Inv'!$D$12),"",N(O$763)+1)</f>
        <v>0</v>
      </c>
    </row>
    <row r="765" spans="1:15">
      <c r="A765" s="2">
        <f>'[01_Entry.xlsx]Book'!A765</f>
        <v/>
      </c>
      <c r="B765" s="2">
        <f>'[01_Entry.xlsx]Book'!B765</f>
        <v/>
      </c>
      <c r="C765" s="2">
        <f>'[01_Entry.xlsx]Book'!D765</f>
        <v/>
      </c>
      <c r="D765" s="2">
        <f>'[01_Entry.xlsx]Book'!E765</f>
        <v/>
      </c>
      <c r="E765" s="2">
        <f>'[01_Entry.xlsx]Book'!O765</f>
        <v/>
      </c>
      <c r="F765" s="2">
        <f>'[01_Entry.xlsx]Book'!N765</f>
        <v/>
      </c>
      <c r="G765" s="3">
        <f>'[01_Entry.xlsx]Book'!L765</f>
        <v/>
      </c>
      <c r="H765" s="3">
        <f>'[01_Entry.xlsx]Book'!M765</f>
        <v/>
      </c>
      <c r="I765" s="3">
        <f>'[01_Entry.xlsx]Book'!K765</f>
        <v/>
      </c>
      <c r="J765" s="3">
        <f>'[01_Entry.xlsx]Book'!P765</f>
        <v/>
      </c>
      <c r="K765" s="3">
        <f>'[01_Entry.xlsx]Book'!F765</f>
        <v/>
      </c>
      <c r="L765" s="3">
        <f>'[01_Entry.xlsx]Book'!G765</f>
        <v/>
      </c>
      <c r="M765" s="3">
        <f>'[01_Entry.xlsx]Book'!I765</f>
        <v/>
      </c>
      <c r="N765" s="2">
        <f>IF($A765="","",MID($A765,6,2))</f>
        <v>0</v>
      </c>
      <c r="O765" s="2">
        <f>IF(OR($C765="",$C765&lt;&gt;'Inv'!$D$12),"",N(O$764)+1)</f>
        <v>0</v>
      </c>
    </row>
    <row r="766" spans="1:15">
      <c r="A766" s="2">
        <f>'[01_Entry.xlsx]Book'!A766</f>
        <v/>
      </c>
      <c r="B766" s="2">
        <f>'[01_Entry.xlsx]Book'!B766</f>
        <v/>
      </c>
      <c r="C766" s="2">
        <f>'[01_Entry.xlsx]Book'!D766</f>
        <v/>
      </c>
      <c r="D766" s="2">
        <f>'[01_Entry.xlsx]Book'!E766</f>
        <v/>
      </c>
      <c r="E766" s="2">
        <f>'[01_Entry.xlsx]Book'!O766</f>
        <v/>
      </c>
      <c r="F766" s="2">
        <f>'[01_Entry.xlsx]Book'!N766</f>
        <v/>
      </c>
      <c r="G766" s="3">
        <f>'[01_Entry.xlsx]Book'!L766</f>
        <v/>
      </c>
      <c r="H766" s="3">
        <f>'[01_Entry.xlsx]Book'!M766</f>
        <v/>
      </c>
      <c r="I766" s="3">
        <f>'[01_Entry.xlsx]Book'!K766</f>
        <v/>
      </c>
      <c r="J766" s="3">
        <f>'[01_Entry.xlsx]Book'!P766</f>
        <v/>
      </c>
      <c r="K766" s="3">
        <f>'[01_Entry.xlsx]Book'!F766</f>
        <v/>
      </c>
      <c r="L766" s="3">
        <f>'[01_Entry.xlsx]Book'!G766</f>
        <v/>
      </c>
      <c r="M766" s="3">
        <f>'[01_Entry.xlsx]Book'!I766</f>
        <v/>
      </c>
      <c r="N766" s="2">
        <f>IF($A766="","",MID($A766,6,2))</f>
        <v>0</v>
      </c>
      <c r="O766" s="2">
        <f>IF(OR($C766="",$C766&lt;&gt;'Inv'!$D$12),"",N(O$765)+1)</f>
        <v>0</v>
      </c>
    </row>
    <row r="767" spans="1:15">
      <c r="A767" s="2">
        <f>'[01_Entry.xlsx]Book'!A767</f>
        <v/>
      </c>
      <c r="B767" s="2">
        <f>'[01_Entry.xlsx]Book'!B767</f>
        <v/>
      </c>
      <c r="C767" s="2">
        <f>'[01_Entry.xlsx]Book'!D767</f>
        <v/>
      </c>
      <c r="D767" s="2">
        <f>'[01_Entry.xlsx]Book'!E767</f>
        <v/>
      </c>
      <c r="E767" s="2">
        <f>'[01_Entry.xlsx]Book'!O767</f>
        <v/>
      </c>
      <c r="F767" s="2">
        <f>'[01_Entry.xlsx]Book'!N767</f>
        <v/>
      </c>
      <c r="G767" s="3">
        <f>'[01_Entry.xlsx]Book'!L767</f>
        <v/>
      </c>
      <c r="H767" s="3">
        <f>'[01_Entry.xlsx]Book'!M767</f>
        <v/>
      </c>
      <c r="I767" s="3">
        <f>'[01_Entry.xlsx]Book'!K767</f>
        <v/>
      </c>
      <c r="J767" s="3">
        <f>'[01_Entry.xlsx]Book'!P767</f>
        <v/>
      </c>
      <c r="K767" s="3">
        <f>'[01_Entry.xlsx]Book'!F767</f>
        <v/>
      </c>
      <c r="L767" s="3">
        <f>'[01_Entry.xlsx]Book'!G767</f>
        <v/>
      </c>
      <c r="M767" s="3">
        <f>'[01_Entry.xlsx]Book'!I767</f>
        <v/>
      </c>
      <c r="N767" s="2">
        <f>IF($A767="","",MID($A767,6,2))</f>
        <v>0</v>
      </c>
      <c r="O767" s="2">
        <f>IF(OR($C767="",$C767&lt;&gt;'Inv'!$D$12),"",N(O$766)+1)</f>
        <v>0</v>
      </c>
    </row>
    <row r="768" spans="1:15">
      <c r="A768" s="2">
        <f>'[01_Entry.xlsx]Book'!A768</f>
        <v/>
      </c>
      <c r="B768" s="2">
        <f>'[01_Entry.xlsx]Book'!B768</f>
        <v/>
      </c>
      <c r="C768" s="2">
        <f>'[01_Entry.xlsx]Book'!D768</f>
        <v/>
      </c>
      <c r="D768" s="2">
        <f>'[01_Entry.xlsx]Book'!E768</f>
        <v/>
      </c>
      <c r="E768" s="2">
        <f>'[01_Entry.xlsx]Book'!O768</f>
        <v/>
      </c>
      <c r="F768" s="2">
        <f>'[01_Entry.xlsx]Book'!N768</f>
        <v/>
      </c>
      <c r="G768" s="3">
        <f>'[01_Entry.xlsx]Book'!L768</f>
        <v/>
      </c>
      <c r="H768" s="3">
        <f>'[01_Entry.xlsx]Book'!M768</f>
        <v/>
      </c>
      <c r="I768" s="3">
        <f>'[01_Entry.xlsx]Book'!K768</f>
        <v/>
      </c>
      <c r="J768" s="3">
        <f>'[01_Entry.xlsx]Book'!P768</f>
        <v/>
      </c>
      <c r="K768" s="3">
        <f>'[01_Entry.xlsx]Book'!F768</f>
        <v/>
      </c>
      <c r="L768" s="3">
        <f>'[01_Entry.xlsx]Book'!G768</f>
        <v/>
      </c>
      <c r="M768" s="3">
        <f>'[01_Entry.xlsx]Book'!I768</f>
        <v/>
      </c>
      <c r="N768" s="2">
        <f>IF($A768="","",MID($A768,6,2))</f>
        <v>0</v>
      </c>
      <c r="O768" s="2">
        <f>IF(OR($C768="",$C768&lt;&gt;'Inv'!$D$12),"",N(O$767)+1)</f>
        <v>0</v>
      </c>
    </row>
    <row r="769" spans="1:15">
      <c r="A769" s="2">
        <f>'[01_Entry.xlsx]Book'!A769</f>
        <v/>
      </c>
      <c r="B769" s="2">
        <f>'[01_Entry.xlsx]Book'!B769</f>
        <v/>
      </c>
      <c r="C769" s="2">
        <f>'[01_Entry.xlsx]Book'!D769</f>
        <v/>
      </c>
      <c r="D769" s="2">
        <f>'[01_Entry.xlsx]Book'!E769</f>
        <v/>
      </c>
      <c r="E769" s="2">
        <f>'[01_Entry.xlsx]Book'!O769</f>
        <v/>
      </c>
      <c r="F769" s="2">
        <f>'[01_Entry.xlsx]Book'!N769</f>
        <v/>
      </c>
      <c r="G769" s="3">
        <f>'[01_Entry.xlsx]Book'!L769</f>
        <v/>
      </c>
      <c r="H769" s="3">
        <f>'[01_Entry.xlsx]Book'!M769</f>
        <v/>
      </c>
      <c r="I769" s="3">
        <f>'[01_Entry.xlsx]Book'!K769</f>
        <v/>
      </c>
      <c r="J769" s="3">
        <f>'[01_Entry.xlsx]Book'!P769</f>
        <v/>
      </c>
      <c r="K769" s="3">
        <f>'[01_Entry.xlsx]Book'!F769</f>
        <v/>
      </c>
      <c r="L769" s="3">
        <f>'[01_Entry.xlsx]Book'!G769</f>
        <v/>
      </c>
      <c r="M769" s="3">
        <f>'[01_Entry.xlsx]Book'!I769</f>
        <v/>
      </c>
      <c r="N769" s="2">
        <f>IF($A769="","",MID($A769,6,2))</f>
        <v>0</v>
      </c>
      <c r="O769" s="2">
        <f>IF(OR($C769="",$C769&lt;&gt;'Inv'!$D$12),"",N(O$768)+1)</f>
        <v>0</v>
      </c>
    </row>
    <row r="770" spans="1:15">
      <c r="A770" s="2">
        <f>'[01_Entry.xlsx]Book'!A770</f>
        <v/>
      </c>
      <c r="B770" s="2">
        <f>'[01_Entry.xlsx]Book'!B770</f>
        <v/>
      </c>
      <c r="C770" s="2">
        <f>'[01_Entry.xlsx]Book'!D770</f>
        <v/>
      </c>
      <c r="D770" s="2">
        <f>'[01_Entry.xlsx]Book'!E770</f>
        <v/>
      </c>
      <c r="E770" s="2">
        <f>'[01_Entry.xlsx]Book'!O770</f>
        <v/>
      </c>
      <c r="F770" s="2">
        <f>'[01_Entry.xlsx]Book'!N770</f>
        <v/>
      </c>
      <c r="G770" s="3">
        <f>'[01_Entry.xlsx]Book'!L770</f>
        <v/>
      </c>
      <c r="H770" s="3">
        <f>'[01_Entry.xlsx]Book'!M770</f>
        <v/>
      </c>
      <c r="I770" s="3">
        <f>'[01_Entry.xlsx]Book'!K770</f>
        <v/>
      </c>
      <c r="J770" s="3">
        <f>'[01_Entry.xlsx]Book'!P770</f>
        <v/>
      </c>
      <c r="K770" s="3">
        <f>'[01_Entry.xlsx]Book'!F770</f>
        <v/>
      </c>
      <c r="L770" s="3">
        <f>'[01_Entry.xlsx]Book'!G770</f>
        <v/>
      </c>
      <c r="M770" s="3">
        <f>'[01_Entry.xlsx]Book'!I770</f>
        <v/>
      </c>
      <c r="N770" s="2">
        <f>IF($A770="","",MID($A770,6,2))</f>
        <v>0</v>
      </c>
      <c r="O770" s="2">
        <f>IF(OR($C770="",$C770&lt;&gt;'Inv'!$D$12),"",N(O$769)+1)</f>
        <v>0</v>
      </c>
    </row>
    <row r="771" spans="1:15">
      <c r="A771" s="2">
        <f>'[01_Entry.xlsx]Book'!A771</f>
        <v/>
      </c>
      <c r="B771" s="2">
        <f>'[01_Entry.xlsx]Book'!B771</f>
        <v/>
      </c>
      <c r="C771" s="2">
        <f>'[01_Entry.xlsx]Book'!D771</f>
        <v/>
      </c>
      <c r="D771" s="2">
        <f>'[01_Entry.xlsx]Book'!E771</f>
        <v/>
      </c>
      <c r="E771" s="2">
        <f>'[01_Entry.xlsx]Book'!O771</f>
        <v/>
      </c>
      <c r="F771" s="2">
        <f>'[01_Entry.xlsx]Book'!N771</f>
        <v/>
      </c>
      <c r="G771" s="3">
        <f>'[01_Entry.xlsx]Book'!L771</f>
        <v/>
      </c>
      <c r="H771" s="3">
        <f>'[01_Entry.xlsx]Book'!M771</f>
        <v/>
      </c>
      <c r="I771" s="3">
        <f>'[01_Entry.xlsx]Book'!K771</f>
        <v/>
      </c>
      <c r="J771" s="3">
        <f>'[01_Entry.xlsx]Book'!P771</f>
        <v/>
      </c>
      <c r="K771" s="3">
        <f>'[01_Entry.xlsx]Book'!F771</f>
        <v/>
      </c>
      <c r="L771" s="3">
        <f>'[01_Entry.xlsx]Book'!G771</f>
        <v/>
      </c>
      <c r="M771" s="3">
        <f>'[01_Entry.xlsx]Book'!I771</f>
        <v/>
      </c>
      <c r="N771" s="2">
        <f>IF($A771="","",MID($A771,6,2))</f>
        <v>0</v>
      </c>
      <c r="O771" s="2">
        <f>IF(OR($C771="",$C771&lt;&gt;'Inv'!$D$12),"",N(O$770)+1)</f>
        <v>0</v>
      </c>
    </row>
    <row r="772" spans="1:15">
      <c r="A772" s="2">
        <f>'[01_Entry.xlsx]Book'!A772</f>
        <v/>
      </c>
      <c r="B772" s="2">
        <f>'[01_Entry.xlsx]Book'!B772</f>
        <v/>
      </c>
      <c r="C772" s="2">
        <f>'[01_Entry.xlsx]Book'!D772</f>
        <v/>
      </c>
      <c r="D772" s="2">
        <f>'[01_Entry.xlsx]Book'!E772</f>
        <v/>
      </c>
      <c r="E772" s="2">
        <f>'[01_Entry.xlsx]Book'!O772</f>
        <v/>
      </c>
      <c r="F772" s="2">
        <f>'[01_Entry.xlsx]Book'!N772</f>
        <v/>
      </c>
      <c r="G772" s="3">
        <f>'[01_Entry.xlsx]Book'!L772</f>
        <v/>
      </c>
      <c r="H772" s="3">
        <f>'[01_Entry.xlsx]Book'!M772</f>
        <v/>
      </c>
      <c r="I772" s="3">
        <f>'[01_Entry.xlsx]Book'!K772</f>
        <v/>
      </c>
      <c r="J772" s="3">
        <f>'[01_Entry.xlsx]Book'!P772</f>
        <v/>
      </c>
      <c r="K772" s="3">
        <f>'[01_Entry.xlsx]Book'!F772</f>
        <v/>
      </c>
      <c r="L772" s="3">
        <f>'[01_Entry.xlsx]Book'!G772</f>
        <v/>
      </c>
      <c r="M772" s="3">
        <f>'[01_Entry.xlsx]Book'!I772</f>
        <v/>
      </c>
      <c r="N772" s="2">
        <f>IF($A772="","",MID($A772,6,2))</f>
        <v>0</v>
      </c>
      <c r="O772" s="2">
        <f>IF(OR($C772="",$C772&lt;&gt;'Inv'!$D$12),"",N(O$771)+1)</f>
        <v>0</v>
      </c>
    </row>
    <row r="773" spans="1:15">
      <c r="A773" s="2">
        <f>'[01_Entry.xlsx]Book'!A773</f>
        <v/>
      </c>
      <c r="B773" s="2">
        <f>'[01_Entry.xlsx]Book'!B773</f>
        <v/>
      </c>
      <c r="C773" s="2">
        <f>'[01_Entry.xlsx]Book'!D773</f>
        <v/>
      </c>
      <c r="D773" s="2">
        <f>'[01_Entry.xlsx]Book'!E773</f>
        <v/>
      </c>
      <c r="E773" s="2">
        <f>'[01_Entry.xlsx]Book'!O773</f>
        <v/>
      </c>
      <c r="F773" s="2">
        <f>'[01_Entry.xlsx]Book'!N773</f>
        <v/>
      </c>
      <c r="G773" s="3">
        <f>'[01_Entry.xlsx]Book'!L773</f>
        <v/>
      </c>
      <c r="H773" s="3">
        <f>'[01_Entry.xlsx]Book'!M773</f>
        <v/>
      </c>
      <c r="I773" s="3">
        <f>'[01_Entry.xlsx]Book'!K773</f>
        <v/>
      </c>
      <c r="J773" s="3">
        <f>'[01_Entry.xlsx]Book'!P773</f>
        <v/>
      </c>
      <c r="K773" s="3">
        <f>'[01_Entry.xlsx]Book'!F773</f>
        <v/>
      </c>
      <c r="L773" s="3">
        <f>'[01_Entry.xlsx]Book'!G773</f>
        <v/>
      </c>
      <c r="M773" s="3">
        <f>'[01_Entry.xlsx]Book'!I773</f>
        <v/>
      </c>
      <c r="N773" s="2">
        <f>IF($A773="","",MID($A773,6,2))</f>
        <v>0</v>
      </c>
      <c r="O773" s="2">
        <f>IF(OR($C773="",$C773&lt;&gt;'Inv'!$D$12),"",N(O$772)+1)</f>
        <v>0</v>
      </c>
    </row>
    <row r="774" spans="1:15">
      <c r="A774" s="2">
        <f>'[01_Entry.xlsx]Book'!A774</f>
        <v/>
      </c>
      <c r="B774" s="2">
        <f>'[01_Entry.xlsx]Book'!B774</f>
        <v/>
      </c>
      <c r="C774" s="2">
        <f>'[01_Entry.xlsx]Book'!D774</f>
        <v/>
      </c>
      <c r="D774" s="2">
        <f>'[01_Entry.xlsx]Book'!E774</f>
        <v/>
      </c>
      <c r="E774" s="2">
        <f>'[01_Entry.xlsx]Book'!O774</f>
        <v/>
      </c>
      <c r="F774" s="2">
        <f>'[01_Entry.xlsx]Book'!N774</f>
        <v/>
      </c>
      <c r="G774" s="3">
        <f>'[01_Entry.xlsx]Book'!L774</f>
        <v/>
      </c>
      <c r="H774" s="3">
        <f>'[01_Entry.xlsx]Book'!M774</f>
        <v/>
      </c>
      <c r="I774" s="3">
        <f>'[01_Entry.xlsx]Book'!K774</f>
        <v/>
      </c>
      <c r="J774" s="3">
        <f>'[01_Entry.xlsx]Book'!P774</f>
        <v/>
      </c>
      <c r="K774" s="3">
        <f>'[01_Entry.xlsx]Book'!F774</f>
        <v/>
      </c>
      <c r="L774" s="3">
        <f>'[01_Entry.xlsx]Book'!G774</f>
        <v/>
      </c>
      <c r="M774" s="3">
        <f>'[01_Entry.xlsx]Book'!I774</f>
        <v/>
      </c>
      <c r="N774" s="2">
        <f>IF($A774="","",MID($A774,6,2))</f>
        <v>0</v>
      </c>
      <c r="O774" s="2">
        <f>IF(OR($C774="",$C774&lt;&gt;'Inv'!$D$12),"",N(O$773)+1)</f>
        <v>0</v>
      </c>
    </row>
    <row r="775" spans="1:15">
      <c r="A775" s="2">
        <f>'[01_Entry.xlsx]Book'!A775</f>
        <v/>
      </c>
      <c r="B775" s="2">
        <f>'[01_Entry.xlsx]Book'!B775</f>
        <v/>
      </c>
      <c r="C775" s="2">
        <f>'[01_Entry.xlsx]Book'!D775</f>
        <v/>
      </c>
      <c r="D775" s="2">
        <f>'[01_Entry.xlsx]Book'!E775</f>
        <v/>
      </c>
      <c r="E775" s="2">
        <f>'[01_Entry.xlsx]Book'!O775</f>
        <v/>
      </c>
      <c r="F775" s="2">
        <f>'[01_Entry.xlsx]Book'!N775</f>
        <v/>
      </c>
      <c r="G775" s="3">
        <f>'[01_Entry.xlsx]Book'!L775</f>
        <v/>
      </c>
      <c r="H775" s="3">
        <f>'[01_Entry.xlsx]Book'!M775</f>
        <v/>
      </c>
      <c r="I775" s="3">
        <f>'[01_Entry.xlsx]Book'!K775</f>
        <v/>
      </c>
      <c r="J775" s="3">
        <f>'[01_Entry.xlsx]Book'!P775</f>
        <v/>
      </c>
      <c r="K775" s="3">
        <f>'[01_Entry.xlsx]Book'!F775</f>
        <v/>
      </c>
      <c r="L775" s="3">
        <f>'[01_Entry.xlsx]Book'!G775</f>
        <v/>
      </c>
      <c r="M775" s="3">
        <f>'[01_Entry.xlsx]Book'!I775</f>
        <v/>
      </c>
      <c r="N775" s="2">
        <f>IF($A775="","",MID($A775,6,2))</f>
        <v>0</v>
      </c>
      <c r="O775" s="2">
        <f>IF(OR($C775="",$C775&lt;&gt;'Inv'!$D$12),"",N(O$774)+1)</f>
        <v>0</v>
      </c>
    </row>
    <row r="776" spans="1:15">
      <c r="A776" s="2">
        <f>'[01_Entry.xlsx]Book'!A776</f>
        <v/>
      </c>
      <c r="B776" s="2">
        <f>'[01_Entry.xlsx]Book'!B776</f>
        <v/>
      </c>
      <c r="C776" s="2">
        <f>'[01_Entry.xlsx]Book'!D776</f>
        <v/>
      </c>
      <c r="D776" s="2">
        <f>'[01_Entry.xlsx]Book'!E776</f>
        <v/>
      </c>
      <c r="E776" s="2">
        <f>'[01_Entry.xlsx]Book'!O776</f>
        <v/>
      </c>
      <c r="F776" s="2">
        <f>'[01_Entry.xlsx]Book'!N776</f>
        <v/>
      </c>
      <c r="G776" s="3">
        <f>'[01_Entry.xlsx]Book'!L776</f>
        <v/>
      </c>
      <c r="H776" s="3">
        <f>'[01_Entry.xlsx]Book'!M776</f>
        <v/>
      </c>
      <c r="I776" s="3">
        <f>'[01_Entry.xlsx]Book'!K776</f>
        <v/>
      </c>
      <c r="J776" s="3">
        <f>'[01_Entry.xlsx]Book'!P776</f>
        <v/>
      </c>
      <c r="K776" s="3">
        <f>'[01_Entry.xlsx]Book'!F776</f>
        <v/>
      </c>
      <c r="L776" s="3">
        <f>'[01_Entry.xlsx]Book'!G776</f>
        <v/>
      </c>
      <c r="M776" s="3">
        <f>'[01_Entry.xlsx]Book'!I776</f>
        <v/>
      </c>
      <c r="N776" s="2">
        <f>IF($A776="","",MID($A776,6,2))</f>
        <v>0</v>
      </c>
      <c r="O776" s="2">
        <f>IF(OR($C776="",$C776&lt;&gt;'Inv'!$D$12),"",N(O$775)+1)</f>
        <v>0</v>
      </c>
    </row>
    <row r="777" spans="1:15">
      <c r="A777" s="2">
        <f>'[01_Entry.xlsx]Book'!A777</f>
        <v/>
      </c>
      <c r="B777" s="2">
        <f>'[01_Entry.xlsx]Book'!B777</f>
        <v/>
      </c>
      <c r="C777" s="2">
        <f>'[01_Entry.xlsx]Book'!D777</f>
        <v/>
      </c>
      <c r="D777" s="2">
        <f>'[01_Entry.xlsx]Book'!E777</f>
        <v/>
      </c>
      <c r="E777" s="2">
        <f>'[01_Entry.xlsx]Book'!O777</f>
        <v/>
      </c>
      <c r="F777" s="2">
        <f>'[01_Entry.xlsx]Book'!N777</f>
        <v/>
      </c>
      <c r="G777" s="3">
        <f>'[01_Entry.xlsx]Book'!L777</f>
        <v/>
      </c>
      <c r="H777" s="3">
        <f>'[01_Entry.xlsx]Book'!M777</f>
        <v/>
      </c>
      <c r="I777" s="3">
        <f>'[01_Entry.xlsx]Book'!K777</f>
        <v/>
      </c>
      <c r="J777" s="3">
        <f>'[01_Entry.xlsx]Book'!P777</f>
        <v/>
      </c>
      <c r="K777" s="3">
        <f>'[01_Entry.xlsx]Book'!F777</f>
        <v/>
      </c>
      <c r="L777" s="3">
        <f>'[01_Entry.xlsx]Book'!G777</f>
        <v/>
      </c>
      <c r="M777" s="3">
        <f>'[01_Entry.xlsx]Book'!I777</f>
        <v/>
      </c>
      <c r="N777" s="2">
        <f>IF($A777="","",MID($A777,6,2))</f>
        <v>0</v>
      </c>
      <c r="O777" s="2">
        <f>IF(OR($C777="",$C777&lt;&gt;'Inv'!$D$12),"",N(O$776)+1)</f>
        <v>0</v>
      </c>
    </row>
    <row r="778" spans="1:15">
      <c r="A778" s="2">
        <f>'[01_Entry.xlsx]Book'!A778</f>
        <v/>
      </c>
      <c r="B778" s="2">
        <f>'[01_Entry.xlsx]Book'!B778</f>
        <v/>
      </c>
      <c r="C778" s="2">
        <f>'[01_Entry.xlsx]Book'!D778</f>
        <v/>
      </c>
      <c r="D778" s="2">
        <f>'[01_Entry.xlsx]Book'!E778</f>
        <v/>
      </c>
      <c r="E778" s="2">
        <f>'[01_Entry.xlsx]Book'!O778</f>
        <v/>
      </c>
      <c r="F778" s="2">
        <f>'[01_Entry.xlsx]Book'!N778</f>
        <v/>
      </c>
      <c r="G778" s="3">
        <f>'[01_Entry.xlsx]Book'!L778</f>
        <v/>
      </c>
      <c r="H778" s="3">
        <f>'[01_Entry.xlsx]Book'!M778</f>
        <v/>
      </c>
      <c r="I778" s="3">
        <f>'[01_Entry.xlsx]Book'!K778</f>
        <v/>
      </c>
      <c r="J778" s="3">
        <f>'[01_Entry.xlsx]Book'!P778</f>
        <v/>
      </c>
      <c r="K778" s="3">
        <f>'[01_Entry.xlsx]Book'!F778</f>
        <v/>
      </c>
      <c r="L778" s="3">
        <f>'[01_Entry.xlsx]Book'!G778</f>
        <v/>
      </c>
      <c r="M778" s="3">
        <f>'[01_Entry.xlsx]Book'!I778</f>
        <v/>
      </c>
      <c r="N778" s="2">
        <f>IF($A778="","",MID($A778,6,2))</f>
        <v>0</v>
      </c>
      <c r="O778" s="2">
        <f>IF(OR($C778="",$C778&lt;&gt;'Inv'!$D$12),"",N(O$777)+1)</f>
        <v>0</v>
      </c>
    </row>
    <row r="779" spans="1:15">
      <c r="A779" s="2">
        <f>'[01_Entry.xlsx]Book'!A779</f>
        <v/>
      </c>
      <c r="B779" s="2">
        <f>'[01_Entry.xlsx]Book'!B779</f>
        <v/>
      </c>
      <c r="C779" s="2">
        <f>'[01_Entry.xlsx]Book'!D779</f>
        <v/>
      </c>
      <c r="D779" s="2">
        <f>'[01_Entry.xlsx]Book'!E779</f>
        <v/>
      </c>
      <c r="E779" s="2">
        <f>'[01_Entry.xlsx]Book'!O779</f>
        <v/>
      </c>
      <c r="F779" s="2">
        <f>'[01_Entry.xlsx]Book'!N779</f>
        <v/>
      </c>
      <c r="G779" s="3">
        <f>'[01_Entry.xlsx]Book'!L779</f>
        <v/>
      </c>
      <c r="H779" s="3">
        <f>'[01_Entry.xlsx]Book'!M779</f>
        <v/>
      </c>
      <c r="I779" s="3">
        <f>'[01_Entry.xlsx]Book'!K779</f>
        <v/>
      </c>
      <c r="J779" s="3">
        <f>'[01_Entry.xlsx]Book'!P779</f>
        <v/>
      </c>
      <c r="K779" s="3">
        <f>'[01_Entry.xlsx]Book'!F779</f>
        <v/>
      </c>
      <c r="L779" s="3">
        <f>'[01_Entry.xlsx]Book'!G779</f>
        <v/>
      </c>
      <c r="M779" s="3">
        <f>'[01_Entry.xlsx]Book'!I779</f>
        <v/>
      </c>
      <c r="N779" s="2">
        <f>IF($A779="","",MID($A779,6,2))</f>
        <v>0</v>
      </c>
      <c r="O779" s="2">
        <f>IF(OR($C779="",$C779&lt;&gt;'Inv'!$D$12),"",N(O$778)+1)</f>
        <v>0</v>
      </c>
    </row>
    <row r="780" spans="1:15">
      <c r="A780" s="2">
        <f>'[01_Entry.xlsx]Book'!A780</f>
        <v/>
      </c>
      <c r="B780" s="2">
        <f>'[01_Entry.xlsx]Book'!B780</f>
        <v/>
      </c>
      <c r="C780" s="2">
        <f>'[01_Entry.xlsx]Book'!D780</f>
        <v/>
      </c>
      <c r="D780" s="2">
        <f>'[01_Entry.xlsx]Book'!E780</f>
        <v/>
      </c>
      <c r="E780" s="2">
        <f>'[01_Entry.xlsx]Book'!O780</f>
        <v/>
      </c>
      <c r="F780" s="2">
        <f>'[01_Entry.xlsx]Book'!N780</f>
        <v/>
      </c>
      <c r="G780" s="3">
        <f>'[01_Entry.xlsx]Book'!L780</f>
        <v/>
      </c>
      <c r="H780" s="3">
        <f>'[01_Entry.xlsx]Book'!M780</f>
        <v/>
      </c>
      <c r="I780" s="3">
        <f>'[01_Entry.xlsx]Book'!K780</f>
        <v/>
      </c>
      <c r="J780" s="3">
        <f>'[01_Entry.xlsx]Book'!P780</f>
        <v/>
      </c>
      <c r="K780" s="3">
        <f>'[01_Entry.xlsx]Book'!F780</f>
        <v/>
      </c>
      <c r="L780" s="3">
        <f>'[01_Entry.xlsx]Book'!G780</f>
        <v/>
      </c>
      <c r="M780" s="3">
        <f>'[01_Entry.xlsx]Book'!I780</f>
        <v/>
      </c>
      <c r="N780" s="2">
        <f>IF($A780="","",MID($A780,6,2))</f>
        <v>0</v>
      </c>
      <c r="O780" s="2">
        <f>IF(OR($C780="",$C780&lt;&gt;'Inv'!$D$12),"",N(O$779)+1)</f>
        <v>0</v>
      </c>
    </row>
    <row r="781" spans="1:15">
      <c r="A781" s="2">
        <f>'[01_Entry.xlsx]Book'!A781</f>
        <v/>
      </c>
      <c r="B781" s="2">
        <f>'[01_Entry.xlsx]Book'!B781</f>
        <v/>
      </c>
      <c r="C781" s="2">
        <f>'[01_Entry.xlsx]Book'!D781</f>
        <v/>
      </c>
      <c r="D781" s="2">
        <f>'[01_Entry.xlsx]Book'!E781</f>
        <v/>
      </c>
      <c r="E781" s="2">
        <f>'[01_Entry.xlsx]Book'!O781</f>
        <v/>
      </c>
      <c r="F781" s="2">
        <f>'[01_Entry.xlsx]Book'!N781</f>
        <v/>
      </c>
      <c r="G781" s="3">
        <f>'[01_Entry.xlsx]Book'!L781</f>
        <v/>
      </c>
      <c r="H781" s="3">
        <f>'[01_Entry.xlsx]Book'!M781</f>
        <v/>
      </c>
      <c r="I781" s="3">
        <f>'[01_Entry.xlsx]Book'!K781</f>
        <v/>
      </c>
      <c r="J781" s="3">
        <f>'[01_Entry.xlsx]Book'!P781</f>
        <v/>
      </c>
      <c r="K781" s="3">
        <f>'[01_Entry.xlsx]Book'!F781</f>
        <v/>
      </c>
      <c r="L781" s="3">
        <f>'[01_Entry.xlsx]Book'!G781</f>
        <v/>
      </c>
      <c r="M781" s="3">
        <f>'[01_Entry.xlsx]Book'!I781</f>
        <v/>
      </c>
      <c r="N781" s="2">
        <f>IF($A781="","",MID($A781,6,2))</f>
        <v>0</v>
      </c>
      <c r="O781" s="2">
        <f>IF(OR($C781="",$C781&lt;&gt;'Inv'!$D$12),"",N(O$780)+1)</f>
        <v>0</v>
      </c>
    </row>
    <row r="782" spans="1:15">
      <c r="A782" s="2">
        <f>'[01_Entry.xlsx]Book'!A782</f>
        <v/>
      </c>
      <c r="B782" s="2">
        <f>'[01_Entry.xlsx]Book'!B782</f>
        <v/>
      </c>
      <c r="C782" s="2">
        <f>'[01_Entry.xlsx]Book'!D782</f>
        <v/>
      </c>
      <c r="D782" s="2">
        <f>'[01_Entry.xlsx]Book'!E782</f>
        <v/>
      </c>
      <c r="E782" s="2">
        <f>'[01_Entry.xlsx]Book'!O782</f>
        <v/>
      </c>
      <c r="F782" s="2">
        <f>'[01_Entry.xlsx]Book'!N782</f>
        <v/>
      </c>
      <c r="G782" s="3">
        <f>'[01_Entry.xlsx]Book'!L782</f>
        <v/>
      </c>
      <c r="H782" s="3">
        <f>'[01_Entry.xlsx]Book'!M782</f>
        <v/>
      </c>
      <c r="I782" s="3">
        <f>'[01_Entry.xlsx]Book'!K782</f>
        <v/>
      </c>
      <c r="J782" s="3">
        <f>'[01_Entry.xlsx]Book'!P782</f>
        <v/>
      </c>
      <c r="K782" s="3">
        <f>'[01_Entry.xlsx]Book'!F782</f>
        <v/>
      </c>
      <c r="L782" s="3">
        <f>'[01_Entry.xlsx]Book'!G782</f>
        <v/>
      </c>
      <c r="M782" s="3">
        <f>'[01_Entry.xlsx]Book'!I782</f>
        <v/>
      </c>
      <c r="N782" s="2">
        <f>IF($A782="","",MID($A782,6,2))</f>
        <v>0</v>
      </c>
      <c r="O782" s="2">
        <f>IF(OR($C782="",$C782&lt;&gt;'Inv'!$D$12),"",N(O$781)+1)</f>
        <v>0</v>
      </c>
    </row>
    <row r="783" spans="1:15">
      <c r="A783" s="2">
        <f>'[01_Entry.xlsx]Book'!A783</f>
        <v/>
      </c>
      <c r="B783" s="2">
        <f>'[01_Entry.xlsx]Book'!B783</f>
        <v/>
      </c>
      <c r="C783" s="2">
        <f>'[01_Entry.xlsx]Book'!D783</f>
        <v/>
      </c>
      <c r="D783" s="2">
        <f>'[01_Entry.xlsx]Book'!E783</f>
        <v/>
      </c>
      <c r="E783" s="2">
        <f>'[01_Entry.xlsx]Book'!O783</f>
        <v/>
      </c>
      <c r="F783" s="2">
        <f>'[01_Entry.xlsx]Book'!N783</f>
        <v/>
      </c>
      <c r="G783" s="3">
        <f>'[01_Entry.xlsx]Book'!L783</f>
        <v/>
      </c>
      <c r="H783" s="3">
        <f>'[01_Entry.xlsx]Book'!M783</f>
        <v/>
      </c>
      <c r="I783" s="3">
        <f>'[01_Entry.xlsx]Book'!K783</f>
        <v/>
      </c>
      <c r="J783" s="3">
        <f>'[01_Entry.xlsx]Book'!P783</f>
        <v/>
      </c>
      <c r="K783" s="3">
        <f>'[01_Entry.xlsx]Book'!F783</f>
        <v/>
      </c>
      <c r="L783" s="3">
        <f>'[01_Entry.xlsx]Book'!G783</f>
        <v/>
      </c>
      <c r="M783" s="3">
        <f>'[01_Entry.xlsx]Book'!I783</f>
        <v/>
      </c>
      <c r="N783" s="2">
        <f>IF($A783="","",MID($A783,6,2))</f>
        <v>0</v>
      </c>
      <c r="O783" s="2">
        <f>IF(OR($C783="",$C783&lt;&gt;'Inv'!$D$12),"",N(O$782)+1)</f>
        <v>0</v>
      </c>
    </row>
    <row r="784" spans="1:15">
      <c r="A784" s="2">
        <f>'[01_Entry.xlsx]Book'!A784</f>
        <v/>
      </c>
      <c r="B784" s="2">
        <f>'[01_Entry.xlsx]Book'!B784</f>
        <v/>
      </c>
      <c r="C784" s="2">
        <f>'[01_Entry.xlsx]Book'!D784</f>
        <v/>
      </c>
      <c r="D784" s="2">
        <f>'[01_Entry.xlsx]Book'!E784</f>
        <v/>
      </c>
      <c r="E784" s="2">
        <f>'[01_Entry.xlsx]Book'!O784</f>
        <v/>
      </c>
      <c r="F784" s="2">
        <f>'[01_Entry.xlsx]Book'!N784</f>
        <v/>
      </c>
      <c r="G784" s="3">
        <f>'[01_Entry.xlsx]Book'!L784</f>
        <v/>
      </c>
      <c r="H784" s="3">
        <f>'[01_Entry.xlsx]Book'!M784</f>
        <v/>
      </c>
      <c r="I784" s="3">
        <f>'[01_Entry.xlsx]Book'!K784</f>
        <v/>
      </c>
      <c r="J784" s="3">
        <f>'[01_Entry.xlsx]Book'!P784</f>
        <v/>
      </c>
      <c r="K784" s="3">
        <f>'[01_Entry.xlsx]Book'!F784</f>
        <v/>
      </c>
      <c r="L784" s="3">
        <f>'[01_Entry.xlsx]Book'!G784</f>
        <v/>
      </c>
      <c r="M784" s="3">
        <f>'[01_Entry.xlsx]Book'!I784</f>
        <v/>
      </c>
      <c r="N784" s="2">
        <f>IF($A784="","",MID($A784,6,2))</f>
        <v>0</v>
      </c>
      <c r="O784" s="2">
        <f>IF(OR($C784="",$C784&lt;&gt;'Inv'!$D$12),"",N(O$783)+1)</f>
        <v>0</v>
      </c>
    </row>
    <row r="785" spans="1:15">
      <c r="A785" s="2">
        <f>'[01_Entry.xlsx]Book'!A785</f>
        <v/>
      </c>
      <c r="B785" s="2">
        <f>'[01_Entry.xlsx]Book'!B785</f>
        <v/>
      </c>
      <c r="C785" s="2">
        <f>'[01_Entry.xlsx]Book'!D785</f>
        <v/>
      </c>
      <c r="D785" s="2">
        <f>'[01_Entry.xlsx]Book'!E785</f>
        <v/>
      </c>
      <c r="E785" s="2">
        <f>'[01_Entry.xlsx]Book'!O785</f>
        <v/>
      </c>
      <c r="F785" s="2">
        <f>'[01_Entry.xlsx]Book'!N785</f>
        <v/>
      </c>
      <c r="G785" s="3">
        <f>'[01_Entry.xlsx]Book'!L785</f>
        <v/>
      </c>
      <c r="H785" s="3">
        <f>'[01_Entry.xlsx]Book'!M785</f>
        <v/>
      </c>
      <c r="I785" s="3">
        <f>'[01_Entry.xlsx]Book'!K785</f>
        <v/>
      </c>
      <c r="J785" s="3">
        <f>'[01_Entry.xlsx]Book'!P785</f>
        <v/>
      </c>
      <c r="K785" s="3">
        <f>'[01_Entry.xlsx]Book'!F785</f>
        <v/>
      </c>
      <c r="L785" s="3">
        <f>'[01_Entry.xlsx]Book'!G785</f>
        <v/>
      </c>
      <c r="M785" s="3">
        <f>'[01_Entry.xlsx]Book'!I785</f>
        <v/>
      </c>
      <c r="N785" s="2">
        <f>IF($A785="","",MID($A785,6,2))</f>
        <v>0</v>
      </c>
      <c r="O785" s="2">
        <f>IF(OR($C785="",$C785&lt;&gt;'Inv'!$D$12),"",N(O$784)+1)</f>
        <v>0</v>
      </c>
    </row>
    <row r="786" spans="1:15">
      <c r="A786" s="2">
        <f>'[01_Entry.xlsx]Book'!A786</f>
        <v/>
      </c>
      <c r="B786" s="2">
        <f>'[01_Entry.xlsx]Book'!B786</f>
        <v/>
      </c>
      <c r="C786" s="2">
        <f>'[01_Entry.xlsx]Book'!D786</f>
        <v/>
      </c>
      <c r="D786" s="2">
        <f>'[01_Entry.xlsx]Book'!E786</f>
        <v/>
      </c>
      <c r="E786" s="2">
        <f>'[01_Entry.xlsx]Book'!O786</f>
        <v/>
      </c>
      <c r="F786" s="2">
        <f>'[01_Entry.xlsx]Book'!N786</f>
        <v/>
      </c>
      <c r="G786" s="3">
        <f>'[01_Entry.xlsx]Book'!L786</f>
        <v/>
      </c>
      <c r="H786" s="3">
        <f>'[01_Entry.xlsx]Book'!M786</f>
        <v/>
      </c>
      <c r="I786" s="3">
        <f>'[01_Entry.xlsx]Book'!K786</f>
        <v/>
      </c>
      <c r="J786" s="3">
        <f>'[01_Entry.xlsx]Book'!P786</f>
        <v/>
      </c>
      <c r="K786" s="3">
        <f>'[01_Entry.xlsx]Book'!F786</f>
        <v/>
      </c>
      <c r="L786" s="3">
        <f>'[01_Entry.xlsx]Book'!G786</f>
        <v/>
      </c>
      <c r="M786" s="3">
        <f>'[01_Entry.xlsx]Book'!I786</f>
        <v/>
      </c>
      <c r="N786" s="2">
        <f>IF($A786="","",MID($A786,6,2))</f>
        <v>0</v>
      </c>
      <c r="O786" s="2">
        <f>IF(OR($C786="",$C786&lt;&gt;'Inv'!$D$12),"",N(O$785)+1)</f>
        <v>0</v>
      </c>
    </row>
    <row r="787" spans="1:15">
      <c r="A787" s="2">
        <f>'[01_Entry.xlsx]Book'!A787</f>
        <v/>
      </c>
      <c r="B787" s="2">
        <f>'[01_Entry.xlsx]Book'!B787</f>
        <v/>
      </c>
      <c r="C787" s="2">
        <f>'[01_Entry.xlsx]Book'!D787</f>
        <v/>
      </c>
      <c r="D787" s="2">
        <f>'[01_Entry.xlsx]Book'!E787</f>
        <v/>
      </c>
      <c r="E787" s="2">
        <f>'[01_Entry.xlsx]Book'!O787</f>
        <v/>
      </c>
      <c r="F787" s="2">
        <f>'[01_Entry.xlsx]Book'!N787</f>
        <v/>
      </c>
      <c r="G787" s="3">
        <f>'[01_Entry.xlsx]Book'!L787</f>
        <v/>
      </c>
      <c r="H787" s="3">
        <f>'[01_Entry.xlsx]Book'!M787</f>
        <v/>
      </c>
      <c r="I787" s="3">
        <f>'[01_Entry.xlsx]Book'!K787</f>
        <v/>
      </c>
      <c r="J787" s="3">
        <f>'[01_Entry.xlsx]Book'!P787</f>
        <v/>
      </c>
      <c r="K787" s="3">
        <f>'[01_Entry.xlsx]Book'!F787</f>
        <v/>
      </c>
      <c r="L787" s="3">
        <f>'[01_Entry.xlsx]Book'!G787</f>
        <v/>
      </c>
      <c r="M787" s="3">
        <f>'[01_Entry.xlsx]Book'!I787</f>
        <v/>
      </c>
      <c r="N787" s="2">
        <f>IF($A787="","",MID($A787,6,2))</f>
        <v>0</v>
      </c>
      <c r="O787" s="2">
        <f>IF(OR($C787="",$C787&lt;&gt;'Inv'!$D$12),"",N(O$786)+1)</f>
        <v>0</v>
      </c>
    </row>
    <row r="788" spans="1:15">
      <c r="A788" s="2">
        <f>'[01_Entry.xlsx]Book'!A788</f>
        <v/>
      </c>
      <c r="B788" s="2">
        <f>'[01_Entry.xlsx]Book'!B788</f>
        <v/>
      </c>
      <c r="C788" s="2">
        <f>'[01_Entry.xlsx]Book'!D788</f>
        <v/>
      </c>
      <c r="D788" s="2">
        <f>'[01_Entry.xlsx]Book'!E788</f>
        <v/>
      </c>
      <c r="E788" s="2">
        <f>'[01_Entry.xlsx]Book'!O788</f>
        <v/>
      </c>
      <c r="F788" s="2">
        <f>'[01_Entry.xlsx]Book'!N788</f>
        <v/>
      </c>
      <c r="G788" s="3">
        <f>'[01_Entry.xlsx]Book'!L788</f>
        <v/>
      </c>
      <c r="H788" s="3">
        <f>'[01_Entry.xlsx]Book'!M788</f>
        <v/>
      </c>
      <c r="I788" s="3">
        <f>'[01_Entry.xlsx]Book'!K788</f>
        <v/>
      </c>
      <c r="J788" s="3">
        <f>'[01_Entry.xlsx]Book'!P788</f>
        <v/>
      </c>
      <c r="K788" s="3">
        <f>'[01_Entry.xlsx]Book'!F788</f>
        <v/>
      </c>
      <c r="L788" s="3">
        <f>'[01_Entry.xlsx]Book'!G788</f>
        <v/>
      </c>
      <c r="M788" s="3">
        <f>'[01_Entry.xlsx]Book'!I788</f>
        <v/>
      </c>
      <c r="N788" s="2">
        <f>IF($A788="","",MID($A788,6,2))</f>
        <v>0</v>
      </c>
      <c r="O788" s="2">
        <f>IF(OR($C788="",$C788&lt;&gt;'Inv'!$D$12),"",N(O$787)+1)</f>
        <v>0</v>
      </c>
    </row>
    <row r="789" spans="1:15">
      <c r="A789" s="2">
        <f>'[01_Entry.xlsx]Book'!A789</f>
        <v/>
      </c>
      <c r="B789" s="2">
        <f>'[01_Entry.xlsx]Book'!B789</f>
        <v/>
      </c>
      <c r="C789" s="2">
        <f>'[01_Entry.xlsx]Book'!D789</f>
        <v/>
      </c>
      <c r="D789" s="2">
        <f>'[01_Entry.xlsx]Book'!E789</f>
        <v/>
      </c>
      <c r="E789" s="2">
        <f>'[01_Entry.xlsx]Book'!O789</f>
        <v/>
      </c>
      <c r="F789" s="2">
        <f>'[01_Entry.xlsx]Book'!N789</f>
        <v/>
      </c>
      <c r="G789" s="3">
        <f>'[01_Entry.xlsx]Book'!L789</f>
        <v/>
      </c>
      <c r="H789" s="3">
        <f>'[01_Entry.xlsx]Book'!M789</f>
        <v/>
      </c>
      <c r="I789" s="3">
        <f>'[01_Entry.xlsx]Book'!K789</f>
        <v/>
      </c>
      <c r="J789" s="3">
        <f>'[01_Entry.xlsx]Book'!P789</f>
        <v/>
      </c>
      <c r="K789" s="3">
        <f>'[01_Entry.xlsx]Book'!F789</f>
        <v/>
      </c>
      <c r="L789" s="3">
        <f>'[01_Entry.xlsx]Book'!G789</f>
        <v/>
      </c>
      <c r="M789" s="3">
        <f>'[01_Entry.xlsx]Book'!I789</f>
        <v/>
      </c>
      <c r="N789" s="2">
        <f>IF($A789="","",MID($A789,6,2))</f>
        <v>0</v>
      </c>
      <c r="O789" s="2">
        <f>IF(OR($C789="",$C789&lt;&gt;'Inv'!$D$12),"",N(O$788)+1)</f>
        <v>0</v>
      </c>
    </row>
    <row r="790" spans="1:15">
      <c r="A790" s="2">
        <f>'[01_Entry.xlsx]Book'!A790</f>
        <v/>
      </c>
      <c r="B790" s="2">
        <f>'[01_Entry.xlsx]Book'!B790</f>
        <v/>
      </c>
      <c r="C790" s="2">
        <f>'[01_Entry.xlsx]Book'!D790</f>
        <v/>
      </c>
      <c r="D790" s="2">
        <f>'[01_Entry.xlsx]Book'!E790</f>
        <v/>
      </c>
      <c r="E790" s="2">
        <f>'[01_Entry.xlsx]Book'!O790</f>
        <v/>
      </c>
      <c r="F790" s="2">
        <f>'[01_Entry.xlsx]Book'!N790</f>
        <v/>
      </c>
      <c r="G790" s="3">
        <f>'[01_Entry.xlsx]Book'!L790</f>
        <v/>
      </c>
      <c r="H790" s="3">
        <f>'[01_Entry.xlsx]Book'!M790</f>
        <v/>
      </c>
      <c r="I790" s="3">
        <f>'[01_Entry.xlsx]Book'!K790</f>
        <v/>
      </c>
      <c r="J790" s="3">
        <f>'[01_Entry.xlsx]Book'!P790</f>
        <v/>
      </c>
      <c r="K790" s="3">
        <f>'[01_Entry.xlsx]Book'!F790</f>
        <v/>
      </c>
      <c r="L790" s="3">
        <f>'[01_Entry.xlsx]Book'!G790</f>
        <v/>
      </c>
      <c r="M790" s="3">
        <f>'[01_Entry.xlsx]Book'!I790</f>
        <v/>
      </c>
      <c r="N790" s="2">
        <f>IF($A790="","",MID($A790,6,2))</f>
        <v>0</v>
      </c>
      <c r="O790" s="2">
        <f>IF(OR($C790="",$C790&lt;&gt;'Inv'!$D$12),"",N(O$789)+1)</f>
        <v>0</v>
      </c>
    </row>
    <row r="791" spans="1:15">
      <c r="A791" s="2">
        <f>'[01_Entry.xlsx]Book'!A791</f>
        <v/>
      </c>
      <c r="B791" s="2">
        <f>'[01_Entry.xlsx]Book'!B791</f>
        <v/>
      </c>
      <c r="C791" s="2">
        <f>'[01_Entry.xlsx]Book'!D791</f>
        <v/>
      </c>
      <c r="D791" s="2">
        <f>'[01_Entry.xlsx]Book'!E791</f>
        <v/>
      </c>
      <c r="E791" s="2">
        <f>'[01_Entry.xlsx]Book'!O791</f>
        <v/>
      </c>
      <c r="F791" s="2">
        <f>'[01_Entry.xlsx]Book'!N791</f>
        <v/>
      </c>
      <c r="G791" s="3">
        <f>'[01_Entry.xlsx]Book'!L791</f>
        <v/>
      </c>
      <c r="H791" s="3">
        <f>'[01_Entry.xlsx]Book'!M791</f>
        <v/>
      </c>
      <c r="I791" s="3">
        <f>'[01_Entry.xlsx]Book'!K791</f>
        <v/>
      </c>
      <c r="J791" s="3">
        <f>'[01_Entry.xlsx]Book'!P791</f>
        <v/>
      </c>
      <c r="K791" s="3">
        <f>'[01_Entry.xlsx]Book'!F791</f>
        <v/>
      </c>
      <c r="L791" s="3">
        <f>'[01_Entry.xlsx]Book'!G791</f>
        <v/>
      </c>
      <c r="M791" s="3">
        <f>'[01_Entry.xlsx]Book'!I791</f>
        <v/>
      </c>
      <c r="N791" s="2">
        <f>IF($A791="","",MID($A791,6,2))</f>
        <v>0</v>
      </c>
      <c r="O791" s="2">
        <f>IF(OR($C791="",$C791&lt;&gt;'Inv'!$D$12),"",N(O$790)+1)</f>
        <v>0</v>
      </c>
    </row>
    <row r="792" spans="1:15">
      <c r="A792" s="2">
        <f>'[01_Entry.xlsx]Book'!A792</f>
        <v/>
      </c>
      <c r="B792" s="2">
        <f>'[01_Entry.xlsx]Book'!B792</f>
        <v/>
      </c>
      <c r="C792" s="2">
        <f>'[01_Entry.xlsx]Book'!D792</f>
        <v/>
      </c>
      <c r="D792" s="2">
        <f>'[01_Entry.xlsx]Book'!E792</f>
        <v/>
      </c>
      <c r="E792" s="2">
        <f>'[01_Entry.xlsx]Book'!O792</f>
        <v/>
      </c>
      <c r="F792" s="2">
        <f>'[01_Entry.xlsx]Book'!N792</f>
        <v/>
      </c>
      <c r="G792" s="3">
        <f>'[01_Entry.xlsx]Book'!L792</f>
        <v/>
      </c>
      <c r="H792" s="3">
        <f>'[01_Entry.xlsx]Book'!M792</f>
        <v/>
      </c>
      <c r="I792" s="3">
        <f>'[01_Entry.xlsx]Book'!K792</f>
        <v/>
      </c>
      <c r="J792" s="3">
        <f>'[01_Entry.xlsx]Book'!P792</f>
        <v/>
      </c>
      <c r="K792" s="3">
        <f>'[01_Entry.xlsx]Book'!F792</f>
        <v/>
      </c>
      <c r="L792" s="3">
        <f>'[01_Entry.xlsx]Book'!G792</f>
        <v/>
      </c>
      <c r="M792" s="3">
        <f>'[01_Entry.xlsx]Book'!I792</f>
        <v/>
      </c>
      <c r="N792" s="2">
        <f>IF($A792="","",MID($A792,6,2))</f>
        <v>0</v>
      </c>
      <c r="O792" s="2">
        <f>IF(OR($C792="",$C792&lt;&gt;'Inv'!$D$12),"",N(O$791)+1)</f>
        <v>0</v>
      </c>
    </row>
    <row r="793" spans="1:15">
      <c r="A793" s="2">
        <f>'[01_Entry.xlsx]Book'!A793</f>
        <v/>
      </c>
      <c r="B793" s="2">
        <f>'[01_Entry.xlsx]Book'!B793</f>
        <v/>
      </c>
      <c r="C793" s="2">
        <f>'[01_Entry.xlsx]Book'!D793</f>
        <v/>
      </c>
      <c r="D793" s="2">
        <f>'[01_Entry.xlsx]Book'!E793</f>
        <v/>
      </c>
      <c r="E793" s="2">
        <f>'[01_Entry.xlsx]Book'!O793</f>
        <v/>
      </c>
      <c r="F793" s="2">
        <f>'[01_Entry.xlsx]Book'!N793</f>
        <v/>
      </c>
      <c r="G793" s="3">
        <f>'[01_Entry.xlsx]Book'!L793</f>
        <v/>
      </c>
      <c r="H793" s="3">
        <f>'[01_Entry.xlsx]Book'!M793</f>
        <v/>
      </c>
      <c r="I793" s="3">
        <f>'[01_Entry.xlsx]Book'!K793</f>
        <v/>
      </c>
      <c r="J793" s="3">
        <f>'[01_Entry.xlsx]Book'!P793</f>
        <v/>
      </c>
      <c r="K793" s="3">
        <f>'[01_Entry.xlsx]Book'!F793</f>
        <v/>
      </c>
      <c r="L793" s="3">
        <f>'[01_Entry.xlsx]Book'!G793</f>
        <v/>
      </c>
      <c r="M793" s="3">
        <f>'[01_Entry.xlsx]Book'!I793</f>
        <v/>
      </c>
      <c r="N793" s="2">
        <f>IF($A793="","",MID($A793,6,2))</f>
        <v>0</v>
      </c>
      <c r="O793" s="2">
        <f>IF(OR($C793="",$C793&lt;&gt;'Inv'!$D$12),"",N(O$792)+1)</f>
        <v>0</v>
      </c>
    </row>
    <row r="794" spans="1:15">
      <c r="A794" s="2">
        <f>'[01_Entry.xlsx]Book'!A794</f>
        <v/>
      </c>
      <c r="B794" s="2">
        <f>'[01_Entry.xlsx]Book'!B794</f>
        <v/>
      </c>
      <c r="C794" s="2">
        <f>'[01_Entry.xlsx]Book'!D794</f>
        <v/>
      </c>
      <c r="D794" s="2">
        <f>'[01_Entry.xlsx]Book'!E794</f>
        <v/>
      </c>
      <c r="E794" s="2">
        <f>'[01_Entry.xlsx]Book'!O794</f>
        <v/>
      </c>
      <c r="F794" s="2">
        <f>'[01_Entry.xlsx]Book'!N794</f>
        <v/>
      </c>
      <c r="G794" s="3">
        <f>'[01_Entry.xlsx]Book'!L794</f>
        <v/>
      </c>
      <c r="H794" s="3">
        <f>'[01_Entry.xlsx]Book'!M794</f>
        <v/>
      </c>
      <c r="I794" s="3">
        <f>'[01_Entry.xlsx]Book'!K794</f>
        <v/>
      </c>
      <c r="J794" s="3">
        <f>'[01_Entry.xlsx]Book'!P794</f>
        <v/>
      </c>
      <c r="K794" s="3">
        <f>'[01_Entry.xlsx]Book'!F794</f>
        <v/>
      </c>
      <c r="L794" s="3">
        <f>'[01_Entry.xlsx]Book'!G794</f>
        <v/>
      </c>
      <c r="M794" s="3">
        <f>'[01_Entry.xlsx]Book'!I794</f>
        <v/>
      </c>
      <c r="N794" s="2">
        <f>IF($A794="","",MID($A794,6,2))</f>
        <v>0</v>
      </c>
      <c r="O794" s="2">
        <f>IF(OR($C794="",$C794&lt;&gt;'Inv'!$D$12),"",N(O$793)+1)</f>
        <v>0</v>
      </c>
    </row>
    <row r="795" spans="1:15">
      <c r="A795" s="2">
        <f>'[01_Entry.xlsx]Book'!A795</f>
        <v/>
      </c>
      <c r="B795" s="2">
        <f>'[01_Entry.xlsx]Book'!B795</f>
        <v/>
      </c>
      <c r="C795" s="2">
        <f>'[01_Entry.xlsx]Book'!D795</f>
        <v/>
      </c>
      <c r="D795" s="2">
        <f>'[01_Entry.xlsx]Book'!E795</f>
        <v/>
      </c>
      <c r="E795" s="2">
        <f>'[01_Entry.xlsx]Book'!O795</f>
        <v/>
      </c>
      <c r="F795" s="2">
        <f>'[01_Entry.xlsx]Book'!N795</f>
        <v/>
      </c>
      <c r="G795" s="3">
        <f>'[01_Entry.xlsx]Book'!L795</f>
        <v/>
      </c>
      <c r="H795" s="3">
        <f>'[01_Entry.xlsx]Book'!M795</f>
        <v/>
      </c>
      <c r="I795" s="3">
        <f>'[01_Entry.xlsx]Book'!K795</f>
        <v/>
      </c>
      <c r="J795" s="3">
        <f>'[01_Entry.xlsx]Book'!P795</f>
        <v/>
      </c>
      <c r="K795" s="3">
        <f>'[01_Entry.xlsx]Book'!F795</f>
        <v/>
      </c>
      <c r="L795" s="3">
        <f>'[01_Entry.xlsx]Book'!G795</f>
        <v/>
      </c>
      <c r="M795" s="3">
        <f>'[01_Entry.xlsx]Book'!I795</f>
        <v/>
      </c>
      <c r="N795" s="2">
        <f>IF($A795="","",MID($A795,6,2))</f>
        <v>0</v>
      </c>
      <c r="O795" s="2">
        <f>IF(OR($C795="",$C795&lt;&gt;'Inv'!$D$12),"",N(O$794)+1)</f>
        <v>0</v>
      </c>
    </row>
    <row r="796" spans="1:15">
      <c r="A796" s="2">
        <f>'[01_Entry.xlsx]Book'!A796</f>
        <v/>
      </c>
      <c r="B796" s="2">
        <f>'[01_Entry.xlsx]Book'!B796</f>
        <v/>
      </c>
      <c r="C796" s="2">
        <f>'[01_Entry.xlsx]Book'!D796</f>
        <v/>
      </c>
      <c r="D796" s="2">
        <f>'[01_Entry.xlsx]Book'!E796</f>
        <v/>
      </c>
      <c r="E796" s="2">
        <f>'[01_Entry.xlsx]Book'!O796</f>
        <v/>
      </c>
      <c r="F796" s="2">
        <f>'[01_Entry.xlsx]Book'!N796</f>
        <v/>
      </c>
      <c r="G796" s="3">
        <f>'[01_Entry.xlsx]Book'!L796</f>
        <v/>
      </c>
      <c r="H796" s="3">
        <f>'[01_Entry.xlsx]Book'!M796</f>
        <v/>
      </c>
      <c r="I796" s="3">
        <f>'[01_Entry.xlsx]Book'!K796</f>
        <v/>
      </c>
      <c r="J796" s="3">
        <f>'[01_Entry.xlsx]Book'!P796</f>
        <v/>
      </c>
      <c r="K796" s="3">
        <f>'[01_Entry.xlsx]Book'!F796</f>
        <v/>
      </c>
      <c r="L796" s="3">
        <f>'[01_Entry.xlsx]Book'!G796</f>
        <v/>
      </c>
      <c r="M796" s="3">
        <f>'[01_Entry.xlsx]Book'!I796</f>
        <v/>
      </c>
      <c r="N796" s="2">
        <f>IF($A796="","",MID($A796,6,2))</f>
        <v>0</v>
      </c>
      <c r="O796" s="2">
        <f>IF(OR($C796="",$C796&lt;&gt;'Inv'!$D$12),"",N(O$795)+1)</f>
        <v>0</v>
      </c>
    </row>
    <row r="797" spans="1:15">
      <c r="A797" s="2">
        <f>'[01_Entry.xlsx]Book'!A797</f>
        <v/>
      </c>
      <c r="B797" s="2">
        <f>'[01_Entry.xlsx]Book'!B797</f>
        <v/>
      </c>
      <c r="C797" s="2">
        <f>'[01_Entry.xlsx]Book'!D797</f>
        <v/>
      </c>
      <c r="D797" s="2">
        <f>'[01_Entry.xlsx]Book'!E797</f>
        <v/>
      </c>
      <c r="E797" s="2">
        <f>'[01_Entry.xlsx]Book'!O797</f>
        <v/>
      </c>
      <c r="F797" s="2">
        <f>'[01_Entry.xlsx]Book'!N797</f>
        <v/>
      </c>
      <c r="G797" s="3">
        <f>'[01_Entry.xlsx]Book'!L797</f>
        <v/>
      </c>
      <c r="H797" s="3">
        <f>'[01_Entry.xlsx]Book'!M797</f>
        <v/>
      </c>
      <c r="I797" s="3">
        <f>'[01_Entry.xlsx]Book'!K797</f>
        <v/>
      </c>
      <c r="J797" s="3">
        <f>'[01_Entry.xlsx]Book'!P797</f>
        <v/>
      </c>
      <c r="K797" s="3">
        <f>'[01_Entry.xlsx]Book'!F797</f>
        <v/>
      </c>
      <c r="L797" s="3">
        <f>'[01_Entry.xlsx]Book'!G797</f>
        <v/>
      </c>
      <c r="M797" s="3">
        <f>'[01_Entry.xlsx]Book'!I797</f>
        <v/>
      </c>
      <c r="N797" s="2">
        <f>IF($A797="","",MID($A797,6,2))</f>
        <v>0</v>
      </c>
      <c r="O797" s="2">
        <f>IF(OR($C797="",$C797&lt;&gt;'Inv'!$D$12),"",N(O$796)+1)</f>
        <v>0</v>
      </c>
    </row>
    <row r="798" spans="1:15">
      <c r="A798" s="2">
        <f>'[01_Entry.xlsx]Book'!A798</f>
        <v/>
      </c>
      <c r="B798" s="2">
        <f>'[01_Entry.xlsx]Book'!B798</f>
        <v/>
      </c>
      <c r="C798" s="2">
        <f>'[01_Entry.xlsx]Book'!D798</f>
        <v/>
      </c>
      <c r="D798" s="2">
        <f>'[01_Entry.xlsx]Book'!E798</f>
        <v/>
      </c>
      <c r="E798" s="2">
        <f>'[01_Entry.xlsx]Book'!O798</f>
        <v/>
      </c>
      <c r="F798" s="2">
        <f>'[01_Entry.xlsx]Book'!N798</f>
        <v/>
      </c>
      <c r="G798" s="3">
        <f>'[01_Entry.xlsx]Book'!L798</f>
        <v/>
      </c>
      <c r="H798" s="3">
        <f>'[01_Entry.xlsx]Book'!M798</f>
        <v/>
      </c>
      <c r="I798" s="3">
        <f>'[01_Entry.xlsx]Book'!K798</f>
        <v/>
      </c>
      <c r="J798" s="3">
        <f>'[01_Entry.xlsx]Book'!P798</f>
        <v/>
      </c>
      <c r="K798" s="3">
        <f>'[01_Entry.xlsx]Book'!F798</f>
        <v/>
      </c>
      <c r="L798" s="3">
        <f>'[01_Entry.xlsx]Book'!G798</f>
        <v/>
      </c>
      <c r="M798" s="3">
        <f>'[01_Entry.xlsx]Book'!I798</f>
        <v/>
      </c>
      <c r="N798" s="2">
        <f>IF($A798="","",MID($A798,6,2))</f>
        <v>0</v>
      </c>
      <c r="O798" s="2">
        <f>IF(OR($C798="",$C798&lt;&gt;'Inv'!$D$12),"",N(O$797)+1)</f>
        <v>0</v>
      </c>
    </row>
    <row r="799" spans="1:15">
      <c r="A799" s="2">
        <f>'[01_Entry.xlsx]Book'!A799</f>
        <v/>
      </c>
      <c r="B799" s="2">
        <f>'[01_Entry.xlsx]Book'!B799</f>
        <v/>
      </c>
      <c r="C799" s="2">
        <f>'[01_Entry.xlsx]Book'!D799</f>
        <v/>
      </c>
      <c r="D799" s="2">
        <f>'[01_Entry.xlsx]Book'!E799</f>
        <v/>
      </c>
      <c r="E799" s="2">
        <f>'[01_Entry.xlsx]Book'!O799</f>
        <v/>
      </c>
      <c r="F799" s="2">
        <f>'[01_Entry.xlsx]Book'!N799</f>
        <v/>
      </c>
      <c r="G799" s="3">
        <f>'[01_Entry.xlsx]Book'!L799</f>
        <v/>
      </c>
      <c r="H799" s="3">
        <f>'[01_Entry.xlsx]Book'!M799</f>
        <v/>
      </c>
      <c r="I799" s="3">
        <f>'[01_Entry.xlsx]Book'!K799</f>
        <v/>
      </c>
      <c r="J799" s="3">
        <f>'[01_Entry.xlsx]Book'!P799</f>
        <v/>
      </c>
      <c r="K799" s="3">
        <f>'[01_Entry.xlsx]Book'!F799</f>
        <v/>
      </c>
      <c r="L799" s="3">
        <f>'[01_Entry.xlsx]Book'!G799</f>
        <v/>
      </c>
      <c r="M799" s="3">
        <f>'[01_Entry.xlsx]Book'!I799</f>
        <v/>
      </c>
      <c r="N799" s="2">
        <f>IF($A799="","",MID($A799,6,2))</f>
        <v>0</v>
      </c>
      <c r="O799" s="2">
        <f>IF(OR($C799="",$C799&lt;&gt;'Inv'!$D$12),"",N(O$798)+1)</f>
        <v>0</v>
      </c>
    </row>
    <row r="800" spans="1:15">
      <c r="A800" s="2">
        <f>'[01_Entry.xlsx]Book'!A800</f>
        <v/>
      </c>
      <c r="B800" s="2">
        <f>'[01_Entry.xlsx]Book'!B800</f>
        <v/>
      </c>
      <c r="C800" s="2">
        <f>'[01_Entry.xlsx]Book'!D800</f>
        <v/>
      </c>
      <c r="D800" s="2">
        <f>'[01_Entry.xlsx]Book'!E800</f>
        <v/>
      </c>
      <c r="E800" s="2">
        <f>'[01_Entry.xlsx]Book'!O800</f>
        <v/>
      </c>
      <c r="F800" s="2">
        <f>'[01_Entry.xlsx]Book'!N800</f>
        <v/>
      </c>
      <c r="G800" s="3">
        <f>'[01_Entry.xlsx]Book'!L800</f>
        <v/>
      </c>
      <c r="H800" s="3">
        <f>'[01_Entry.xlsx]Book'!M800</f>
        <v/>
      </c>
      <c r="I800" s="3">
        <f>'[01_Entry.xlsx]Book'!K800</f>
        <v/>
      </c>
      <c r="J800" s="3">
        <f>'[01_Entry.xlsx]Book'!P800</f>
        <v/>
      </c>
      <c r="K800" s="3">
        <f>'[01_Entry.xlsx]Book'!F800</f>
        <v/>
      </c>
      <c r="L800" s="3">
        <f>'[01_Entry.xlsx]Book'!G800</f>
        <v/>
      </c>
      <c r="M800" s="3">
        <f>'[01_Entry.xlsx]Book'!I800</f>
        <v/>
      </c>
      <c r="N800" s="2">
        <f>IF($A800="","",MID($A800,6,2))</f>
        <v>0</v>
      </c>
      <c r="O800" s="2">
        <f>IF(OR($C800="",$C800&lt;&gt;'Inv'!$D$12),"",N(O$799)+1)</f>
        <v>0</v>
      </c>
    </row>
    <row r="801" spans="1:15">
      <c r="A801" s="2">
        <f>'[01_Entry.xlsx]Book'!A801</f>
        <v/>
      </c>
      <c r="B801" s="2">
        <f>'[01_Entry.xlsx]Book'!B801</f>
        <v/>
      </c>
      <c r="C801" s="2">
        <f>'[01_Entry.xlsx]Book'!D801</f>
        <v/>
      </c>
      <c r="D801" s="2">
        <f>'[01_Entry.xlsx]Book'!E801</f>
        <v/>
      </c>
      <c r="E801" s="2">
        <f>'[01_Entry.xlsx]Book'!O801</f>
        <v/>
      </c>
      <c r="F801" s="2">
        <f>'[01_Entry.xlsx]Book'!N801</f>
        <v/>
      </c>
      <c r="G801" s="3">
        <f>'[01_Entry.xlsx]Book'!L801</f>
        <v/>
      </c>
      <c r="H801" s="3">
        <f>'[01_Entry.xlsx]Book'!M801</f>
        <v/>
      </c>
      <c r="I801" s="3">
        <f>'[01_Entry.xlsx]Book'!K801</f>
        <v/>
      </c>
      <c r="J801" s="3">
        <f>'[01_Entry.xlsx]Book'!P801</f>
        <v/>
      </c>
      <c r="K801" s="3">
        <f>'[01_Entry.xlsx]Book'!F801</f>
        <v/>
      </c>
      <c r="L801" s="3">
        <f>'[01_Entry.xlsx]Book'!G801</f>
        <v/>
      </c>
      <c r="M801" s="3">
        <f>'[01_Entry.xlsx]Book'!I801</f>
        <v/>
      </c>
      <c r="N801" s="2">
        <f>IF($A801="","",MID($A801,6,2))</f>
        <v>0</v>
      </c>
      <c r="O801" s="2">
        <f>IF(OR($C801="",$C801&lt;&gt;'Inv'!$D$12),"",N(O$800)+1)</f>
        <v>0</v>
      </c>
    </row>
    <row r="802" spans="1:15">
      <c r="A802" s="2">
        <f>'[01_Entry.xlsx]Book'!A802</f>
        <v/>
      </c>
      <c r="B802" s="2">
        <f>'[01_Entry.xlsx]Book'!B802</f>
        <v/>
      </c>
      <c r="C802" s="2">
        <f>'[01_Entry.xlsx]Book'!D802</f>
        <v/>
      </c>
      <c r="D802" s="2">
        <f>'[01_Entry.xlsx]Book'!E802</f>
        <v/>
      </c>
      <c r="E802" s="2">
        <f>'[01_Entry.xlsx]Book'!O802</f>
        <v/>
      </c>
      <c r="F802" s="2">
        <f>'[01_Entry.xlsx]Book'!N802</f>
        <v/>
      </c>
      <c r="G802" s="3">
        <f>'[01_Entry.xlsx]Book'!L802</f>
        <v/>
      </c>
      <c r="H802" s="3">
        <f>'[01_Entry.xlsx]Book'!M802</f>
        <v/>
      </c>
      <c r="I802" s="3">
        <f>'[01_Entry.xlsx]Book'!K802</f>
        <v/>
      </c>
      <c r="J802" s="3">
        <f>'[01_Entry.xlsx]Book'!P802</f>
        <v/>
      </c>
      <c r="K802" s="3">
        <f>'[01_Entry.xlsx]Book'!F802</f>
        <v/>
      </c>
      <c r="L802" s="3">
        <f>'[01_Entry.xlsx]Book'!G802</f>
        <v/>
      </c>
      <c r="M802" s="3">
        <f>'[01_Entry.xlsx]Book'!I802</f>
        <v/>
      </c>
      <c r="N802" s="2">
        <f>IF($A802="","",MID($A802,6,2))</f>
        <v>0</v>
      </c>
      <c r="O802" s="2">
        <f>IF(OR($C802="",$C802&lt;&gt;'Inv'!$D$12),"",N(O$801)+1)</f>
        <v>0</v>
      </c>
    </row>
    <row r="803" spans="1:15">
      <c r="A803" s="2">
        <f>'[01_Entry.xlsx]Book'!A803</f>
        <v/>
      </c>
      <c r="B803" s="2">
        <f>'[01_Entry.xlsx]Book'!B803</f>
        <v/>
      </c>
      <c r="C803" s="2">
        <f>'[01_Entry.xlsx]Book'!D803</f>
        <v/>
      </c>
      <c r="D803" s="2">
        <f>'[01_Entry.xlsx]Book'!E803</f>
        <v/>
      </c>
      <c r="E803" s="2">
        <f>'[01_Entry.xlsx]Book'!O803</f>
        <v/>
      </c>
      <c r="F803" s="2">
        <f>'[01_Entry.xlsx]Book'!N803</f>
        <v/>
      </c>
      <c r="G803" s="3">
        <f>'[01_Entry.xlsx]Book'!L803</f>
        <v/>
      </c>
      <c r="H803" s="3">
        <f>'[01_Entry.xlsx]Book'!M803</f>
        <v/>
      </c>
      <c r="I803" s="3">
        <f>'[01_Entry.xlsx]Book'!K803</f>
        <v/>
      </c>
      <c r="J803" s="3">
        <f>'[01_Entry.xlsx]Book'!P803</f>
        <v/>
      </c>
      <c r="K803" s="3">
        <f>'[01_Entry.xlsx]Book'!F803</f>
        <v/>
      </c>
      <c r="L803" s="3">
        <f>'[01_Entry.xlsx]Book'!G803</f>
        <v/>
      </c>
      <c r="M803" s="3">
        <f>'[01_Entry.xlsx]Book'!I803</f>
        <v/>
      </c>
      <c r="N803" s="2">
        <f>IF($A803="","",MID($A803,6,2))</f>
        <v>0</v>
      </c>
      <c r="O803" s="2">
        <f>IF(OR($C803="",$C803&lt;&gt;'Inv'!$D$12),"",N(O$802)+1)</f>
        <v>0</v>
      </c>
    </row>
    <row r="804" spans="1:15">
      <c r="A804" s="2">
        <f>'[01_Entry.xlsx]Book'!A804</f>
        <v/>
      </c>
      <c r="B804" s="2">
        <f>'[01_Entry.xlsx]Book'!B804</f>
        <v/>
      </c>
      <c r="C804" s="2">
        <f>'[01_Entry.xlsx]Book'!D804</f>
        <v/>
      </c>
      <c r="D804" s="2">
        <f>'[01_Entry.xlsx]Book'!E804</f>
        <v/>
      </c>
      <c r="E804" s="2">
        <f>'[01_Entry.xlsx]Book'!O804</f>
        <v/>
      </c>
      <c r="F804" s="2">
        <f>'[01_Entry.xlsx]Book'!N804</f>
        <v/>
      </c>
      <c r="G804" s="3">
        <f>'[01_Entry.xlsx]Book'!L804</f>
        <v/>
      </c>
      <c r="H804" s="3">
        <f>'[01_Entry.xlsx]Book'!M804</f>
        <v/>
      </c>
      <c r="I804" s="3">
        <f>'[01_Entry.xlsx]Book'!K804</f>
        <v/>
      </c>
      <c r="J804" s="3">
        <f>'[01_Entry.xlsx]Book'!P804</f>
        <v/>
      </c>
      <c r="K804" s="3">
        <f>'[01_Entry.xlsx]Book'!F804</f>
        <v/>
      </c>
      <c r="L804" s="3">
        <f>'[01_Entry.xlsx]Book'!G804</f>
        <v/>
      </c>
      <c r="M804" s="3">
        <f>'[01_Entry.xlsx]Book'!I804</f>
        <v/>
      </c>
      <c r="N804" s="2">
        <f>IF($A804="","",MID($A804,6,2))</f>
        <v>0</v>
      </c>
      <c r="O804" s="2">
        <f>IF(OR($C804="",$C804&lt;&gt;'Inv'!$D$12),"",N(O$803)+1)</f>
        <v>0</v>
      </c>
    </row>
    <row r="805" spans="1:15">
      <c r="A805" s="2">
        <f>'[01_Entry.xlsx]Book'!A805</f>
        <v/>
      </c>
      <c r="B805" s="2">
        <f>'[01_Entry.xlsx]Book'!B805</f>
        <v/>
      </c>
      <c r="C805" s="2">
        <f>'[01_Entry.xlsx]Book'!D805</f>
        <v/>
      </c>
      <c r="D805" s="2">
        <f>'[01_Entry.xlsx]Book'!E805</f>
        <v/>
      </c>
      <c r="E805" s="2">
        <f>'[01_Entry.xlsx]Book'!O805</f>
        <v/>
      </c>
      <c r="F805" s="2">
        <f>'[01_Entry.xlsx]Book'!N805</f>
        <v/>
      </c>
      <c r="G805" s="3">
        <f>'[01_Entry.xlsx]Book'!L805</f>
        <v/>
      </c>
      <c r="H805" s="3">
        <f>'[01_Entry.xlsx]Book'!M805</f>
        <v/>
      </c>
      <c r="I805" s="3">
        <f>'[01_Entry.xlsx]Book'!K805</f>
        <v/>
      </c>
      <c r="J805" s="3">
        <f>'[01_Entry.xlsx]Book'!P805</f>
        <v/>
      </c>
      <c r="K805" s="3">
        <f>'[01_Entry.xlsx]Book'!F805</f>
        <v/>
      </c>
      <c r="L805" s="3">
        <f>'[01_Entry.xlsx]Book'!G805</f>
        <v/>
      </c>
      <c r="M805" s="3">
        <f>'[01_Entry.xlsx]Book'!I805</f>
        <v/>
      </c>
      <c r="N805" s="2">
        <f>IF($A805="","",MID($A805,6,2))</f>
        <v>0</v>
      </c>
      <c r="O805" s="2">
        <f>IF(OR($C805="",$C805&lt;&gt;'Inv'!$D$12),"",N(O$804)+1)</f>
        <v>0</v>
      </c>
    </row>
    <row r="806" spans="1:15">
      <c r="A806" s="2">
        <f>'[01_Entry.xlsx]Book'!A806</f>
        <v/>
      </c>
      <c r="B806" s="2">
        <f>'[01_Entry.xlsx]Book'!B806</f>
        <v/>
      </c>
      <c r="C806" s="2">
        <f>'[01_Entry.xlsx]Book'!D806</f>
        <v/>
      </c>
      <c r="D806" s="2">
        <f>'[01_Entry.xlsx]Book'!E806</f>
        <v/>
      </c>
      <c r="E806" s="2">
        <f>'[01_Entry.xlsx]Book'!O806</f>
        <v/>
      </c>
      <c r="F806" s="2">
        <f>'[01_Entry.xlsx]Book'!N806</f>
        <v/>
      </c>
      <c r="G806" s="3">
        <f>'[01_Entry.xlsx]Book'!L806</f>
        <v/>
      </c>
      <c r="H806" s="3">
        <f>'[01_Entry.xlsx]Book'!M806</f>
        <v/>
      </c>
      <c r="I806" s="3">
        <f>'[01_Entry.xlsx]Book'!K806</f>
        <v/>
      </c>
      <c r="J806" s="3">
        <f>'[01_Entry.xlsx]Book'!P806</f>
        <v/>
      </c>
      <c r="K806" s="3">
        <f>'[01_Entry.xlsx]Book'!F806</f>
        <v/>
      </c>
      <c r="L806" s="3">
        <f>'[01_Entry.xlsx]Book'!G806</f>
        <v/>
      </c>
      <c r="M806" s="3">
        <f>'[01_Entry.xlsx]Book'!I806</f>
        <v/>
      </c>
      <c r="N806" s="2">
        <f>IF($A806="","",MID($A806,6,2))</f>
        <v>0</v>
      </c>
      <c r="O806" s="2">
        <f>IF(OR($C806="",$C806&lt;&gt;'Inv'!$D$12),"",N(O$805)+1)</f>
        <v>0</v>
      </c>
    </row>
    <row r="807" spans="1:15">
      <c r="A807" s="2">
        <f>'[01_Entry.xlsx]Book'!A807</f>
        <v/>
      </c>
      <c r="B807" s="2">
        <f>'[01_Entry.xlsx]Book'!B807</f>
        <v/>
      </c>
      <c r="C807" s="2">
        <f>'[01_Entry.xlsx]Book'!D807</f>
        <v/>
      </c>
      <c r="D807" s="2">
        <f>'[01_Entry.xlsx]Book'!E807</f>
        <v/>
      </c>
      <c r="E807" s="2">
        <f>'[01_Entry.xlsx]Book'!O807</f>
        <v/>
      </c>
      <c r="F807" s="2">
        <f>'[01_Entry.xlsx]Book'!N807</f>
        <v/>
      </c>
      <c r="G807" s="3">
        <f>'[01_Entry.xlsx]Book'!L807</f>
        <v/>
      </c>
      <c r="H807" s="3">
        <f>'[01_Entry.xlsx]Book'!M807</f>
        <v/>
      </c>
      <c r="I807" s="3">
        <f>'[01_Entry.xlsx]Book'!K807</f>
        <v/>
      </c>
      <c r="J807" s="3">
        <f>'[01_Entry.xlsx]Book'!P807</f>
        <v/>
      </c>
      <c r="K807" s="3">
        <f>'[01_Entry.xlsx]Book'!F807</f>
        <v/>
      </c>
      <c r="L807" s="3">
        <f>'[01_Entry.xlsx]Book'!G807</f>
        <v/>
      </c>
      <c r="M807" s="3">
        <f>'[01_Entry.xlsx]Book'!I807</f>
        <v/>
      </c>
      <c r="N807" s="2">
        <f>IF($A807="","",MID($A807,6,2))</f>
        <v>0</v>
      </c>
      <c r="O807" s="2">
        <f>IF(OR($C807="",$C807&lt;&gt;'Inv'!$D$12),"",N(O$806)+1)</f>
        <v>0</v>
      </c>
    </row>
    <row r="808" spans="1:15">
      <c r="A808" s="2">
        <f>'[01_Entry.xlsx]Book'!A808</f>
        <v/>
      </c>
      <c r="B808" s="2">
        <f>'[01_Entry.xlsx]Book'!B808</f>
        <v/>
      </c>
      <c r="C808" s="2">
        <f>'[01_Entry.xlsx]Book'!D808</f>
        <v/>
      </c>
      <c r="D808" s="2">
        <f>'[01_Entry.xlsx]Book'!E808</f>
        <v/>
      </c>
      <c r="E808" s="2">
        <f>'[01_Entry.xlsx]Book'!O808</f>
        <v/>
      </c>
      <c r="F808" s="2">
        <f>'[01_Entry.xlsx]Book'!N808</f>
        <v/>
      </c>
      <c r="G808" s="3">
        <f>'[01_Entry.xlsx]Book'!L808</f>
        <v/>
      </c>
      <c r="H808" s="3">
        <f>'[01_Entry.xlsx]Book'!M808</f>
        <v/>
      </c>
      <c r="I808" s="3">
        <f>'[01_Entry.xlsx]Book'!K808</f>
        <v/>
      </c>
      <c r="J808" s="3">
        <f>'[01_Entry.xlsx]Book'!P808</f>
        <v/>
      </c>
      <c r="K808" s="3">
        <f>'[01_Entry.xlsx]Book'!F808</f>
        <v/>
      </c>
      <c r="L808" s="3">
        <f>'[01_Entry.xlsx]Book'!G808</f>
        <v/>
      </c>
      <c r="M808" s="3">
        <f>'[01_Entry.xlsx]Book'!I808</f>
        <v/>
      </c>
      <c r="N808" s="2">
        <f>IF($A808="","",MID($A808,6,2))</f>
        <v>0</v>
      </c>
      <c r="O808" s="2">
        <f>IF(OR($C808="",$C808&lt;&gt;'Inv'!$D$12),"",N(O$807)+1)</f>
        <v>0</v>
      </c>
    </row>
    <row r="809" spans="1:15">
      <c r="A809" s="2">
        <f>'[01_Entry.xlsx]Book'!A809</f>
        <v/>
      </c>
      <c r="B809" s="2">
        <f>'[01_Entry.xlsx]Book'!B809</f>
        <v/>
      </c>
      <c r="C809" s="2">
        <f>'[01_Entry.xlsx]Book'!D809</f>
        <v/>
      </c>
      <c r="D809" s="2">
        <f>'[01_Entry.xlsx]Book'!E809</f>
        <v/>
      </c>
      <c r="E809" s="2">
        <f>'[01_Entry.xlsx]Book'!O809</f>
        <v/>
      </c>
      <c r="F809" s="2">
        <f>'[01_Entry.xlsx]Book'!N809</f>
        <v/>
      </c>
      <c r="G809" s="3">
        <f>'[01_Entry.xlsx]Book'!L809</f>
        <v/>
      </c>
      <c r="H809" s="3">
        <f>'[01_Entry.xlsx]Book'!M809</f>
        <v/>
      </c>
      <c r="I809" s="3">
        <f>'[01_Entry.xlsx]Book'!K809</f>
        <v/>
      </c>
      <c r="J809" s="3">
        <f>'[01_Entry.xlsx]Book'!P809</f>
        <v/>
      </c>
      <c r="K809" s="3">
        <f>'[01_Entry.xlsx]Book'!F809</f>
        <v/>
      </c>
      <c r="L809" s="3">
        <f>'[01_Entry.xlsx]Book'!G809</f>
        <v/>
      </c>
      <c r="M809" s="3">
        <f>'[01_Entry.xlsx]Book'!I809</f>
        <v/>
      </c>
      <c r="N809" s="2">
        <f>IF($A809="","",MID($A809,6,2))</f>
        <v>0</v>
      </c>
      <c r="O809" s="2">
        <f>IF(OR($C809="",$C809&lt;&gt;'Inv'!$D$12),"",N(O$808)+1)</f>
        <v>0</v>
      </c>
    </row>
    <row r="810" spans="1:15">
      <c r="A810" s="2">
        <f>'[01_Entry.xlsx]Book'!A810</f>
        <v/>
      </c>
      <c r="B810" s="2">
        <f>'[01_Entry.xlsx]Book'!B810</f>
        <v/>
      </c>
      <c r="C810" s="2">
        <f>'[01_Entry.xlsx]Book'!D810</f>
        <v/>
      </c>
      <c r="D810" s="2">
        <f>'[01_Entry.xlsx]Book'!E810</f>
        <v/>
      </c>
      <c r="E810" s="2">
        <f>'[01_Entry.xlsx]Book'!O810</f>
        <v/>
      </c>
      <c r="F810" s="2">
        <f>'[01_Entry.xlsx]Book'!N810</f>
        <v/>
      </c>
      <c r="G810" s="3">
        <f>'[01_Entry.xlsx]Book'!L810</f>
        <v/>
      </c>
      <c r="H810" s="3">
        <f>'[01_Entry.xlsx]Book'!M810</f>
        <v/>
      </c>
      <c r="I810" s="3">
        <f>'[01_Entry.xlsx]Book'!K810</f>
        <v/>
      </c>
      <c r="J810" s="3">
        <f>'[01_Entry.xlsx]Book'!P810</f>
        <v/>
      </c>
      <c r="K810" s="3">
        <f>'[01_Entry.xlsx]Book'!F810</f>
        <v/>
      </c>
      <c r="L810" s="3">
        <f>'[01_Entry.xlsx]Book'!G810</f>
        <v/>
      </c>
      <c r="M810" s="3">
        <f>'[01_Entry.xlsx]Book'!I810</f>
        <v/>
      </c>
      <c r="N810" s="2">
        <f>IF($A810="","",MID($A810,6,2))</f>
        <v>0</v>
      </c>
      <c r="O810" s="2">
        <f>IF(OR($C810="",$C810&lt;&gt;'Inv'!$D$12),"",N(O$809)+1)</f>
        <v>0</v>
      </c>
    </row>
    <row r="811" spans="1:15">
      <c r="A811" s="2">
        <f>'[01_Entry.xlsx]Book'!A811</f>
        <v/>
      </c>
      <c r="B811" s="2">
        <f>'[01_Entry.xlsx]Book'!B811</f>
        <v/>
      </c>
      <c r="C811" s="2">
        <f>'[01_Entry.xlsx]Book'!D811</f>
        <v/>
      </c>
      <c r="D811" s="2">
        <f>'[01_Entry.xlsx]Book'!E811</f>
        <v/>
      </c>
      <c r="E811" s="2">
        <f>'[01_Entry.xlsx]Book'!O811</f>
        <v/>
      </c>
      <c r="F811" s="2">
        <f>'[01_Entry.xlsx]Book'!N811</f>
        <v/>
      </c>
      <c r="G811" s="3">
        <f>'[01_Entry.xlsx]Book'!L811</f>
        <v/>
      </c>
      <c r="H811" s="3">
        <f>'[01_Entry.xlsx]Book'!M811</f>
        <v/>
      </c>
      <c r="I811" s="3">
        <f>'[01_Entry.xlsx]Book'!K811</f>
        <v/>
      </c>
      <c r="J811" s="3">
        <f>'[01_Entry.xlsx]Book'!P811</f>
        <v/>
      </c>
      <c r="K811" s="3">
        <f>'[01_Entry.xlsx]Book'!F811</f>
        <v/>
      </c>
      <c r="L811" s="3">
        <f>'[01_Entry.xlsx]Book'!G811</f>
        <v/>
      </c>
      <c r="M811" s="3">
        <f>'[01_Entry.xlsx]Book'!I811</f>
        <v/>
      </c>
      <c r="N811" s="2">
        <f>IF($A811="","",MID($A811,6,2))</f>
        <v>0</v>
      </c>
      <c r="O811" s="2">
        <f>IF(OR($C811="",$C811&lt;&gt;'Inv'!$D$12),"",N(O$810)+1)</f>
        <v>0</v>
      </c>
    </row>
    <row r="812" spans="1:15">
      <c r="A812" s="2">
        <f>'[01_Entry.xlsx]Book'!A812</f>
        <v/>
      </c>
      <c r="B812" s="2">
        <f>'[01_Entry.xlsx]Book'!B812</f>
        <v/>
      </c>
      <c r="C812" s="2">
        <f>'[01_Entry.xlsx]Book'!D812</f>
        <v/>
      </c>
      <c r="D812" s="2">
        <f>'[01_Entry.xlsx]Book'!E812</f>
        <v/>
      </c>
      <c r="E812" s="2">
        <f>'[01_Entry.xlsx]Book'!O812</f>
        <v/>
      </c>
      <c r="F812" s="2">
        <f>'[01_Entry.xlsx]Book'!N812</f>
        <v/>
      </c>
      <c r="G812" s="3">
        <f>'[01_Entry.xlsx]Book'!L812</f>
        <v/>
      </c>
      <c r="H812" s="3">
        <f>'[01_Entry.xlsx]Book'!M812</f>
        <v/>
      </c>
      <c r="I812" s="3">
        <f>'[01_Entry.xlsx]Book'!K812</f>
        <v/>
      </c>
      <c r="J812" s="3">
        <f>'[01_Entry.xlsx]Book'!P812</f>
        <v/>
      </c>
      <c r="K812" s="3">
        <f>'[01_Entry.xlsx]Book'!F812</f>
        <v/>
      </c>
      <c r="L812" s="3">
        <f>'[01_Entry.xlsx]Book'!G812</f>
        <v/>
      </c>
      <c r="M812" s="3">
        <f>'[01_Entry.xlsx]Book'!I812</f>
        <v/>
      </c>
      <c r="N812" s="2">
        <f>IF($A812="","",MID($A812,6,2))</f>
        <v>0</v>
      </c>
      <c r="O812" s="2">
        <f>IF(OR($C812="",$C812&lt;&gt;'Inv'!$D$12),"",N(O$811)+1)</f>
        <v>0</v>
      </c>
    </row>
    <row r="813" spans="1:15">
      <c r="A813" s="2">
        <f>'[01_Entry.xlsx]Book'!A813</f>
        <v/>
      </c>
      <c r="B813" s="2">
        <f>'[01_Entry.xlsx]Book'!B813</f>
        <v/>
      </c>
      <c r="C813" s="2">
        <f>'[01_Entry.xlsx]Book'!D813</f>
        <v/>
      </c>
      <c r="D813" s="2">
        <f>'[01_Entry.xlsx]Book'!E813</f>
        <v/>
      </c>
      <c r="E813" s="2">
        <f>'[01_Entry.xlsx]Book'!O813</f>
        <v/>
      </c>
      <c r="F813" s="2">
        <f>'[01_Entry.xlsx]Book'!N813</f>
        <v/>
      </c>
      <c r="G813" s="3">
        <f>'[01_Entry.xlsx]Book'!L813</f>
        <v/>
      </c>
      <c r="H813" s="3">
        <f>'[01_Entry.xlsx]Book'!M813</f>
        <v/>
      </c>
      <c r="I813" s="3">
        <f>'[01_Entry.xlsx]Book'!K813</f>
        <v/>
      </c>
      <c r="J813" s="3">
        <f>'[01_Entry.xlsx]Book'!P813</f>
        <v/>
      </c>
      <c r="K813" s="3">
        <f>'[01_Entry.xlsx]Book'!F813</f>
        <v/>
      </c>
      <c r="L813" s="3">
        <f>'[01_Entry.xlsx]Book'!G813</f>
        <v/>
      </c>
      <c r="M813" s="3">
        <f>'[01_Entry.xlsx]Book'!I813</f>
        <v/>
      </c>
      <c r="N813" s="2">
        <f>IF($A813="","",MID($A813,6,2))</f>
        <v>0</v>
      </c>
      <c r="O813" s="2">
        <f>IF(OR($C813="",$C813&lt;&gt;'Inv'!$D$12),"",N(O$812)+1)</f>
        <v>0</v>
      </c>
    </row>
    <row r="814" spans="1:15">
      <c r="A814" s="2">
        <f>'[01_Entry.xlsx]Book'!A814</f>
        <v/>
      </c>
      <c r="B814" s="2">
        <f>'[01_Entry.xlsx]Book'!B814</f>
        <v/>
      </c>
      <c r="C814" s="2">
        <f>'[01_Entry.xlsx]Book'!D814</f>
        <v/>
      </c>
      <c r="D814" s="2">
        <f>'[01_Entry.xlsx]Book'!E814</f>
        <v/>
      </c>
      <c r="E814" s="2">
        <f>'[01_Entry.xlsx]Book'!O814</f>
        <v/>
      </c>
      <c r="F814" s="2">
        <f>'[01_Entry.xlsx]Book'!N814</f>
        <v/>
      </c>
      <c r="G814" s="3">
        <f>'[01_Entry.xlsx]Book'!L814</f>
        <v/>
      </c>
      <c r="H814" s="3">
        <f>'[01_Entry.xlsx]Book'!M814</f>
        <v/>
      </c>
      <c r="I814" s="3">
        <f>'[01_Entry.xlsx]Book'!K814</f>
        <v/>
      </c>
      <c r="J814" s="3">
        <f>'[01_Entry.xlsx]Book'!P814</f>
        <v/>
      </c>
      <c r="K814" s="3">
        <f>'[01_Entry.xlsx]Book'!F814</f>
        <v/>
      </c>
      <c r="L814" s="3">
        <f>'[01_Entry.xlsx]Book'!G814</f>
        <v/>
      </c>
      <c r="M814" s="3">
        <f>'[01_Entry.xlsx]Book'!I814</f>
        <v/>
      </c>
      <c r="N814" s="2">
        <f>IF($A814="","",MID($A814,6,2))</f>
        <v>0</v>
      </c>
      <c r="O814" s="2">
        <f>IF(OR($C814="",$C814&lt;&gt;'Inv'!$D$12),"",N(O$813)+1)</f>
        <v>0</v>
      </c>
    </row>
    <row r="815" spans="1:15">
      <c r="A815" s="2">
        <f>'[01_Entry.xlsx]Book'!A815</f>
        <v/>
      </c>
      <c r="B815" s="2">
        <f>'[01_Entry.xlsx]Book'!B815</f>
        <v/>
      </c>
      <c r="C815" s="2">
        <f>'[01_Entry.xlsx]Book'!D815</f>
        <v/>
      </c>
      <c r="D815" s="2">
        <f>'[01_Entry.xlsx]Book'!E815</f>
        <v/>
      </c>
      <c r="E815" s="2">
        <f>'[01_Entry.xlsx]Book'!O815</f>
        <v/>
      </c>
      <c r="F815" s="2">
        <f>'[01_Entry.xlsx]Book'!N815</f>
        <v/>
      </c>
      <c r="G815" s="3">
        <f>'[01_Entry.xlsx]Book'!L815</f>
        <v/>
      </c>
      <c r="H815" s="3">
        <f>'[01_Entry.xlsx]Book'!M815</f>
        <v/>
      </c>
      <c r="I815" s="3">
        <f>'[01_Entry.xlsx]Book'!K815</f>
        <v/>
      </c>
      <c r="J815" s="3">
        <f>'[01_Entry.xlsx]Book'!P815</f>
        <v/>
      </c>
      <c r="K815" s="3">
        <f>'[01_Entry.xlsx]Book'!F815</f>
        <v/>
      </c>
      <c r="L815" s="3">
        <f>'[01_Entry.xlsx]Book'!G815</f>
        <v/>
      </c>
      <c r="M815" s="3">
        <f>'[01_Entry.xlsx]Book'!I815</f>
        <v/>
      </c>
      <c r="N815" s="2">
        <f>IF($A815="","",MID($A815,6,2))</f>
        <v>0</v>
      </c>
      <c r="O815" s="2">
        <f>IF(OR($C815="",$C815&lt;&gt;'Inv'!$D$12),"",N(O$814)+1)</f>
        <v>0</v>
      </c>
    </row>
    <row r="816" spans="1:15">
      <c r="A816" s="2">
        <f>'[01_Entry.xlsx]Book'!A816</f>
        <v/>
      </c>
      <c r="B816" s="2">
        <f>'[01_Entry.xlsx]Book'!B816</f>
        <v/>
      </c>
      <c r="C816" s="2">
        <f>'[01_Entry.xlsx]Book'!D816</f>
        <v/>
      </c>
      <c r="D816" s="2">
        <f>'[01_Entry.xlsx]Book'!E816</f>
        <v/>
      </c>
      <c r="E816" s="2">
        <f>'[01_Entry.xlsx]Book'!O816</f>
        <v/>
      </c>
      <c r="F816" s="2">
        <f>'[01_Entry.xlsx]Book'!N816</f>
        <v/>
      </c>
      <c r="G816" s="3">
        <f>'[01_Entry.xlsx]Book'!L816</f>
        <v/>
      </c>
      <c r="H816" s="3">
        <f>'[01_Entry.xlsx]Book'!M816</f>
        <v/>
      </c>
      <c r="I816" s="3">
        <f>'[01_Entry.xlsx]Book'!K816</f>
        <v/>
      </c>
      <c r="J816" s="3">
        <f>'[01_Entry.xlsx]Book'!P816</f>
        <v/>
      </c>
      <c r="K816" s="3">
        <f>'[01_Entry.xlsx]Book'!F816</f>
        <v/>
      </c>
      <c r="L816" s="3">
        <f>'[01_Entry.xlsx]Book'!G816</f>
        <v/>
      </c>
      <c r="M816" s="3">
        <f>'[01_Entry.xlsx]Book'!I816</f>
        <v/>
      </c>
      <c r="N816" s="2">
        <f>IF($A816="","",MID($A816,6,2))</f>
        <v>0</v>
      </c>
      <c r="O816" s="2">
        <f>IF(OR($C816="",$C816&lt;&gt;'Inv'!$D$12),"",N(O$815)+1)</f>
        <v>0</v>
      </c>
    </row>
    <row r="817" spans="1:15">
      <c r="A817" s="2">
        <f>'[01_Entry.xlsx]Book'!A817</f>
        <v/>
      </c>
      <c r="B817" s="2">
        <f>'[01_Entry.xlsx]Book'!B817</f>
        <v/>
      </c>
      <c r="C817" s="2">
        <f>'[01_Entry.xlsx]Book'!D817</f>
        <v/>
      </c>
      <c r="D817" s="2">
        <f>'[01_Entry.xlsx]Book'!E817</f>
        <v/>
      </c>
      <c r="E817" s="2">
        <f>'[01_Entry.xlsx]Book'!O817</f>
        <v/>
      </c>
      <c r="F817" s="2">
        <f>'[01_Entry.xlsx]Book'!N817</f>
        <v/>
      </c>
      <c r="G817" s="3">
        <f>'[01_Entry.xlsx]Book'!L817</f>
        <v/>
      </c>
      <c r="H817" s="3">
        <f>'[01_Entry.xlsx]Book'!M817</f>
        <v/>
      </c>
      <c r="I817" s="3">
        <f>'[01_Entry.xlsx]Book'!K817</f>
        <v/>
      </c>
      <c r="J817" s="3">
        <f>'[01_Entry.xlsx]Book'!P817</f>
        <v/>
      </c>
      <c r="K817" s="3">
        <f>'[01_Entry.xlsx]Book'!F817</f>
        <v/>
      </c>
      <c r="L817" s="3">
        <f>'[01_Entry.xlsx]Book'!G817</f>
        <v/>
      </c>
      <c r="M817" s="3">
        <f>'[01_Entry.xlsx]Book'!I817</f>
        <v/>
      </c>
      <c r="N817" s="2">
        <f>IF($A817="","",MID($A817,6,2))</f>
        <v>0</v>
      </c>
      <c r="O817" s="2">
        <f>IF(OR($C817="",$C817&lt;&gt;'Inv'!$D$12),"",N(O$816)+1)</f>
        <v>0</v>
      </c>
    </row>
    <row r="818" spans="1:15">
      <c r="A818" s="2">
        <f>'[01_Entry.xlsx]Book'!A818</f>
        <v/>
      </c>
      <c r="B818" s="2">
        <f>'[01_Entry.xlsx]Book'!B818</f>
        <v/>
      </c>
      <c r="C818" s="2">
        <f>'[01_Entry.xlsx]Book'!D818</f>
        <v/>
      </c>
      <c r="D818" s="2">
        <f>'[01_Entry.xlsx]Book'!E818</f>
        <v/>
      </c>
      <c r="E818" s="2">
        <f>'[01_Entry.xlsx]Book'!O818</f>
        <v/>
      </c>
      <c r="F818" s="2">
        <f>'[01_Entry.xlsx]Book'!N818</f>
        <v/>
      </c>
      <c r="G818" s="3">
        <f>'[01_Entry.xlsx]Book'!L818</f>
        <v/>
      </c>
      <c r="H818" s="3">
        <f>'[01_Entry.xlsx]Book'!M818</f>
        <v/>
      </c>
      <c r="I818" s="3">
        <f>'[01_Entry.xlsx]Book'!K818</f>
        <v/>
      </c>
      <c r="J818" s="3">
        <f>'[01_Entry.xlsx]Book'!P818</f>
        <v/>
      </c>
      <c r="K818" s="3">
        <f>'[01_Entry.xlsx]Book'!F818</f>
        <v/>
      </c>
      <c r="L818" s="3">
        <f>'[01_Entry.xlsx]Book'!G818</f>
        <v/>
      </c>
      <c r="M818" s="3">
        <f>'[01_Entry.xlsx]Book'!I818</f>
        <v/>
      </c>
      <c r="N818" s="2">
        <f>IF($A818="","",MID($A818,6,2))</f>
        <v>0</v>
      </c>
      <c r="O818" s="2">
        <f>IF(OR($C818="",$C818&lt;&gt;'Inv'!$D$12),"",N(O$817)+1)</f>
        <v>0</v>
      </c>
    </row>
    <row r="819" spans="1:15">
      <c r="A819" s="2">
        <f>'[01_Entry.xlsx]Book'!A819</f>
        <v/>
      </c>
      <c r="B819" s="2">
        <f>'[01_Entry.xlsx]Book'!B819</f>
        <v/>
      </c>
      <c r="C819" s="2">
        <f>'[01_Entry.xlsx]Book'!D819</f>
        <v/>
      </c>
      <c r="D819" s="2">
        <f>'[01_Entry.xlsx]Book'!E819</f>
        <v/>
      </c>
      <c r="E819" s="2">
        <f>'[01_Entry.xlsx]Book'!O819</f>
        <v/>
      </c>
      <c r="F819" s="2">
        <f>'[01_Entry.xlsx]Book'!N819</f>
        <v/>
      </c>
      <c r="G819" s="3">
        <f>'[01_Entry.xlsx]Book'!L819</f>
        <v/>
      </c>
      <c r="H819" s="3">
        <f>'[01_Entry.xlsx]Book'!M819</f>
        <v/>
      </c>
      <c r="I819" s="3">
        <f>'[01_Entry.xlsx]Book'!K819</f>
        <v/>
      </c>
      <c r="J819" s="3">
        <f>'[01_Entry.xlsx]Book'!P819</f>
        <v/>
      </c>
      <c r="K819" s="3">
        <f>'[01_Entry.xlsx]Book'!F819</f>
        <v/>
      </c>
      <c r="L819" s="3">
        <f>'[01_Entry.xlsx]Book'!G819</f>
        <v/>
      </c>
      <c r="M819" s="3">
        <f>'[01_Entry.xlsx]Book'!I819</f>
        <v/>
      </c>
      <c r="N819" s="2">
        <f>IF($A819="","",MID($A819,6,2))</f>
        <v>0</v>
      </c>
      <c r="O819" s="2">
        <f>IF(OR($C819="",$C819&lt;&gt;'Inv'!$D$12),"",N(O$818)+1)</f>
        <v>0</v>
      </c>
    </row>
    <row r="820" spans="1:15">
      <c r="A820" s="2">
        <f>'[01_Entry.xlsx]Book'!A820</f>
        <v/>
      </c>
      <c r="B820" s="2">
        <f>'[01_Entry.xlsx]Book'!B820</f>
        <v/>
      </c>
      <c r="C820" s="2">
        <f>'[01_Entry.xlsx]Book'!D820</f>
        <v/>
      </c>
      <c r="D820" s="2">
        <f>'[01_Entry.xlsx]Book'!E820</f>
        <v/>
      </c>
      <c r="E820" s="2">
        <f>'[01_Entry.xlsx]Book'!O820</f>
        <v/>
      </c>
      <c r="F820" s="2">
        <f>'[01_Entry.xlsx]Book'!N820</f>
        <v/>
      </c>
      <c r="G820" s="3">
        <f>'[01_Entry.xlsx]Book'!L820</f>
        <v/>
      </c>
      <c r="H820" s="3">
        <f>'[01_Entry.xlsx]Book'!M820</f>
        <v/>
      </c>
      <c r="I820" s="3">
        <f>'[01_Entry.xlsx]Book'!K820</f>
        <v/>
      </c>
      <c r="J820" s="3">
        <f>'[01_Entry.xlsx]Book'!P820</f>
        <v/>
      </c>
      <c r="K820" s="3">
        <f>'[01_Entry.xlsx]Book'!F820</f>
        <v/>
      </c>
      <c r="L820" s="3">
        <f>'[01_Entry.xlsx]Book'!G820</f>
        <v/>
      </c>
      <c r="M820" s="3">
        <f>'[01_Entry.xlsx]Book'!I820</f>
        <v/>
      </c>
      <c r="N820" s="2">
        <f>IF($A820="","",MID($A820,6,2))</f>
        <v>0</v>
      </c>
      <c r="O820" s="2">
        <f>IF(OR($C820="",$C820&lt;&gt;'Inv'!$D$12),"",N(O$819)+1)</f>
        <v>0</v>
      </c>
    </row>
    <row r="821" spans="1:15">
      <c r="A821" s="2">
        <f>'[01_Entry.xlsx]Book'!A821</f>
        <v/>
      </c>
      <c r="B821" s="2">
        <f>'[01_Entry.xlsx]Book'!B821</f>
        <v/>
      </c>
      <c r="C821" s="2">
        <f>'[01_Entry.xlsx]Book'!D821</f>
        <v/>
      </c>
      <c r="D821" s="2">
        <f>'[01_Entry.xlsx]Book'!E821</f>
        <v/>
      </c>
      <c r="E821" s="2">
        <f>'[01_Entry.xlsx]Book'!O821</f>
        <v/>
      </c>
      <c r="F821" s="2">
        <f>'[01_Entry.xlsx]Book'!N821</f>
        <v/>
      </c>
      <c r="G821" s="3">
        <f>'[01_Entry.xlsx]Book'!L821</f>
        <v/>
      </c>
      <c r="H821" s="3">
        <f>'[01_Entry.xlsx]Book'!M821</f>
        <v/>
      </c>
      <c r="I821" s="3">
        <f>'[01_Entry.xlsx]Book'!K821</f>
        <v/>
      </c>
      <c r="J821" s="3">
        <f>'[01_Entry.xlsx]Book'!P821</f>
        <v/>
      </c>
      <c r="K821" s="3">
        <f>'[01_Entry.xlsx]Book'!F821</f>
        <v/>
      </c>
      <c r="L821" s="3">
        <f>'[01_Entry.xlsx]Book'!G821</f>
        <v/>
      </c>
      <c r="M821" s="3">
        <f>'[01_Entry.xlsx]Book'!I821</f>
        <v/>
      </c>
      <c r="N821" s="2">
        <f>IF($A821="","",MID($A821,6,2))</f>
        <v>0</v>
      </c>
      <c r="O821" s="2">
        <f>IF(OR($C821="",$C821&lt;&gt;'Inv'!$D$12),"",N(O$820)+1)</f>
        <v>0</v>
      </c>
    </row>
    <row r="822" spans="1:15">
      <c r="A822" s="2">
        <f>'[01_Entry.xlsx]Book'!A822</f>
        <v/>
      </c>
      <c r="B822" s="2">
        <f>'[01_Entry.xlsx]Book'!B822</f>
        <v/>
      </c>
      <c r="C822" s="2">
        <f>'[01_Entry.xlsx]Book'!D822</f>
        <v/>
      </c>
      <c r="D822" s="2">
        <f>'[01_Entry.xlsx]Book'!E822</f>
        <v/>
      </c>
      <c r="E822" s="2">
        <f>'[01_Entry.xlsx]Book'!O822</f>
        <v/>
      </c>
      <c r="F822" s="2">
        <f>'[01_Entry.xlsx]Book'!N822</f>
        <v/>
      </c>
      <c r="G822" s="3">
        <f>'[01_Entry.xlsx]Book'!L822</f>
        <v/>
      </c>
      <c r="H822" s="3">
        <f>'[01_Entry.xlsx]Book'!M822</f>
        <v/>
      </c>
      <c r="I822" s="3">
        <f>'[01_Entry.xlsx]Book'!K822</f>
        <v/>
      </c>
      <c r="J822" s="3">
        <f>'[01_Entry.xlsx]Book'!P822</f>
        <v/>
      </c>
      <c r="K822" s="3">
        <f>'[01_Entry.xlsx]Book'!F822</f>
        <v/>
      </c>
      <c r="L822" s="3">
        <f>'[01_Entry.xlsx]Book'!G822</f>
        <v/>
      </c>
      <c r="M822" s="3">
        <f>'[01_Entry.xlsx]Book'!I822</f>
        <v/>
      </c>
      <c r="N822" s="2">
        <f>IF($A822="","",MID($A822,6,2))</f>
        <v>0</v>
      </c>
      <c r="O822" s="2">
        <f>IF(OR($C822="",$C822&lt;&gt;'Inv'!$D$12),"",N(O$821)+1)</f>
        <v>0</v>
      </c>
    </row>
    <row r="823" spans="1:15">
      <c r="A823" s="2">
        <f>'[01_Entry.xlsx]Book'!A823</f>
        <v/>
      </c>
      <c r="B823" s="2">
        <f>'[01_Entry.xlsx]Book'!B823</f>
        <v/>
      </c>
      <c r="C823" s="2">
        <f>'[01_Entry.xlsx]Book'!D823</f>
        <v/>
      </c>
      <c r="D823" s="2">
        <f>'[01_Entry.xlsx]Book'!E823</f>
        <v/>
      </c>
      <c r="E823" s="2">
        <f>'[01_Entry.xlsx]Book'!O823</f>
        <v/>
      </c>
      <c r="F823" s="2">
        <f>'[01_Entry.xlsx]Book'!N823</f>
        <v/>
      </c>
      <c r="G823" s="3">
        <f>'[01_Entry.xlsx]Book'!L823</f>
        <v/>
      </c>
      <c r="H823" s="3">
        <f>'[01_Entry.xlsx]Book'!M823</f>
        <v/>
      </c>
      <c r="I823" s="3">
        <f>'[01_Entry.xlsx]Book'!K823</f>
        <v/>
      </c>
      <c r="J823" s="3">
        <f>'[01_Entry.xlsx]Book'!P823</f>
        <v/>
      </c>
      <c r="K823" s="3">
        <f>'[01_Entry.xlsx]Book'!F823</f>
        <v/>
      </c>
      <c r="L823" s="3">
        <f>'[01_Entry.xlsx]Book'!G823</f>
        <v/>
      </c>
      <c r="M823" s="3">
        <f>'[01_Entry.xlsx]Book'!I823</f>
        <v/>
      </c>
      <c r="N823" s="2">
        <f>IF($A823="","",MID($A823,6,2))</f>
        <v>0</v>
      </c>
      <c r="O823" s="2">
        <f>IF(OR($C823="",$C823&lt;&gt;'Inv'!$D$12),"",N(O$822)+1)</f>
        <v>0</v>
      </c>
    </row>
    <row r="824" spans="1:15">
      <c r="A824" s="2">
        <f>'[01_Entry.xlsx]Book'!A824</f>
        <v/>
      </c>
      <c r="B824" s="2">
        <f>'[01_Entry.xlsx]Book'!B824</f>
        <v/>
      </c>
      <c r="C824" s="2">
        <f>'[01_Entry.xlsx]Book'!D824</f>
        <v/>
      </c>
      <c r="D824" s="2">
        <f>'[01_Entry.xlsx]Book'!E824</f>
        <v/>
      </c>
      <c r="E824" s="2">
        <f>'[01_Entry.xlsx]Book'!O824</f>
        <v/>
      </c>
      <c r="F824" s="2">
        <f>'[01_Entry.xlsx]Book'!N824</f>
        <v/>
      </c>
      <c r="G824" s="3">
        <f>'[01_Entry.xlsx]Book'!L824</f>
        <v/>
      </c>
      <c r="H824" s="3">
        <f>'[01_Entry.xlsx]Book'!M824</f>
        <v/>
      </c>
      <c r="I824" s="3">
        <f>'[01_Entry.xlsx]Book'!K824</f>
        <v/>
      </c>
      <c r="J824" s="3">
        <f>'[01_Entry.xlsx]Book'!P824</f>
        <v/>
      </c>
      <c r="K824" s="3">
        <f>'[01_Entry.xlsx]Book'!F824</f>
        <v/>
      </c>
      <c r="L824" s="3">
        <f>'[01_Entry.xlsx]Book'!G824</f>
        <v/>
      </c>
      <c r="M824" s="3">
        <f>'[01_Entry.xlsx]Book'!I824</f>
        <v/>
      </c>
      <c r="N824" s="2">
        <f>IF($A824="","",MID($A824,6,2))</f>
        <v>0</v>
      </c>
      <c r="O824" s="2">
        <f>IF(OR($C824="",$C824&lt;&gt;'Inv'!$D$12),"",N(O$823)+1)</f>
        <v>0</v>
      </c>
    </row>
    <row r="825" spans="1:15">
      <c r="A825" s="2">
        <f>'[01_Entry.xlsx]Book'!A825</f>
        <v/>
      </c>
      <c r="B825" s="2">
        <f>'[01_Entry.xlsx]Book'!B825</f>
        <v/>
      </c>
      <c r="C825" s="2">
        <f>'[01_Entry.xlsx]Book'!D825</f>
        <v/>
      </c>
      <c r="D825" s="2">
        <f>'[01_Entry.xlsx]Book'!E825</f>
        <v/>
      </c>
      <c r="E825" s="2">
        <f>'[01_Entry.xlsx]Book'!O825</f>
        <v/>
      </c>
      <c r="F825" s="2">
        <f>'[01_Entry.xlsx]Book'!N825</f>
        <v/>
      </c>
      <c r="G825" s="3">
        <f>'[01_Entry.xlsx]Book'!L825</f>
        <v/>
      </c>
      <c r="H825" s="3">
        <f>'[01_Entry.xlsx]Book'!M825</f>
        <v/>
      </c>
      <c r="I825" s="3">
        <f>'[01_Entry.xlsx]Book'!K825</f>
        <v/>
      </c>
      <c r="J825" s="3">
        <f>'[01_Entry.xlsx]Book'!P825</f>
        <v/>
      </c>
      <c r="K825" s="3">
        <f>'[01_Entry.xlsx]Book'!F825</f>
        <v/>
      </c>
      <c r="L825" s="3">
        <f>'[01_Entry.xlsx]Book'!G825</f>
        <v/>
      </c>
      <c r="M825" s="3">
        <f>'[01_Entry.xlsx]Book'!I825</f>
        <v/>
      </c>
      <c r="N825" s="2">
        <f>IF($A825="","",MID($A825,6,2))</f>
        <v>0</v>
      </c>
      <c r="O825" s="2">
        <f>IF(OR($C825="",$C825&lt;&gt;'Inv'!$D$12),"",N(O$824)+1)</f>
        <v>0</v>
      </c>
    </row>
    <row r="826" spans="1:15">
      <c r="A826" s="2">
        <f>'[01_Entry.xlsx]Book'!A826</f>
        <v/>
      </c>
      <c r="B826" s="2">
        <f>'[01_Entry.xlsx]Book'!B826</f>
        <v/>
      </c>
      <c r="C826" s="2">
        <f>'[01_Entry.xlsx]Book'!D826</f>
        <v/>
      </c>
      <c r="D826" s="2">
        <f>'[01_Entry.xlsx]Book'!E826</f>
        <v/>
      </c>
      <c r="E826" s="2">
        <f>'[01_Entry.xlsx]Book'!O826</f>
        <v/>
      </c>
      <c r="F826" s="2">
        <f>'[01_Entry.xlsx]Book'!N826</f>
        <v/>
      </c>
      <c r="G826" s="3">
        <f>'[01_Entry.xlsx]Book'!L826</f>
        <v/>
      </c>
      <c r="H826" s="3">
        <f>'[01_Entry.xlsx]Book'!M826</f>
        <v/>
      </c>
      <c r="I826" s="3">
        <f>'[01_Entry.xlsx]Book'!K826</f>
        <v/>
      </c>
      <c r="J826" s="3">
        <f>'[01_Entry.xlsx]Book'!P826</f>
        <v/>
      </c>
      <c r="K826" s="3">
        <f>'[01_Entry.xlsx]Book'!F826</f>
        <v/>
      </c>
      <c r="L826" s="3">
        <f>'[01_Entry.xlsx]Book'!G826</f>
        <v/>
      </c>
      <c r="M826" s="3">
        <f>'[01_Entry.xlsx]Book'!I826</f>
        <v/>
      </c>
      <c r="N826" s="2">
        <f>IF($A826="","",MID($A826,6,2))</f>
        <v>0</v>
      </c>
      <c r="O826" s="2">
        <f>IF(OR($C826="",$C826&lt;&gt;'Inv'!$D$12),"",N(O$825)+1)</f>
        <v>0</v>
      </c>
    </row>
    <row r="827" spans="1:15">
      <c r="A827" s="2">
        <f>'[01_Entry.xlsx]Book'!A827</f>
        <v/>
      </c>
      <c r="B827" s="2">
        <f>'[01_Entry.xlsx]Book'!B827</f>
        <v/>
      </c>
      <c r="C827" s="2">
        <f>'[01_Entry.xlsx]Book'!D827</f>
        <v/>
      </c>
      <c r="D827" s="2">
        <f>'[01_Entry.xlsx]Book'!E827</f>
        <v/>
      </c>
      <c r="E827" s="2">
        <f>'[01_Entry.xlsx]Book'!O827</f>
        <v/>
      </c>
      <c r="F827" s="2">
        <f>'[01_Entry.xlsx]Book'!N827</f>
        <v/>
      </c>
      <c r="G827" s="3">
        <f>'[01_Entry.xlsx]Book'!L827</f>
        <v/>
      </c>
      <c r="H827" s="3">
        <f>'[01_Entry.xlsx]Book'!M827</f>
        <v/>
      </c>
      <c r="I827" s="3">
        <f>'[01_Entry.xlsx]Book'!K827</f>
        <v/>
      </c>
      <c r="J827" s="3">
        <f>'[01_Entry.xlsx]Book'!P827</f>
        <v/>
      </c>
      <c r="K827" s="3">
        <f>'[01_Entry.xlsx]Book'!F827</f>
        <v/>
      </c>
      <c r="L827" s="3">
        <f>'[01_Entry.xlsx]Book'!G827</f>
        <v/>
      </c>
      <c r="M827" s="3">
        <f>'[01_Entry.xlsx]Book'!I827</f>
        <v/>
      </c>
      <c r="N827" s="2">
        <f>IF($A827="","",MID($A827,6,2))</f>
        <v>0</v>
      </c>
      <c r="O827" s="2">
        <f>IF(OR($C827="",$C827&lt;&gt;'Inv'!$D$12),"",N(O$826)+1)</f>
        <v>0</v>
      </c>
    </row>
    <row r="828" spans="1:15">
      <c r="A828" s="2">
        <f>'[01_Entry.xlsx]Book'!A828</f>
        <v/>
      </c>
      <c r="B828" s="2">
        <f>'[01_Entry.xlsx]Book'!B828</f>
        <v/>
      </c>
      <c r="C828" s="2">
        <f>'[01_Entry.xlsx]Book'!D828</f>
        <v/>
      </c>
      <c r="D828" s="2">
        <f>'[01_Entry.xlsx]Book'!E828</f>
        <v/>
      </c>
      <c r="E828" s="2">
        <f>'[01_Entry.xlsx]Book'!O828</f>
        <v/>
      </c>
      <c r="F828" s="2">
        <f>'[01_Entry.xlsx]Book'!N828</f>
        <v/>
      </c>
      <c r="G828" s="3">
        <f>'[01_Entry.xlsx]Book'!L828</f>
        <v/>
      </c>
      <c r="H828" s="3">
        <f>'[01_Entry.xlsx]Book'!M828</f>
        <v/>
      </c>
      <c r="I828" s="3">
        <f>'[01_Entry.xlsx]Book'!K828</f>
        <v/>
      </c>
      <c r="J828" s="3">
        <f>'[01_Entry.xlsx]Book'!P828</f>
        <v/>
      </c>
      <c r="K828" s="3">
        <f>'[01_Entry.xlsx]Book'!F828</f>
        <v/>
      </c>
      <c r="L828" s="3">
        <f>'[01_Entry.xlsx]Book'!G828</f>
        <v/>
      </c>
      <c r="M828" s="3">
        <f>'[01_Entry.xlsx]Book'!I828</f>
        <v/>
      </c>
      <c r="N828" s="2">
        <f>IF($A828="","",MID($A828,6,2))</f>
        <v>0</v>
      </c>
      <c r="O828" s="2">
        <f>IF(OR($C828="",$C828&lt;&gt;'Inv'!$D$12),"",N(O$827)+1)</f>
        <v>0</v>
      </c>
    </row>
    <row r="829" spans="1:15">
      <c r="A829" s="2">
        <f>'[01_Entry.xlsx]Book'!A829</f>
        <v/>
      </c>
      <c r="B829" s="2">
        <f>'[01_Entry.xlsx]Book'!B829</f>
        <v/>
      </c>
      <c r="C829" s="2">
        <f>'[01_Entry.xlsx]Book'!D829</f>
        <v/>
      </c>
      <c r="D829" s="2">
        <f>'[01_Entry.xlsx]Book'!E829</f>
        <v/>
      </c>
      <c r="E829" s="2">
        <f>'[01_Entry.xlsx]Book'!O829</f>
        <v/>
      </c>
      <c r="F829" s="2">
        <f>'[01_Entry.xlsx]Book'!N829</f>
        <v/>
      </c>
      <c r="G829" s="3">
        <f>'[01_Entry.xlsx]Book'!L829</f>
        <v/>
      </c>
      <c r="H829" s="3">
        <f>'[01_Entry.xlsx]Book'!M829</f>
        <v/>
      </c>
      <c r="I829" s="3">
        <f>'[01_Entry.xlsx]Book'!K829</f>
        <v/>
      </c>
      <c r="J829" s="3">
        <f>'[01_Entry.xlsx]Book'!P829</f>
        <v/>
      </c>
      <c r="K829" s="3">
        <f>'[01_Entry.xlsx]Book'!F829</f>
        <v/>
      </c>
      <c r="L829" s="3">
        <f>'[01_Entry.xlsx]Book'!G829</f>
        <v/>
      </c>
      <c r="M829" s="3">
        <f>'[01_Entry.xlsx]Book'!I829</f>
        <v/>
      </c>
      <c r="N829" s="2">
        <f>IF($A829="","",MID($A829,6,2))</f>
        <v>0</v>
      </c>
      <c r="O829" s="2">
        <f>IF(OR($C829="",$C829&lt;&gt;'Inv'!$D$12),"",N(O$828)+1)</f>
        <v>0</v>
      </c>
    </row>
    <row r="830" spans="1:15">
      <c r="A830" s="2">
        <f>'[01_Entry.xlsx]Book'!A830</f>
        <v/>
      </c>
      <c r="B830" s="2">
        <f>'[01_Entry.xlsx]Book'!B830</f>
        <v/>
      </c>
      <c r="C830" s="2">
        <f>'[01_Entry.xlsx]Book'!D830</f>
        <v/>
      </c>
      <c r="D830" s="2">
        <f>'[01_Entry.xlsx]Book'!E830</f>
        <v/>
      </c>
      <c r="E830" s="2">
        <f>'[01_Entry.xlsx]Book'!O830</f>
        <v/>
      </c>
      <c r="F830" s="2">
        <f>'[01_Entry.xlsx]Book'!N830</f>
        <v/>
      </c>
      <c r="G830" s="3">
        <f>'[01_Entry.xlsx]Book'!L830</f>
        <v/>
      </c>
      <c r="H830" s="3">
        <f>'[01_Entry.xlsx]Book'!M830</f>
        <v/>
      </c>
      <c r="I830" s="3">
        <f>'[01_Entry.xlsx]Book'!K830</f>
        <v/>
      </c>
      <c r="J830" s="3">
        <f>'[01_Entry.xlsx]Book'!P830</f>
        <v/>
      </c>
      <c r="K830" s="3">
        <f>'[01_Entry.xlsx]Book'!F830</f>
        <v/>
      </c>
      <c r="L830" s="3">
        <f>'[01_Entry.xlsx]Book'!G830</f>
        <v/>
      </c>
      <c r="M830" s="3">
        <f>'[01_Entry.xlsx]Book'!I830</f>
        <v/>
      </c>
      <c r="N830" s="2">
        <f>IF($A830="","",MID($A830,6,2))</f>
        <v>0</v>
      </c>
      <c r="O830" s="2">
        <f>IF(OR($C830="",$C830&lt;&gt;'Inv'!$D$12),"",N(O$829)+1)</f>
        <v>0</v>
      </c>
    </row>
    <row r="831" spans="1:15">
      <c r="A831" s="2">
        <f>'[01_Entry.xlsx]Book'!A831</f>
        <v/>
      </c>
      <c r="B831" s="2">
        <f>'[01_Entry.xlsx]Book'!B831</f>
        <v/>
      </c>
      <c r="C831" s="2">
        <f>'[01_Entry.xlsx]Book'!D831</f>
        <v/>
      </c>
      <c r="D831" s="2">
        <f>'[01_Entry.xlsx]Book'!E831</f>
        <v/>
      </c>
      <c r="E831" s="2">
        <f>'[01_Entry.xlsx]Book'!O831</f>
        <v/>
      </c>
      <c r="F831" s="2">
        <f>'[01_Entry.xlsx]Book'!N831</f>
        <v/>
      </c>
      <c r="G831" s="3">
        <f>'[01_Entry.xlsx]Book'!L831</f>
        <v/>
      </c>
      <c r="H831" s="3">
        <f>'[01_Entry.xlsx]Book'!M831</f>
        <v/>
      </c>
      <c r="I831" s="3">
        <f>'[01_Entry.xlsx]Book'!K831</f>
        <v/>
      </c>
      <c r="J831" s="3">
        <f>'[01_Entry.xlsx]Book'!P831</f>
        <v/>
      </c>
      <c r="K831" s="3">
        <f>'[01_Entry.xlsx]Book'!F831</f>
        <v/>
      </c>
      <c r="L831" s="3">
        <f>'[01_Entry.xlsx]Book'!G831</f>
        <v/>
      </c>
      <c r="M831" s="3">
        <f>'[01_Entry.xlsx]Book'!I831</f>
        <v/>
      </c>
      <c r="N831" s="2">
        <f>IF($A831="","",MID($A831,6,2))</f>
        <v>0</v>
      </c>
      <c r="O831" s="2">
        <f>IF(OR($C831="",$C831&lt;&gt;'Inv'!$D$12),"",N(O$830)+1)</f>
        <v>0</v>
      </c>
    </row>
    <row r="832" spans="1:15">
      <c r="A832" s="2">
        <f>'[01_Entry.xlsx]Book'!A832</f>
        <v/>
      </c>
      <c r="B832" s="2">
        <f>'[01_Entry.xlsx]Book'!B832</f>
        <v/>
      </c>
      <c r="C832" s="2">
        <f>'[01_Entry.xlsx]Book'!D832</f>
        <v/>
      </c>
      <c r="D832" s="2">
        <f>'[01_Entry.xlsx]Book'!E832</f>
        <v/>
      </c>
      <c r="E832" s="2">
        <f>'[01_Entry.xlsx]Book'!O832</f>
        <v/>
      </c>
      <c r="F832" s="2">
        <f>'[01_Entry.xlsx]Book'!N832</f>
        <v/>
      </c>
      <c r="G832" s="3">
        <f>'[01_Entry.xlsx]Book'!L832</f>
        <v/>
      </c>
      <c r="H832" s="3">
        <f>'[01_Entry.xlsx]Book'!M832</f>
        <v/>
      </c>
      <c r="I832" s="3">
        <f>'[01_Entry.xlsx]Book'!K832</f>
        <v/>
      </c>
      <c r="J832" s="3">
        <f>'[01_Entry.xlsx]Book'!P832</f>
        <v/>
      </c>
      <c r="K832" s="3">
        <f>'[01_Entry.xlsx]Book'!F832</f>
        <v/>
      </c>
      <c r="L832" s="3">
        <f>'[01_Entry.xlsx]Book'!G832</f>
        <v/>
      </c>
      <c r="M832" s="3">
        <f>'[01_Entry.xlsx]Book'!I832</f>
        <v/>
      </c>
      <c r="N832" s="2">
        <f>IF($A832="","",MID($A832,6,2))</f>
        <v>0</v>
      </c>
      <c r="O832" s="2">
        <f>IF(OR($C832="",$C832&lt;&gt;'Inv'!$D$12),"",N(O$831)+1)</f>
        <v>0</v>
      </c>
    </row>
    <row r="833" spans="1:15">
      <c r="A833" s="2">
        <f>'[01_Entry.xlsx]Book'!A833</f>
        <v/>
      </c>
      <c r="B833" s="2">
        <f>'[01_Entry.xlsx]Book'!B833</f>
        <v/>
      </c>
      <c r="C833" s="2">
        <f>'[01_Entry.xlsx]Book'!D833</f>
        <v/>
      </c>
      <c r="D833" s="2">
        <f>'[01_Entry.xlsx]Book'!E833</f>
        <v/>
      </c>
      <c r="E833" s="2">
        <f>'[01_Entry.xlsx]Book'!O833</f>
        <v/>
      </c>
      <c r="F833" s="2">
        <f>'[01_Entry.xlsx]Book'!N833</f>
        <v/>
      </c>
      <c r="G833" s="3">
        <f>'[01_Entry.xlsx]Book'!L833</f>
        <v/>
      </c>
      <c r="H833" s="3">
        <f>'[01_Entry.xlsx]Book'!M833</f>
        <v/>
      </c>
      <c r="I833" s="3">
        <f>'[01_Entry.xlsx]Book'!K833</f>
        <v/>
      </c>
      <c r="J833" s="3">
        <f>'[01_Entry.xlsx]Book'!P833</f>
        <v/>
      </c>
      <c r="K833" s="3">
        <f>'[01_Entry.xlsx]Book'!F833</f>
        <v/>
      </c>
      <c r="L833" s="3">
        <f>'[01_Entry.xlsx]Book'!G833</f>
        <v/>
      </c>
      <c r="M833" s="3">
        <f>'[01_Entry.xlsx]Book'!I833</f>
        <v/>
      </c>
      <c r="N833" s="2">
        <f>IF($A833="","",MID($A833,6,2))</f>
        <v>0</v>
      </c>
      <c r="O833" s="2">
        <f>IF(OR($C833="",$C833&lt;&gt;'Inv'!$D$12),"",N(O$832)+1)</f>
        <v>0</v>
      </c>
    </row>
    <row r="834" spans="1:15">
      <c r="A834" s="2">
        <f>'[01_Entry.xlsx]Book'!A834</f>
        <v/>
      </c>
      <c r="B834" s="2">
        <f>'[01_Entry.xlsx]Book'!B834</f>
        <v/>
      </c>
      <c r="C834" s="2">
        <f>'[01_Entry.xlsx]Book'!D834</f>
        <v/>
      </c>
      <c r="D834" s="2">
        <f>'[01_Entry.xlsx]Book'!E834</f>
        <v/>
      </c>
      <c r="E834" s="2">
        <f>'[01_Entry.xlsx]Book'!O834</f>
        <v/>
      </c>
      <c r="F834" s="2">
        <f>'[01_Entry.xlsx]Book'!N834</f>
        <v/>
      </c>
      <c r="G834" s="3">
        <f>'[01_Entry.xlsx]Book'!L834</f>
        <v/>
      </c>
      <c r="H834" s="3">
        <f>'[01_Entry.xlsx]Book'!M834</f>
        <v/>
      </c>
      <c r="I834" s="3">
        <f>'[01_Entry.xlsx]Book'!K834</f>
        <v/>
      </c>
      <c r="J834" s="3">
        <f>'[01_Entry.xlsx]Book'!P834</f>
        <v/>
      </c>
      <c r="K834" s="3">
        <f>'[01_Entry.xlsx]Book'!F834</f>
        <v/>
      </c>
      <c r="L834" s="3">
        <f>'[01_Entry.xlsx]Book'!G834</f>
        <v/>
      </c>
      <c r="M834" s="3">
        <f>'[01_Entry.xlsx]Book'!I834</f>
        <v/>
      </c>
      <c r="N834" s="2">
        <f>IF($A834="","",MID($A834,6,2))</f>
        <v>0</v>
      </c>
      <c r="O834" s="2">
        <f>IF(OR($C834="",$C834&lt;&gt;'Inv'!$D$12),"",N(O$833)+1)</f>
        <v>0</v>
      </c>
    </row>
    <row r="835" spans="1:15">
      <c r="A835" s="2">
        <f>'[01_Entry.xlsx]Book'!A835</f>
        <v/>
      </c>
      <c r="B835" s="2">
        <f>'[01_Entry.xlsx]Book'!B835</f>
        <v/>
      </c>
      <c r="C835" s="2">
        <f>'[01_Entry.xlsx]Book'!D835</f>
        <v/>
      </c>
      <c r="D835" s="2">
        <f>'[01_Entry.xlsx]Book'!E835</f>
        <v/>
      </c>
      <c r="E835" s="2">
        <f>'[01_Entry.xlsx]Book'!O835</f>
        <v/>
      </c>
      <c r="F835" s="2">
        <f>'[01_Entry.xlsx]Book'!N835</f>
        <v/>
      </c>
      <c r="G835" s="3">
        <f>'[01_Entry.xlsx]Book'!L835</f>
        <v/>
      </c>
      <c r="H835" s="3">
        <f>'[01_Entry.xlsx]Book'!M835</f>
        <v/>
      </c>
      <c r="I835" s="3">
        <f>'[01_Entry.xlsx]Book'!K835</f>
        <v/>
      </c>
      <c r="J835" s="3">
        <f>'[01_Entry.xlsx]Book'!P835</f>
        <v/>
      </c>
      <c r="K835" s="3">
        <f>'[01_Entry.xlsx]Book'!F835</f>
        <v/>
      </c>
      <c r="L835" s="3">
        <f>'[01_Entry.xlsx]Book'!G835</f>
        <v/>
      </c>
      <c r="M835" s="3">
        <f>'[01_Entry.xlsx]Book'!I835</f>
        <v/>
      </c>
      <c r="N835" s="2">
        <f>IF($A835="","",MID($A835,6,2))</f>
        <v>0</v>
      </c>
      <c r="O835" s="2">
        <f>IF(OR($C835="",$C835&lt;&gt;'Inv'!$D$12),"",N(O$834)+1)</f>
        <v>0</v>
      </c>
    </row>
    <row r="836" spans="1:15">
      <c r="A836" s="2">
        <f>'[01_Entry.xlsx]Book'!A836</f>
        <v/>
      </c>
      <c r="B836" s="2">
        <f>'[01_Entry.xlsx]Book'!B836</f>
        <v/>
      </c>
      <c r="C836" s="2">
        <f>'[01_Entry.xlsx]Book'!D836</f>
        <v/>
      </c>
      <c r="D836" s="2">
        <f>'[01_Entry.xlsx]Book'!E836</f>
        <v/>
      </c>
      <c r="E836" s="2">
        <f>'[01_Entry.xlsx]Book'!O836</f>
        <v/>
      </c>
      <c r="F836" s="2">
        <f>'[01_Entry.xlsx]Book'!N836</f>
        <v/>
      </c>
      <c r="G836" s="3">
        <f>'[01_Entry.xlsx]Book'!L836</f>
        <v/>
      </c>
      <c r="H836" s="3">
        <f>'[01_Entry.xlsx]Book'!M836</f>
        <v/>
      </c>
      <c r="I836" s="3">
        <f>'[01_Entry.xlsx]Book'!K836</f>
        <v/>
      </c>
      <c r="J836" s="3">
        <f>'[01_Entry.xlsx]Book'!P836</f>
        <v/>
      </c>
      <c r="K836" s="3">
        <f>'[01_Entry.xlsx]Book'!F836</f>
        <v/>
      </c>
      <c r="L836" s="3">
        <f>'[01_Entry.xlsx]Book'!G836</f>
        <v/>
      </c>
      <c r="M836" s="3">
        <f>'[01_Entry.xlsx]Book'!I836</f>
        <v/>
      </c>
      <c r="N836" s="2">
        <f>IF($A836="","",MID($A836,6,2))</f>
        <v>0</v>
      </c>
      <c r="O836" s="2">
        <f>IF(OR($C836="",$C836&lt;&gt;'Inv'!$D$12),"",N(O$835)+1)</f>
        <v>0</v>
      </c>
    </row>
    <row r="837" spans="1:15">
      <c r="A837" s="2">
        <f>'[01_Entry.xlsx]Book'!A837</f>
        <v/>
      </c>
      <c r="B837" s="2">
        <f>'[01_Entry.xlsx]Book'!B837</f>
        <v/>
      </c>
      <c r="C837" s="2">
        <f>'[01_Entry.xlsx]Book'!D837</f>
        <v/>
      </c>
      <c r="D837" s="2">
        <f>'[01_Entry.xlsx]Book'!E837</f>
        <v/>
      </c>
      <c r="E837" s="2">
        <f>'[01_Entry.xlsx]Book'!O837</f>
        <v/>
      </c>
      <c r="F837" s="2">
        <f>'[01_Entry.xlsx]Book'!N837</f>
        <v/>
      </c>
      <c r="G837" s="3">
        <f>'[01_Entry.xlsx]Book'!L837</f>
        <v/>
      </c>
      <c r="H837" s="3">
        <f>'[01_Entry.xlsx]Book'!M837</f>
        <v/>
      </c>
      <c r="I837" s="3">
        <f>'[01_Entry.xlsx]Book'!K837</f>
        <v/>
      </c>
      <c r="J837" s="3">
        <f>'[01_Entry.xlsx]Book'!P837</f>
        <v/>
      </c>
      <c r="K837" s="3">
        <f>'[01_Entry.xlsx]Book'!F837</f>
        <v/>
      </c>
      <c r="L837" s="3">
        <f>'[01_Entry.xlsx]Book'!G837</f>
        <v/>
      </c>
      <c r="M837" s="3">
        <f>'[01_Entry.xlsx]Book'!I837</f>
        <v/>
      </c>
      <c r="N837" s="2">
        <f>IF($A837="","",MID($A837,6,2))</f>
        <v>0</v>
      </c>
      <c r="O837" s="2">
        <f>IF(OR($C837="",$C837&lt;&gt;'Inv'!$D$12),"",N(O$836)+1)</f>
        <v>0</v>
      </c>
    </row>
    <row r="838" spans="1:15">
      <c r="A838" s="2">
        <f>'[01_Entry.xlsx]Book'!A838</f>
        <v/>
      </c>
      <c r="B838" s="2">
        <f>'[01_Entry.xlsx]Book'!B838</f>
        <v/>
      </c>
      <c r="C838" s="2">
        <f>'[01_Entry.xlsx]Book'!D838</f>
        <v/>
      </c>
      <c r="D838" s="2">
        <f>'[01_Entry.xlsx]Book'!E838</f>
        <v/>
      </c>
      <c r="E838" s="2">
        <f>'[01_Entry.xlsx]Book'!O838</f>
        <v/>
      </c>
      <c r="F838" s="2">
        <f>'[01_Entry.xlsx]Book'!N838</f>
        <v/>
      </c>
      <c r="G838" s="3">
        <f>'[01_Entry.xlsx]Book'!L838</f>
        <v/>
      </c>
      <c r="H838" s="3">
        <f>'[01_Entry.xlsx]Book'!M838</f>
        <v/>
      </c>
      <c r="I838" s="3">
        <f>'[01_Entry.xlsx]Book'!K838</f>
        <v/>
      </c>
      <c r="J838" s="3">
        <f>'[01_Entry.xlsx]Book'!P838</f>
        <v/>
      </c>
      <c r="K838" s="3">
        <f>'[01_Entry.xlsx]Book'!F838</f>
        <v/>
      </c>
      <c r="L838" s="3">
        <f>'[01_Entry.xlsx]Book'!G838</f>
        <v/>
      </c>
      <c r="M838" s="3">
        <f>'[01_Entry.xlsx]Book'!I838</f>
        <v/>
      </c>
      <c r="N838" s="2">
        <f>IF($A838="","",MID($A838,6,2))</f>
        <v>0</v>
      </c>
      <c r="O838" s="2">
        <f>IF(OR($C838="",$C838&lt;&gt;'Inv'!$D$12),"",N(O$837)+1)</f>
        <v>0</v>
      </c>
    </row>
    <row r="839" spans="1:15">
      <c r="A839" s="2">
        <f>'[01_Entry.xlsx]Book'!A839</f>
        <v/>
      </c>
      <c r="B839" s="2">
        <f>'[01_Entry.xlsx]Book'!B839</f>
        <v/>
      </c>
      <c r="C839" s="2">
        <f>'[01_Entry.xlsx]Book'!D839</f>
        <v/>
      </c>
      <c r="D839" s="2">
        <f>'[01_Entry.xlsx]Book'!E839</f>
        <v/>
      </c>
      <c r="E839" s="2">
        <f>'[01_Entry.xlsx]Book'!O839</f>
        <v/>
      </c>
      <c r="F839" s="2">
        <f>'[01_Entry.xlsx]Book'!N839</f>
        <v/>
      </c>
      <c r="G839" s="3">
        <f>'[01_Entry.xlsx]Book'!L839</f>
        <v/>
      </c>
      <c r="H839" s="3">
        <f>'[01_Entry.xlsx]Book'!M839</f>
        <v/>
      </c>
      <c r="I839" s="3">
        <f>'[01_Entry.xlsx]Book'!K839</f>
        <v/>
      </c>
      <c r="J839" s="3">
        <f>'[01_Entry.xlsx]Book'!P839</f>
        <v/>
      </c>
      <c r="K839" s="3">
        <f>'[01_Entry.xlsx]Book'!F839</f>
        <v/>
      </c>
      <c r="L839" s="3">
        <f>'[01_Entry.xlsx]Book'!G839</f>
        <v/>
      </c>
      <c r="M839" s="3">
        <f>'[01_Entry.xlsx]Book'!I839</f>
        <v/>
      </c>
      <c r="N839" s="2">
        <f>IF($A839="","",MID($A839,6,2))</f>
        <v>0</v>
      </c>
      <c r="O839" s="2">
        <f>IF(OR($C839="",$C839&lt;&gt;'Inv'!$D$12),"",N(O$838)+1)</f>
        <v>0</v>
      </c>
    </row>
    <row r="840" spans="1:15">
      <c r="A840" s="2">
        <f>'[01_Entry.xlsx]Book'!A840</f>
        <v/>
      </c>
      <c r="B840" s="2">
        <f>'[01_Entry.xlsx]Book'!B840</f>
        <v/>
      </c>
      <c r="C840" s="2">
        <f>'[01_Entry.xlsx]Book'!D840</f>
        <v/>
      </c>
      <c r="D840" s="2">
        <f>'[01_Entry.xlsx]Book'!E840</f>
        <v/>
      </c>
      <c r="E840" s="2">
        <f>'[01_Entry.xlsx]Book'!O840</f>
        <v/>
      </c>
      <c r="F840" s="2">
        <f>'[01_Entry.xlsx]Book'!N840</f>
        <v/>
      </c>
      <c r="G840" s="3">
        <f>'[01_Entry.xlsx]Book'!L840</f>
        <v/>
      </c>
      <c r="H840" s="3">
        <f>'[01_Entry.xlsx]Book'!M840</f>
        <v/>
      </c>
      <c r="I840" s="3">
        <f>'[01_Entry.xlsx]Book'!K840</f>
        <v/>
      </c>
      <c r="J840" s="3">
        <f>'[01_Entry.xlsx]Book'!P840</f>
        <v/>
      </c>
      <c r="K840" s="3">
        <f>'[01_Entry.xlsx]Book'!F840</f>
        <v/>
      </c>
      <c r="L840" s="3">
        <f>'[01_Entry.xlsx]Book'!G840</f>
        <v/>
      </c>
      <c r="M840" s="3">
        <f>'[01_Entry.xlsx]Book'!I840</f>
        <v/>
      </c>
      <c r="N840" s="2">
        <f>IF($A840="","",MID($A840,6,2))</f>
        <v>0</v>
      </c>
      <c r="O840" s="2">
        <f>IF(OR($C840="",$C840&lt;&gt;'Inv'!$D$12),"",N(O$839)+1)</f>
        <v>0</v>
      </c>
    </row>
    <row r="841" spans="1:15">
      <c r="A841" s="2">
        <f>'[01_Entry.xlsx]Book'!A841</f>
        <v/>
      </c>
      <c r="B841" s="2">
        <f>'[01_Entry.xlsx]Book'!B841</f>
        <v/>
      </c>
      <c r="C841" s="2">
        <f>'[01_Entry.xlsx]Book'!D841</f>
        <v/>
      </c>
      <c r="D841" s="2">
        <f>'[01_Entry.xlsx]Book'!E841</f>
        <v/>
      </c>
      <c r="E841" s="2">
        <f>'[01_Entry.xlsx]Book'!O841</f>
        <v/>
      </c>
      <c r="F841" s="2">
        <f>'[01_Entry.xlsx]Book'!N841</f>
        <v/>
      </c>
      <c r="G841" s="3">
        <f>'[01_Entry.xlsx]Book'!L841</f>
        <v/>
      </c>
      <c r="H841" s="3">
        <f>'[01_Entry.xlsx]Book'!M841</f>
        <v/>
      </c>
      <c r="I841" s="3">
        <f>'[01_Entry.xlsx]Book'!K841</f>
        <v/>
      </c>
      <c r="J841" s="3">
        <f>'[01_Entry.xlsx]Book'!P841</f>
        <v/>
      </c>
      <c r="K841" s="3">
        <f>'[01_Entry.xlsx]Book'!F841</f>
        <v/>
      </c>
      <c r="L841" s="3">
        <f>'[01_Entry.xlsx]Book'!G841</f>
        <v/>
      </c>
      <c r="M841" s="3">
        <f>'[01_Entry.xlsx]Book'!I841</f>
        <v/>
      </c>
      <c r="N841" s="2">
        <f>IF($A841="","",MID($A841,6,2))</f>
        <v>0</v>
      </c>
      <c r="O841" s="2">
        <f>IF(OR($C841="",$C841&lt;&gt;'Inv'!$D$12),"",N(O$840)+1)</f>
        <v>0</v>
      </c>
    </row>
    <row r="842" spans="1:15">
      <c r="A842" s="2">
        <f>'[01_Entry.xlsx]Book'!A842</f>
        <v/>
      </c>
      <c r="B842" s="2">
        <f>'[01_Entry.xlsx]Book'!B842</f>
        <v/>
      </c>
      <c r="C842" s="2">
        <f>'[01_Entry.xlsx]Book'!D842</f>
        <v/>
      </c>
      <c r="D842" s="2">
        <f>'[01_Entry.xlsx]Book'!E842</f>
        <v/>
      </c>
      <c r="E842" s="2">
        <f>'[01_Entry.xlsx]Book'!O842</f>
        <v/>
      </c>
      <c r="F842" s="2">
        <f>'[01_Entry.xlsx]Book'!N842</f>
        <v/>
      </c>
      <c r="G842" s="3">
        <f>'[01_Entry.xlsx]Book'!L842</f>
        <v/>
      </c>
      <c r="H842" s="3">
        <f>'[01_Entry.xlsx]Book'!M842</f>
        <v/>
      </c>
      <c r="I842" s="3">
        <f>'[01_Entry.xlsx]Book'!K842</f>
        <v/>
      </c>
      <c r="J842" s="3">
        <f>'[01_Entry.xlsx]Book'!P842</f>
        <v/>
      </c>
      <c r="K842" s="3">
        <f>'[01_Entry.xlsx]Book'!F842</f>
        <v/>
      </c>
      <c r="L842" s="3">
        <f>'[01_Entry.xlsx]Book'!G842</f>
        <v/>
      </c>
      <c r="M842" s="3">
        <f>'[01_Entry.xlsx]Book'!I842</f>
        <v/>
      </c>
      <c r="N842" s="2">
        <f>IF($A842="","",MID($A842,6,2))</f>
        <v>0</v>
      </c>
      <c r="O842" s="2">
        <f>IF(OR($C842="",$C842&lt;&gt;'Inv'!$D$12),"",N(O$841)+1)</f>
        <v>0</v>
      </c>
    </row>
    <row r="843" spans="1:15">
      <c r="A843" s="2">
        <f>'[01_Entry.xlsx]Book'!A843</f>
        <v/>
      </c>
      <c r="B843" s="2">
        <f>'[01_Entry.xlsx]Book'!B843</f>
        <v/>
      </c>
      <c r="C843" s="2">
        <f>'[01_Entry.xlsx]Book'!D843</f>
        <v/>
      </c>
      <c r="D843" s="2">
        <f>'[01_Entry.xlsx]Book'!E843</f>
        <v/>
      </c>
      <c r="E843" s="2">
        <f>'[01_Entry.xlsx]Book'!O843</f>
        <v/>
      </c>
      <c r="F843" s="2">
        <f>'[01_Entry.xlsx]Book'!N843</f>
        <v/>
      </c>
      <c r="G843" s="3">
        <f>'[01_Entry.xlsx]Book'!L843</f>
        <v/>
      </c>
      <c r="H843" s="3">
        <f>'[01_Entry.xlsx]Book'!M843</f>
        <v/>
      </c>
      <c r="I843" s="3">
        <f>'[01_Entry.xlsx]Book'!K843</f>
        <v/>
      </c>
      <c r="J843" s="3">
        <f>'[01_Entry.xlsx]Book'!P843</f>
        <v/>
      </c>
      <c r="K843" s="3">
        <f>'[01_Entry.xlsx]Book'!F843</f>
        <v/>
      </c>
      <c r="L843" s="3">
        <f>'[01_Entry.xlsx]Book'!G843</f>
        <v/>
      </c>
      <c r="M843" s="3">
        <f>'[01_Entry.xlsx]Book'!I843</f>
        <v/>
      </c>
      <c r="N843" s="2">
        <f>IF($A843="","",MID($A843,6,2))</f>
        <v>0</v>
      </c>
      <c r="O843" s="2">
        <f>IF(OR($C843="",$C843&lt;&gt;'Inv'!$D$12),"",N(O$842)+1)</f>
        <v>0</v>
      </c>
    </row>
    <row r="844" spans="1:15">
      <c r="A844" s="2">
        <f>'[01_Entry.xlsx]Book'!A844</f>
        <v/>
      </c>
      <c r="B844" s="2">
        <f>'[01_Entry.xlsx]Book'!B844</f>
        <v/>
      </c>
      <c r="C844" s="2">
        <f>'[01_Entry.xlsx]Book'!D844</f>
        <v/>
      </c>
      <c r="D844" s="2">
        <f>'[01_Entry.xlsx]Book'!E844</f>
        <v/>
      </c>
      <c r="E844" s="2">
        <f>'[01_Entry.xlsx]Book'!O844</f>
        <v/>
      </c>
      <c r="F844" s="2">
        <f>'[01_Entry.xlsx]Book'!N844</f>
        <v/>
      </c>
      <c r="G844" s="3">
        <f>'[01_Entry.xlsx]Book'!L844</f>
        <v/>
      </c>
      <c r="H844" s="3">
        <f>'[01_Entry.xlsx]Book'!M844</f>
        <v/>
      </c>
      <c r="I844" s="3">
        <f>'[01_Entry.xlsx]Book'!K844</f>
        <v/>
      </c>
      <c r="J844" s="3">
        <f>'[01_Entry.xlsx]Book'!P844</f>
        <v/>
      </c>
      <c r="K844" s="3">
        <f>'[01_Entry.xlsx]Book'!F844</f>
        <v/>
      </c>
      <c r="L844" s="3">
        <f>'[01_Entry.xlsx]Book'!G844</f>
        <v/>
      </c>
      <c r="M844" s="3">
        <f>'[01_Entry.xlsx]Book'!I844</f>
        <v/>
      </c>
      <c r="N844" s="2">
        <f>IF($A844="","",MID($A844,6,2))</f>
        <v>0</v>
      </c>
      <c r="O844" s="2">
        <f>IF(OR($C844="",$C844&lt;&gt;'Inv'!$D$12),"",N(O$843)+1)</f>
        <v>0</v>
      </c>
    </row>
    <row r="845" spans="1:15">
      <c r="A845" s="2">
        <f>'[01_Entry.xlsx]Book'!A845</f>
        <v/>
      </c>
      <c r="B845" s="2">
        <f>'[01_Entry.xlsx]Book'!B845</f>
        <v/>
      </c>
      <c r="C845" s="2">
        <f>'[01_Entry.xlsx]Book'!D845</f>
        <v/>
      </c>
      <c r="D845" s="2">
        <f>'[01_Entry.xlsx]Book'!E845</f>
        <v/>
      </c>
      <c r="E845" s="2">
        <f>'[01_Entry.xlsx]Book'!O845</f>
        <v/>
      </c>
      <c r="F845" s="2">
        <f>'[01_Entry.xlsx]Book'!N845</f>
        <v/>
      </c>
      <c r="G845" s="3">
        <f>'[01_Entry.xlsx]Book'!L845</f>
        <v/>
      </c>
      <c r="H845" s="3">
        <f>'[01_Entry.xlsx]Book'!M845</f>
        <v/>
      </c>
      <c r="I845" s="3">
        <f>'[01_Entry.xlsx]Book'!K845</f>
        <v/>
      </c>
      <c r="J845" s="3">
        <f>'[01_Entry.xlsx]Book'!P845</f>
        <v/>
      </c>
      <c r="K845" s="3">
        <f>'[01_Entry.xlsx]Book'!F845</f>
        <v/>
      </c>
      <c r="L845" s="3">
        <f>'[01_Entry.xlsx]Book'!G845</f>
        <v/>
      </c>
      <c r="M845" s="3">
        <f>'[01_Entry.xlsx]Book'!I845</f>
        <v/>
      </c>
      <c r="N845" s="2">
        <f>IF($A845="","",MID($A845,6,2))</f>
        <v>0</v>
      </c>
      <c r="O845" s="2">
        <f>IF(OR($C845="",$C845&lt;&gt;'Inv'!$D$12),"",N(O$844)+1)</f>
        <v>0</v>
      </c>
    </row>
    <row r="846" spans="1:15">
      <c r="A846" s="2">
        <f>'[01_Entry.xlsx]Book'!A846</f>
        <v/>
      </c>
      <c r="B846" s="2">
        <f>'[01_Entry.xlsx]Book'!B846</f>
        <v/>
      </c>
      <c r="C846" s="2">
        <f>'[01_Entry.xlsx]Book'!D846</f>
        <v/>
      </c>
      <c r="D846" s="2">
        <f>'[01_Entry.xlsx]Book'!E846</f>
        <v/>
      </c>
      <c r="E846" s="2">
        <f>'[01_Entry.xlsx]Book'!O846</f>
        <v/>
      </c>
      <c r="F846" s="2">
        <f>'[01_Entry.xlsx]Book'!N846</f>
        <v/>
      </c>
      <c r="G846" s="3">
        <f>'[01_Entry.xlsx]Book'!L846</f>
        <v/>
      </c>
      <c r="H846" s="3">
        <f>'[01_Entry.xlsx]Book'!M846</f>
        <v/>
      </c>
      <c r="I846" s="3">
        <f>'[01_Entry.xlsx]Book'!K846</f>
        <v/>
      </c>
      <c r="J846" s="3">
        <f>'[01_Entry.xlsx]Book'!P846</f>
        <v/>
      </c>
      <c r="K846" s="3">
        <f>'[01_Entry.xlsx]Book'!F846</f>
        <v/>
      </c>
      <c r="L846" s="3">
        <f>'[01_Entry.xlsx]Book'!G846</f>
        <v/>
      </c>
      <c r="M846" s="3">
        <f>'[01_Entry.xlsx]Book'!I846</f>
        <v/>
      </c>
      <c r="N846" s="2">
        <f>IF($A846="","",MID($A846,6,2))</f>
        <v>0</v>
      </c>
      <c r="O846" s="2">
        <f>IF(OR($C846="",$C846&lt;&gt;'Inv'!$D$12),"",N(O$845)+1)</f>
        <v>0</v>
      </c>
    </row>
    <row r="847" spans="1:15">
      <c r="A847" s="2">
        <f>'[01_Entry.xlsx]Book'!A847</f>
        <v/>
      </c>
      <c r="B847" s="2">
        <f>'[01_Entry.xlsx]Book'!B847</f>
        <v/>
      </c>
      <c r="C847" s="2">
        <f>'[01_Entry.xlsx]Book'!D847</f>
        <v/>
      </c>
      <c r="D847" s="2">
        <f>'[01_Entry.xlsx]Book'!E847</f>
        <v/>
      </c>
      <c r="E847" s="2">
        <f>'[01_Entry.xlsx]Book'!O847</f>
        <v/>
      </c>
      <c r="F847" s="2">
        <f>'[01_Entry.xlsx]Book'!N847</f>
        <v/>
      </c>
      <c r="G847" s="3">
        <f>'[01_Entry.xlsx]Book'!L847</f>
        <v/>
      </c>
      <c r="H847" s="3">
        <f>'[01_Entry.xlsx]Book'!M847</f>
        <v/>
      </c>
      <c r="I847" s="3">
        <f>'[01_Entry.xlsx]Book'!K847</f>
        <v/>
      </c>
      <c r="J847" s="3">
        <f>'[01_Entry.xlsx]Book'!P847</f>
        <v/>
      </c>
      <c r="K847" s="3">
        <f>'[01_Entry.xlsx]Book'!F847</f>
        <v/>
      </c>
      <c r="L847" s="3">
        <f>'[01_Entry.xlsx]Book'!G847</f>
        <v/>
      </c>
      <c r="M847" s="3">
        <f>'[01_Entry.xlsx]Book'!I847</f>
        <v/>
      </c>
      <c r="N847" s="2">
        <f>IF($A847="","",MID($A847,6,2))</f>
        <v>0</v>
      </c>
      <c r="O847" s="2">
        <f>IF(OR($C847="",$C847&lt;&gt;'Inv'!$D$12),"",N(O$846)+1)</f>
        <v>0</v>
      </c>
    </row>
    <row r="848" spans="1:15">
      <c r="A848" s="2">
        <f>'[01_Entry.xlsx]Book'!A848</f>
        <v/>
      </c>
      <c r="B848" s="2">
        <f>'[01_Entry.xlsx]Book'!B848</f>
        <v/>
      </c>
      <c r="C848" s="2">
        <f>'[01_Entry.xlsx]Book'!D848</f>
        <v/>
      </c>
      <c r="D848" s="2">
        <f>'[01_Entry.xlsx]Book'!E848</f>
        <v/>
      </c>
      <c r="E848" s="2">
        <f>'[01_Entry.xlsx]Book'!O848</f>
        <v/>
      </c>
      <c r="F848" s="2">
        <f>'[01_Entry.xlsx]Book'!N848</f>
        <v/>
      </c>
      <c r="G848" s="3">
        <f>'[01_Entry.xlsx]Book'!L848</f>
        <v/>
      </c>
      <c r="H848" s="3">
        <f>'[01_Entry.xlsx]Book'!M848</f>
        <v/>
      </c>
      <c r="I848" s="3">
        <f>'[01_Entry.xlsx]Book'!K848</f>
        <v/>
      </c>
      <c r="J848" s="3">
        <f>'[01_Entry.xlsx]Book'!P848</f>
        <v/>
      </c>
      <c r="K848" s="3">
        <f>'[01_Entry.xlsx]Book'!F848</f>
        <v/>
      </c>
      <c r="L848" s="3">
        <f>'[01_Entry.xlsx]Book'!G848</f>
        <v/>
      </c>
      <c r="M848" s="3">
        <f>'[01_Entry.xlsx]Book'!I848</f>
        <v/>
      </c>
      <c r="N848" s="2">
        <f>IF($A848="","",MID($A848,6,2))</f>
        <v>0</v>
      </c>
      <c r="O848" s="2">
        <f>IF(OR($C848="",$C848&lt;&gt;'Inv'!$D$12),"",N(O$847)+1)</f>
        <v>0</v>
      </c>
    </row>
    <row r="849" spans="1:15">
      <c r="A849" s="2">
        <f>'[01_Entry.xlsx]Book'!A849</f>
        <v/>
      </c>
      <c r="B849" s="2">
        <f>'[01_Entry.xlsx]Book'!B849</f>
        <v/>
      </c>
      <c r="C849" s="2">
        <f>'[01_Entry.xlsx]Book'!D849</f>
        <v/>
      </c>
      <c r="D849" s="2">
        <f>'[01_Entry.xlsx]Book'!E849</f>
        <v/>
      </c>
      <c r="E849" s="2">
        <f>'[01_Entry.xlsx]Book'!O849</f>
        <v/>
      </c>
      <c r="F849" s="2">
        <f>'[01_Entry.xlsx]Book'!N849</f>
        <v/>
      </c>
      <c r="G849" s="3">
        <f>'[01_Entry.xlsx]Book'!L849</f>
        <v/>
      </c>
      <c r="H849" s="3">
        <f>'[01_Entry.xlsx]Book'!M849</f>
        <v/>
      </c>
      <c r="I849" s="3">
        <f>'[01_Entry.xlsx]Book'!K849</f>
        <v/>
      </c>
      <c r="J849" s="3">
        <f>'[01_Entry.xlsx]Book'!P849</f>
        <v/>
      </c>
      <c r="K849" s="3">
        <f>'[01_Entry.xlsx]Book'!F849</f>
        <v/>
      </c>
      <c r="L849" s="3">
        <f>'[01_Entry.xlsx]Book'!G849</f>
        <v/>
      </c>
      <c r="M849" s="3">
        <f>'[01_Entry.xlsx]Book'!I849</f>
        <v/>
      </c>
      <c r="N849" s="2">
        <f>IF($A849="","",MID($A849,6,2))</f>
        <v>0</v>
      </c>
      <c r="O849" s="2">
        <f>IF(OR($C849="",$C849&lt;&gt;'Inv'!$D$12),"",N(O$848)+1)</f>
        <v>0</v>
      </c>
    </row>
    <row r="850" spans="1:15">
      <c r="A850" s="2">
        <f>'[01_Entry.xlsx]Book'!A850</f>
        <v/>
      </c>
      <c r="B850" s="2">
        <f>'[01_Entry.xlsx]Book'!B850</f>
        <v/>
      </c>
      <c r="C850" s="2">
        <f>'[01_Entry.xlsx]Book'!D850</f>
        <v/>
      </c>
      <c r="D850" s="2">
        <f>'[01_Entry.xlsx]Book'!E850</f>
        <v/>
      </c>
      <c r="E850" s="2">
        <f>'[01_Entry.xlsx]Book'!O850</f>
        <v/>
      </c>
      <c r="F850" s="2">
        <f>'[01_Entry.xlsx]Book'!N850</f>
        <v/>
      </c>
      <c r="G850" s="3">
        <f>'[01_Entry.xlsx]Book'!L850</f>
        <v/>
      </c>
      <c r="H850" s="3">
        <f>'[01_Entry.xlsx]Book'!M850</f>
        <v/>
      </c>
      <c r="I850" s="3">
        <f>'[01_Entry.xlsx]Book'!K850</f>
        <v/>
      </c>
      <c r="J850" s="3">
        <f>'[01_Entry.xlsx]Book'!P850</f>
        <v/>
      </c>
      <c r="K850" s="3">
        <f>'[01_Entry.xlsx]Book'!F850</f>
        <v/>
      </c>
      <c r="L850" s="3">
        <f>'[01_Entry.xlsx]Book'!G850</f>
        <v/>
      </c>
      <c r="M850" s="3">
        <f>'[01_Entry.xlsx]Book'!I850</f>
        <v/>
      </c>
      <c r="N850" s="2">
        <f>IF($A850="","",MID($A850,6,2))</f>
        <v>0</v>
      </c>
      <c r="O850" s="2">
        <f>IF(OR($C850="",$C850&lt;&gt;'Inv'!$D$12),"",N(O$849)+1)</f>
        <v>0</v>
      </c>
    </row>
    <row r="851" spans="1:15">
      <c r="A851" s="2">
        <f>'[01_Entry.xlsx]Book'!A851</f>
        <v/>
      </c>
      <c r="B851" s="2">
        <f>'[01_Entry.xlsx]Book'!B851</f>
        <v/>
      </c>
      <c r="C851" s="2">
        <f>'[01_Entry.xlsx]Book'!D851</f>
        <v/>
      </c>
      <c r="D851" s="2">
        <f>'[01_Entry.xlsx]Book'!E851</f>
        <v/>
      </c>
      <c r="E851" s="2">
        <f>'[01_Entry.xlsx]Book'!O851</f>
        <v/>
      </c>
      <c r="F851" s="2">
        <f>'[01_Entry.xlsx]Book'!N851</f>
        <v/>
      </c>
      <c r="G851" s="3">
        <f>'[01_Entry.xlsx]Book'!L851</f>
        <v/>
      </c>
      <c r="H851" s="3">
        <f>'[01_Entry.xlsx]Book'!M851</f>
        <v/>
      </c>
      <c r="I851" s="3">
        <f>'[01_Entry.xlsx]Book'!K851</f>
        <v/>
      </c>
      <c r="J851" s="3">
        <f>'[01_Entry.xlsx]Book'!P851</f>
        <v/>
      </c>
      <c r="K851" s="3">
        <f>'[01_Entry.xlsx]Book'!F851</f>
        <v/>
      </c>
      <c r="L851" s="3">
        <f>'[01_Entry.xlsx]Book'!G851</f>
        <v/>
      </c>
      <c r="M851" s="3">
        <f>'[01_Entry.xlsx]Book'!I851</f>
        <v/>
      </c>
      <c r="N851" s="2">
        <f>IF($A851="","",MID($A851,6,2))</f>
        <v>0</v>
      </c>
      <c r="O851" s="2">
        <f>IF(OR($C851="",$C851&lt;&gt;'Inv'!$D$12),"",N(O$850)+1)</f>
        <v>0</v>
      </c>
    </row>
    <row r="852" spans="1:15">
      <c r="A852" s="2">
        <f>'[01_Entry.xlsx]Book'!A852</f>
        <v/>
      </c>
      <c r="B852" s="2">
        <f>'[01_Entry.xlsx]Book'!B852</f>
        <v/>
      </c>
      <c r="C852" s="2">
        <f>'[01_Entry.xlsx]Book'!D852</f>
        <v/>
      </c>
      <c r="D852" s="2">
        <f>'[01_Entry.xlsx]Book'!E852</f>
        <v/>
      </c>
      <c r="E852" s="2">
        <f>'[01_Entry.xlsx]Book'!O852</f>
        <v/>
      </c>
      <c r="F852" s="2">
        <f>'[01_Entry.xlsx]Book'!N852</f>
        <v/>
      </c>
      <c r="G852" s="3">
        <f>'[01_Entry.xlsx]Book'!L852</f>
        <v/>
      </c>
      <c r="H852" s="3">
        <f>'[01_Entry.xlsx]Book'!M852</f>
        <v/>
      </c>
      <c r="I852" s="3">
        <f>'[01_Entry.xlsx]Book'!K852</f>
        <v/>
      </c>
      <c r="J852" s="3">
        <f>'[01_Entry.xlsx]Book'!P852</f>
        <v/>
      </c>
      <c r="K852" s="3">
        <f>'[01_Entry.xlsx]Book'!F852</f>
        <v/>
      </c>
      <c r="L852" s="3">
        <f>'[01_Entry.xlsx]Book'!G852</f>
        <v/>
      </c>
      <c r="M852" s="3">
        <f>'[01_Entry.xlsx]Book'!I852</f>
        <v/>
      </c>
      <c r="N852" s="2">
        <f>IF($A852="","",MID($A852,6,2))</f>
        <v>0</v>
      </c>
      <c r="O852" s="2">
        <f>IF(OR($C852="",$C852&lt;&gt;'Inv'!$D$12),"",N(O$851)+1)</f>
        <v>0</v>
      </c>
    </row>
    <row r="853" spans="1:15">
      <c r="A853" s="2">
        <f>'[01_Entry.xlsx]Book'!A853</f>
        <v/>
      </c>
      <c r="B853" s="2">
        <f>'[01_Entry.xlsx]Book'!B853</f>
        <v/>
      </c>
      <c r="C853" s="2">
        <f>'[01_Entry.xlsx]Book'!D853</f>
        <v/>
      </c>
      <c r="D853" s="2">
        <f>'[01_Entry.xlsx]Book'!E853</f>
        <v/>
      </c>
      <c r="E853" s="2">
        <f>'[01_Entry.xlsx]Book'!O853</f>
        <v/>
      </c>
      <c r="F853" s="2">
        <f>'[01_Entry.xlsx]Book'!N853</f>
        <v/>
      </c>
      <c r="G853" s="3">
        <f>'[01_Entry.xlsx]Book'!L853</f>
        <v/>
      </c>
      <c r="H853" s="3">
        <f>'[01_Entry.xlsx]Book'!M853</f>
        <v/>
      </c>
      <c r="I853" s="3">
        <f>'[01_Entry.xlsx]Book'!K853</f>
        <v/>
      </c>
      <c r="J853" s="3">
        <f>'[01_Entry.xlsx]Book'!P853</f>
        <v/>
      </c>
      <c r="K853" s="3">
        <f>'[01_Entry.xlsx]Book'!F853</f>
        <v/>
      </c>
      <c r="L853" s="3">
        <f>'[01_Entry.xlsx]Book'!G853</f>
        <v/>
      </c>
      <c r="M853" s="3">
        <f>'[01_Entry.xlsx]Book'!I853</f>
        <v/>
      </c>
      <c r="N853" s="2">
        <f>IF($A853="","",MID($A853,6,2))</f>
        <v>0</v>
      </c>
      <c r="O853" s="2">
        <f>IF(OR($C853="",$C853&lt;&gt;'Inv'!$D$12),"",N(O$852)+1)</f>
        <v>0</v>
      </c>
    </row>
    <row r="854" spans="1:15">
      <c r="A854" s="2">
        <f>'[01_Entry.xlsx]Book'!A854</f>
        <v/>
      </c>
      <c r="B854" s="2">
        <f>'[01_Entry.xlsx]Book'!B854</f>
        <v/>
      </c>
      <c r="C854" s="2">
        <f>'[01_Entry.xlsx]Book'!D854</f>
        <v/>
      </c>
      <c r="D854" s="2">
        <f>'[01_Entry.xlsx]Book'!E854</f>
        <v/>
      </c>
      <c r="E854" s="2">
        <f>'[01_Entry.xlsx]Book'!O854</f>
        <v/>
      </c>
      <c r="F854" s="2">
        <f>'[01_Entry.xlsx]Book'!N854</f>
        <v/>
      </c>
      <c r="G854" s="3">
        <f>'[01_Entry.xlsx]Book'!L854</f>
        <v/>
      </c>
      <c r="H854" s="3">
        <f>'[01_Entry.xlsx]Book'!M854</f>
        <v/>
      </c>
      <c r="I854" s="3">
        <f>'[01_Entry.xlsx]Book'!K854</f>
        <v/>
      </c>
      <c r="J854" s="3">
        <f>'[01_Entry.xlsx]Book'!P854</f>
        <v/>
      </c>
      <c r="K854" s="3">
        <f>'[01_Entry.xlsx]Book'!F854</f>
        <v/>
      </c>
      <c r="L854" s="3">
        <f>'[01_Entry.xlsx]Book'!G854</f>
        <v/>
      </c>
      <c r="M854" s="3">
        <f>'[01_Entry.xlsx]Book'!I854</f>
        <v/>
      </c>
      <c r="N854" s="2">
        <f>IF($A854="","",MID($A854,6,2))</f>
        <v>0</v>
      </c>
      <c r="O854" s="2">
        <f>IF(OR($C854="",$C854&lt;&gt;'Inv'!$D$12),"",N(O$853)+1)</f>
        <v>0</v>
      </c>
    </row>
    <row r="855" spans="1:15">
      <c r="A855" s="2">
        <f>'[01_Entry.xlsx]Book'!A855</f>
        <v/>
      </c>
      <c r="B855" s="2">
        <f>'[01_Entry.xlsx]Book'!B855</f>
        <v/>
      </c>
      <c r="C855" s="2">
        <f>'[01_Entry.xlsx]Book'!D855</f>
        <v/>
      </c>
      <c r="D855" s="2">
        <f>'[01_Entry.xlsx]Book'!E855</f>
        <v/>
      </c>
      <c r="E855" s="2">
        <f>'[01_Entry.xlsx]Book'!O855</f>
        <v/>
      </c>
      <c r="F855" s="2">
        <f>'[01_Entry.xlsx]Book'!N855</f>
        <v/>
      </c>
      <c r="G855" s="3">
        <f>'[01_Entry.xlsx]Book'!L855</f>
        <v/>
      </c>
      <c r="H855" s="3">
        <f>'[01_Entry.xlsx]Book'!M855</f>
        <v/>
      </c>
      <c r="I855" s="3">
        <f>'[01_Entry.xlsx]Book'!K855</f>
        <v/>
      </c>
      <c r="J855" s="3">
        <f>'[01_Entry.xlsx]Book'!P855</f>
        <v/>
      </c>
      <c r="K855" s="3">
        <f>'[01_Entry.xlsx]Book'!F855</f>
        <v/>
      </c>
      <c r="L855" s="3">
        <f>'[01_Entry.xlsx]Book'!G855</f>
        <v/>
      </c>
      <c r="M855" s="3">
        <f>'[01_Entry.xlsx]Book'!I855</f>
        <v/>
      </c>
      <c r="N855" s="2">
        <f>IF($A855="","",MID($A855,6,2))</f>
        <v>0</v>
      </c>
      <c r="O855" s="2">
        <f>IF(OR($C855="",$C855&lt;&gt;'Inv'!$D$12),"",N(O$854)+1)</f>
        <v>0</v>
      </c>
    </row>
    <row r="856" spans="1:15">
      <c r="A856" s="2">
        <f>'[01_Entry.xlsx]Book'!A856</f>
        <v/>
      </c>
      <c r="B856" s="2">
        <f>'[01_Entry.xlsx]Book'!B856</f>
        <v/>
      </c>
      <c r="C856" s="2">
        <f>'[01_Entry.xlsx]Book'!D856</f>
        <v/>
      </c>
      <c r="D856" s="2">
        <f>'[01_Entry.xlsx]Book'!E856</f>
        <v/>
      </c>
      <c r="E856" s="2">
        <f>'[01_Entry.xlsx]Book'!O856</f>
        <v/>
      </c>
      <c r="F856" s="2">
        <f>'[01_Entry.xlsx]Book'!N856</f>
        <v/>
      </c>
      <c r="G856" s="3">
        <f>'[01_Entry.xlsx]Book'!L856</f>
        <v/>
      </c>
      <c r="H856" s="3">
        <f>'[01_Entry.xlsx]Book'!M856</f>
        <v/>
      </c>
      <c r="I856" s="3">
        <f>'[01_Entry.xlsx]Book'!K856</f>
        <v/>
      </c>
      <c r="J856" s="3">
        <f>'[01_Entry.xlsx]Book'!P856</f>
        <v/>
      </c>
      <c r="K856" s="3">
        <f>'[01_Entry.xlsx]Book'!F856</f>
        <v/>
      </c>
      <c r="L856" s="3">
        <f>'[01_Entry.xlsx]Book'!G856</f>
        <v/>
      </c>
      <c r="M856" s="3">
        <f>'[01_Entry.xlsx]Book'!I856</f>
        <v/>
      </c>
      <c r="N856" s="2">
        <f>IF($A856="","",MID($A856,6,2))</f>
        <v>0</v>
      </c>
      <c r="O856" s="2">
        <f>IF(OR($C856="",$C856&lt;&gt;'Inv'!$D$12),"",N(O$855)+1)</f>
        <v>0</v>
      </c>
    </row>
    <row r="857" spans="1:15">
      <c r="A857" s="2">
        <f>'[01_Entry.xlsx]Book'!A857</f>
        <v/>
      </c>
      <c r="B857" s="2">
        <f>'[01_Entry.xlsx]Book'!B857</f>
        <v/>
      </c>
      <c r="C857" s="2">
        <f>'[01_Entry.xlsx]Book'!D857</f>
        <v/>
      </c>
      <c r="D857" s="2">
        <f>'[01_Entry.xlsx]Book'!E857</f>
        <v/>
      </c>
      <c r="E857" s="2">
        <f>'[01_Entry.xlsx]Book'!O857</f>
        <v/>
      </c>
      <c r="F857" s="2">
        <f>'[01_Entry.xlsx]Book'!N857</f>
        <v/>
      </c>
      <c r="G857" s="3">
        <f>'[01_Entry.xlsx]Book'!L857</f>
        <v/>
      </c>
      <c r="H857" s="3">
        <f>'[01_Entry.xlsx]Book'!M857</f>
        <v/>
      </c>
      <c r="I857" s="3">
        <f>'[01_Entry.xlsx]Book'!K857</f>
        <v/>
      </c>
      <c r="J857" s="3">
        <f>'[01_Entry.xlsx]Book'!P857</f>
        <v/>
      </c>
      <c r="K857" s="3">
        <f>'[01_Entry.xlsx]Book'!F857</f>
        <v/>
      </c>
      <c r="L857" s="3">
        <f>'[01_Entry.xlsx]Book'!G857</f>
        <v/>
      </c>
      <c r="M857" s="3">
        <f>'[01_Entry.xlsx]Book'!I857</f>
        <v/>
      </c>
      <c r="N857" s="2">
        <f>IF($A857="","",MID($A857,6,2))</f>
        <v>0</v>
      </c>
      <c r="O857" s="2">
        <f>IF(OR($C857="",$C857&lt;&gt;'Inv'!$D$12),"",N(O$856)+1)</f>
        <v>0</v>
      </c>
    </row>
    <row r="858" spans="1:15">
      <c r="A858" s="2">
        <f>'[01_Entry.xlsx]Book'!A858</f>
        <v/>
      </c>
      <c r="B858" s="2">
        <f>'[01_Entry.xlsx]Book'!B858</f>
        <v/>
      </c>
      <c r="C858" s="2">
        <f>'[01_Entry.xlsx]Book'!D858</f>
        <v/>
      </c>
      <c r="D858" s="2">
        <f>'[01_Entry.xlsx]Book'!E858</f>
        <v/>
      </c>
      <c r="E858" s="2">
        <f>'[01_Entry.xlsx]Book'!O858</f>
        <v/>
      </c>
      <c r="F858" s="2">
        <f>'[01_Entry.xlsx]Book'!N858</f>
        <v/>
      </c>
      <c r="G858" s="3">
        <f>'[01_Entry.xlsx]Book'!L858</f>
        <v/>
      </c>
      <c r="H858" s="3">
        <f>'[01_Entry.xlsx]Book'!M858</f>
        <v/>
      </c>
      <c r="I858" s="3">
        <f>'[01_Entry.xlsx]Book'!K858</f>
        <v/>
      </c>
      <c r="J858" s="3">
        <f>'[01_Entry.xlsx]Book'!P858</f>
        <v/>
      </c>
      <c r="K858" s="3">
        <f>'[01_Entry.xlsx]Book'!F858</f>
        <v/>
      </c>
      <c r="L858" s="3">
        <f>'[01_Entry.xlsx]Book'!G858</f>
        <v/>
      </c>
      <c r="M858" s="3">
        <f>'[01_Entry.xlsx]Book'!I858</f>
        <v/>
      </c>
      <c r="N858" s="2">
        <f>IF($A858="","",MID($A858,6,2))</f>
        <v>0</v>
      </c>
      <c r="O858" s="2">
        <f>IF(OR($C858="",$C858&lt;&gt;'Inv'!$D$12),"",N(O$857)+1)</f>
        <v>0</v>
      </c>
    </row>
    <row r="859" spans="1:15">
      <c r="A859" s="2">
        <f>'[01_Entry.xlsx]Book'!A859</f>
        <v/>
      </c>
      <c r="B859" s="2">
        <f>'[01_Entry.xlsx]Book'!B859</f>
        <v/>
      </c>
      <c r="C859" s="2">
        <f>'[01_Entry.xlsx]Book'!D859</f>
        <v/>
      </c>
      <c r="D859" s="2">
        <f>'[01_Entry.xlsx]Book'!E859</f>
        <v/>
      </c>
      <c r="E859" s="2">
        <f>'[01_Entry.xlsx]Book'!O859</f>
        <v/>
      </c>
      <c r="F859" s="2">
        <f>'[01_Entry.xlsx]Book'!N859</f>
        <v/>
      </c>
      <c r="G859" s="3">
        <f>'[01_Entry.xlsx]Book'!L859</f>
        <v/>
      </c>
      <c r="H859" s="3">
        <f>'[01_Entry.xlsx]Book'!M859</f>
        <v/>
      </c>
      <c r="I859" s="3">
        <f>'[01_Entry.xlsx]Book'!K859</f>
        <v/>
      </c>
      <c r="J859" s="3">
        <f>'[01_Entry.xlsx]Book'!P859</f>
        <v/>
      </c>
      <c r="K859" s="3">
        <f>'[01_Entry.xlsx]Book'!F859</f>
        <v/>
      </c>
      <c r="L859" s="3">
        <f>'[01_Entry.xlsx]Book'!G859</f>
        <v/>
      </c>
      <c r="M859" s="3">
        <f>'[01_Entry.xlsx]Book'!I859</f>
        <v/>
      </c>
      <c r="N859" s="2">
        <f>IF($A859="","",MID($A859,6,2))</f>
        <v>0</v>
      </c>
      <c r="O859" s="2">
        <f>IF(OR($C859="",$C859&lt;&gt;'Inv'!$D$12),"",N(O$858)+1)</f>
        <v>0</v>
      </c>
    </row>
    <row r="860" spans="1:15">
      <c r="A860" s="2">
        <f>'[01_Entry.xlsx]Book'!A860</f>
        <v/>
      </c>
      <c r="B860" s="2">
        <f>'[01_Entry.xlsx]Book'!B860</f>
        <v/>
      </c>
      <c r="C860" s="2">
        <f>'[01_Entry.xlsx]Book'!D860</f>
        <v/>
      </c>
      <c r="D860" s="2">
        <f>'[01_Entry.xlsx]Book'!E860</f>
        <v/>
      </c>
      <c r="E860" s="2">
        <f>'[01_Entry.xlsx]Book'!O860</f>
        <v/>
      </c>
      <c r="F860" s="2">
        <f>'[01_Entry.xlsx]Book'!N860</f>
        <v/>
      </c>
      <c r="G860" s="3">
        <f>'[01_Entry.xlsx]Book'!L860</f>
        <v/>
      </c>
      <c r="H860" s="3">
        <f>'[01_Entry.xlsx]Book'!M860</f>
        <v/>
      </c>
      <c r="I860" s="3">
        <f>'[01_Entry.xlsx]Book'!K860</f>
        <v/>
      </c>
      <c r="J860" s="3">
        <f>'[01_Entry.xlsx]Book'!P860</f>
        <v/>
      </c>
      <c r="K860" s="3">
        <f>'[01_Entry.xlsx]Book'!F860</f>
        <v/>
      </c>
      <c r="L860" s="3">
        <f>'[01_Entry.xlsx]Book'!G860</f>
        <v/>
      </c>
      <c r="M860" s="3">
        <f>'[01_Entry.xlsx]Book'!I860</f>
        <v/>
      </c>
      <c r="N860" s="2">
        <f>IF($A860="","",MID($A860,6,2))</f>
        <v>0</v>
      </c>
      <c r="O860" s="2">
        <f>IF(OR($C860="",$C860&lt;&gt;'Inv'!$D$12),"",N(O$859)+1)</f>
        <v>0</v>
      </c>
    </row>
    <row r="861" spans="1:15">
      <c r="A861" s="2">
        <f>'[01_Entry.xlsx]Book'!A861</f>
        <v/>
      </c>
      <c r="B861" s="2">
        <f>'[01_Entry.xlsx]Book'!B861</f>
        <v/>
      </c>
      <c r="C861" s="2">
        <f>'[01_Entry.xlsx]Book'!D861</f>
        <v/>
      </c>
      <c r="D861" s="2">
        <f>'[01_Entry.xlsx]Book'!E861</f>
        <v/>
      </c>
      <c r="E861" s="2">
        <f>'[01_Entry.xlsx]Book'!O861</f>
        <v/>
      </c>
      <c r="F861" s="2">
        <f>'[01_Entry.xlsx]Book'!N861</f>
        <v/>
      </c>
      <c r="G861" s="3">
        <f>'[01_Entry.xlsx]Book'!L861</f>
        <v/>
      </c>
      <c r="H861" s="3">
        <f>'[01_Entry.xlsx]Book'!M861</f>
        <v/>
      </c>
      <c r="I861" s="3">
        <f>'[01_Entry.xlsx]Book'!K861</f>
        <v/>
      </c>
      <c r="J861" s="3">
        <f>'[01_Entry.xlsx]Book'!P861</f>
        <v/>
      </c>
      <c r="K861" s="3">
        <f>'[01_Entry.xlsx]Book'!F861</f>
        <v/>
      </c>
      <c r="L861" s="3">
        <f>'[01_Entry.xlsx]Book'!G861</f>
        <v/>
      </c>
      <c r="M861" s="3">
        <f>'[01_Entry.xlsx]Book'!I861</f>
        <v/>
      </c>
      <c r="N861" s="2">
        <f>IF($A861="","",MID($A861,6,2))</f>
        <v>0</v>
      </c>
      <c r="O861" s="2">
        <f>IF(OR($C861="",$C861&lt;&gt;'Inv'!$D$12),"",N(O$860)+1)</f>
        <v>0</v>
      </c>
    </row>
    <row r="862" spans="1:15">
      <c r="A862" s="2">
        <f>'[01_Entry.xlsx]Book'!A862</f>
        <v/>
      </c>
      <c r="B862" s="2">
        <f>'[01_Entry.xlsx]Book'!B862</f>
        <v/>
      </c>
      <c r="C862" s="2">
        <f>'[01_Entry.xlsx]Book'!D862</f>
        <v/>
      </c>
      <c r="D862" s="2">
        <f>'[01_Entry.xlsx]Book'!E862</f>
        <v/>
      </c>
      <c r="E862" s="2">
        <f>'[01_Entry.xlsx]Book'!O862</f>
        <v/>
      </c>
      <c r="F862" s="2">
        <f>'[01_Entry.xlsx]Book'!N862</f>
        <v/>
      </c>
      <c r="G862" s="3">
        <f>'[01_Entry.xlsx]Book'!L862</f>
        <v/>
      </c>
      <c r="H862" s="3">
        <f>'[01_Entry.xlsx]Book'!M862</f>
        <v/>
      </c>
      <c r="I862" s="3">
        <f>'[01_Entry.xlsx]Book'!K862</f>
        <v/>
      </c>
      <c r="J862" s="3">
        <f>'[01_Entry.xlsx]Book'!P862</f>
        <v/>
      </c>
      <c r="K862" s="3">
        <f>'[01_Entry.xlsx]Book'!F862</f>
        <v/>
      </c>
      <c r="L862" s="3">
        <f>'[01_Entry.xlsx]Book'!G862</f>
        <v/>
      </c>
      <c r="M862" s="3">
        <f>'[01_Entry.xlsx]Book'!I862</f>
        <v/>
      </c>
      <c r="N862" s="2">
        <f>IF($A862="","",MID($A862,6,2))</f>
        <v>0</v>
      </c>
      <c r="O862" s="2">
        <f>IF(OR($C862="",$C862&lt;&gt;'Inv'!$D$12),"",N(O$861)+1)</f>
        <v>0</v>
      </c>
    </row>
    <row r="863" spans="1:15">
      <c r="A863" s="2">
        <f>'[01_Entry.xlsx]Book'!A863</f>
        <v/>
      </c>
      <c r="B863" s="2">
        <f>'[01_Entry.xlsx]Book'!B863</f>
        <v/>
      </c>
      <c r="C863" s="2">
        <f>'[01_Entry.xlsx]Book'!D863</f>
        <v/>
      </c>
      <c r="D863" s="2">
        <f>'[01_Entry.xlsx]Book'!E863</f>
        <v/>
      </c>
      <c r="E863" s="2">
        <f>'[01_Entry.xlsx]Book'!O863</f>
        <v/>
      </c>
      <c r="F863" s="2">
        <f>'[01_Entry.xlsx]Book'!N863</f>
        <v/>
      </c>
      <c r="G863" s="3">
        <f>'[01_Entry.xlsx]Book'!L863</f>
        <v/>
      </c>
      <c r="H863" s="3">
        <f>'[01_Entry.xlsx]Book'!M863</f>
        <v/>
      </c>
      <c r="I863" s="3">
        <f>'[01_Entry.xlsx]Book'!K863</f>
        <v/>
      </c>
      <c r="J863" s="3">
        <f>'[01_Entry.xlsx]Book'!P863</f>
        <v/>
      </c>
      <c r="K863" s="3">
        <f>'[01_Entry.xlsx]Book'!F863</f>
        <v/>
      </c>
      <c r="L863" s="3">
        <f>'[01_Entry.xlsx]Book'!G863</f>
        <v/>
      </c>
      <c r="M863" s="3">
        <f>'[01_Entry.xlsx]Book'!I863</f>
        <v/>
      </c>
      <c r="N863" s="2">
        <f>IF($A863="","",MID($A863,6,2))</f>
        <v>0</v>
      </c>
      <c r="O863" s="2">
        <f>IF(OR($C863="",$C863&lt;&gt;'Inv'!$D$12),"",N(O$862)+1)</f>
        <v>0</v>
      </c>
    </row>
    <row r="864" spans="1:15">
      <c r="A864" s="2">
        <f>'[01_Entry.xlsx]Book'!A864</f>
        <v/>
      </c>
      <c r="B864" s="2">
        <f>'[01_Entry.xlsx]Book'!B864</f>
        <v/>
      </c>
      <c r="C864" s="2">
        <f>'[01_Entry.xlsx]Book'!D864</f>
        <v/>
      </c>
      <c r="D864" s="2">
        <f>'[01_Entry.xlsx]Book'!E864</f>
        <v/>
      </c>
      <c r="E864" s="2">
        <f>'[01_Entry.xlsx]Book'!O864</f>
        <v/>
      </c>
      <c r="F864" s="2">
        <f>'[01_Entry.xlsx]Book'!N864</f>
        <v/>
      </c>
      <c r="G864" s="3">
        <f>'[01_Entry.xlsx]Book'!L864</f>
        <v/>
      </c>
      <c r="H864" s="3">
        <f>'[01_Entry.xlsx]Book'!M864</f>
        <v/>
      </c>
      <c r="I864" s="3">
        <f>'[01_Entry.xlsx]Book'!K864</f>
        <v/>
      </c>
      <c r="J864" s="3">
        <f>'[01_Entry.xlsx]Book'!P864</f>
        <v/>
      </c>
      <c r="K864" s="3">
        <f>'[01_Entry.xlsx]Book'!F864</f>
        <v/>
      </c>
      <c r="L864" s="3">
        <f>'[01_Entry.xlsx]Book'!G864</f>
        <v/>
      </c>
      <c r="M864" s="3">
        <f>'[01_Entry.xlsx]Book'!I864</f>
        <v/>
      </c>
      <c r="N864" s="2">
        <f>IF($A864="","",MID($A864,6,2))</f>
        <v>0</v>
      </c>
      <c r="O864" s="2">
        <f>IF(OR($C864="",$C864&lt;&gt;'Inv'!$D$12),"",N(O$863)+1)</f>
        <v>0</v>
      </c>
    </row>
    <row r="865" spans="1:15">
      <c r="A865" s="2">
        <f>'[01_Entry.xlsx]Book'!A865</f>
        <v/>
      </c>
      <c r="B865" s="2">
        <f>'[01_Entry.xlsx]Book'!B865</f>
        <v/>
      </c>
      <c r="C865" s="2">
        <f>'[01_Entry.xlsx]Book'!D865</f>
        <v/>
      </c>
      <c r="D865" s="2">
        <f>'[01_Entry.xlsx]Book'!E865</f>
        <v/>
      </c>
      <c r="E865" s="2">
        <f>'[01_Entry.xlsx]Book'!O865</f>
        <v/>
      </c>
      <c r="F865" s="2">
        <f>'[01_Entry.xlsx]Book'!N865</f>
        <v/>
      </c>
      <c r="G865" s="3">
        <f>'[01_Entry.xlsx]Book'!L865</f>
        <v/>
      </c>
      <c r="H865" s="3">
        <f>'[01_Entry.xlsx]Book'!M865</f>
        <v/>
      </c>
      <c r="I865" s="3">
        <f>'[01_Entry.xlsx]Book'!K865</f>
        <v/>
      </c>
      <c r="J865" s="3">
        <f>'[01_Entry.xlsx]Book'!P865</f>
        <v/>
      </c>
      <c r="K865" s="3">
        <f>'[01_Entry.xlsx]Book'!F865</f>
        <v/>
      </c>
      <c r="L865" s="3">
        <f>'[01_Entry.xlsx]Book'!G865</f>
        <v/>
      </c>
      <c r="M865" s="3">
        <f>'[01_Entry.xlsx]Book'!I865</f>
        <v/>
      </c>
      <c r="N865" s="2">
        <f>IF($A865="","",MID($A865,6,2))</f>
        <v>0</v>
      </c>
      <c r="O865" s="2">
        <f>IF(OR($C865="",$C865&lt;&gt;'Inv'!$D$12),"",N(O$864)+1)</f>
        <v>0</v>
      </c>
    </row>
    <row r="866" spans="1:15">
      <c r="A866" s="2">
        <f>'[01_Entry.xlsx]Book'!A866</f>
        <v/>
      </c>
      <c r="B866" s="2">
        <f>'[01_Entry.xlsx]Book'!B866</f>
        <v/>
      </c>
      <c r="C866" s="2">
        <f>'[01_Entry.xlsx]Book'!D866</f>
        <v/>
      </c>
      <c r="D866" s="2">
        <f>'[01_Entry.xlsx]Book'!E866</f>
        <v/>
      </c>
      <c r="E866" s="2">
        <f>'[01_Entry.xlsx]Book'!O866</f>
        <v/>
      </c>
      <c r="F866" s="2">
        <f>'[01_Entry.xlsx]Book'!N866</f>
        <v/>
      </c>
      <c r="G866" s="3">
        <f>'[01_Entry.xlsx]Book'!L866</f>
        <v/>
      </c>
      <c r="H866" s="3">
        <f>'[01_Entry.xlsx]Book'!M866</f>
        <v/>
      </c>
      <c r="I866" s="3">
        <f>'[01_Entry.xlsx]Book'!K866</f>
        <v/>
      </c>
      <c r="J866" s="3">
        <f>'[01_Entry.xlsx]Book'!P866</f>
        <v/>
      </c>
      <c r="K866" s="3">
        <f>'[01_Entry.xlsx]Book'!F866</f>
        <v/>
      </c>
      <c r="L866" s="3">
        <f>'[01_Entry.xlsx]Book'!G866</f>
        <v/>
      </c>
      <c r="M866" s="3">
        <f>'[01_Entry.xlsx]Book'!I866</f>
        <v/>
      </c>
      <c r="N866" s="2">
        <f>IF($A866="","",MID($A866,6,2))</f>
        <v>0</v>
      </c>
      <c r="O866" s="2">
        <f>IF(OR($C866="",$C866&lt;&gt;'Inv'!$D$12),"",N(O$865)+1)</f>
        <v>0</v>
      </c>
    </row>
    <row r="867" spans="1:15">
      <c r="A867" s="2">
        <f>'[01_Entry.xlsx]Book'!A867</f>
        <v/>
      </c>
      <c r="B867" s="2">
        <f>'[01_Entry.xlsx]Book'!B867</f>
        <v/>
      </c>
      <c r="C867" s="2">
        <f>'[01_Entry.xlsx]Book'!D867</f>
        <v/>
      </c>
      <c r="D867" s="2">
        <f>'[01_Entry.xlsx]Book'!E867</f>
        <v/>
      </c>
      <c r="E867" s="2">
        <f>'[01_Entry.xlsx]Book'!O867</f>
        <v/>
      </c>
      <c r="F867" s="2">
        <f>'[01_Entry.xlsx]Book'!N867</f>
        <v/>
      </c>
      <c r="G867" s="3">
        <f>'[01_Entry.xlsx]Book'!L867</f>
        <v/>
      </c>
      <c r="H867" s="3">
        <f>'[01_Entry.xlsx]Book'!M867</f>
        <v/>
      </c>
      <c r="I867" s="3">
        <f>'[01_Entry.xlsx]Book'!K867</f>
        <v/>
      </c>
      <c r="J867" s="3">
        <f>'[01_Entry.xlsx]Book'!P867</f>
        <v/>
      </c>
      <c r="K867" s="3">
        <f>'[01_Entry.xlsx]Book'!F867</f>
        <v/>
      </c>
      <c r="L867" s="3">
        <f>'[01_Entry.xlsx]Book'!G867</f>
        <v/>
      </c>
      <c r="M867" s="3">
        <f>'[01_Entry.xlsx]Book'!I867</f>
        <v/>
      </c>
      <c r="N867" s="2">
        <f>IF($A867="","",MID($A867,6,2))</f>
        <v>0</v>
      </c>
      <c r="O867" s="2">
        <f>IF(OR($C867="",$C867&lt;&gt;'Inv'!$D$12),"",N(O$866)+1)</f>
        <v>0</v>
      </c>
    </row>
    <row r="868" spans="1:15">
      <c r="A868" s="2">
        <f>'[01_Entry.xlsx]Book'!A868</f>
        <v/>
      </c>
      <c r="B868" s="2">
        <f>'[01_Entry.xlsx]Book'!B868</f>
        <v/>
      </c>
      <c r="C868" s="2">
        <f>'[01_Entry.xlsx]Book'!D868</f>
        <v/>
      </c>
      <c r="D868" s="2">
        <f>'[01_Entry.xlsx]Book'!E868</f>
        <v/>
      </c>
      <c r="E868" s="2">
        <f>'[01_Entry.xlsx]Book'!O868</f>
        <v/>
      </c>
      <c r="F868" s="2">
        <f>'[01_Entry.xlsx]Book'!N868</f>
        <v/>
      </c>
      <c r="G868" s="3">
        <f>'[01_Entry.xlsx]Book'!L868</f>
        <v/>
      </c>
      <c r="H868" s="3">
        <f>'[01_Entry.xlsx]Book'!M868</f>
        <v/>
      </c>
      <c r="I868" s="3">
        <f>'[01_Entry.xlsx]Book'!K868</f>
        <v/>
      </c>
      <c r="J868" s="3">
        <f>'[01_Entry.xlsx]Book'!P868</f>
        <v/>
      </c>
      <c r="K868" s="3">
        <f>'[01_Entry.xlsx]Book'!F868</f>
        <v/>
      </c>
      <c r="L868" s="3">
        <f>'[01_Entry.xlsx]Book'!G868</f>
        <v/>
      </c>
      <c r="M868" s="3">
        <f>'[01_Entry.xlsx]Book'!I868</f>
        <v/>
      </c>
      <c r="N868" s="2">
        <f>IF($A868="","",MID($A868,6,2))</f>
        <v>0</v>
      </c>
      <c r="O868" s="2">
        <f>IF(OR($C868="",$C868&lt;&gt;'Inv'!$D$12),"",N(O$867)+1)</f>
        <v>0</v>
      </c>
    </row>
    <row r="869" spans="1:15">
      <c r="A869" s="2">
        <f>'[01_Entry.xlsx]Book'!A869</f>
        <v/>
      </c>
      <c r="B869" s="2">
        <f>'[01_Entry.xlsx]Book'!B869</f>
        <v/>
      </c>
      <c r="C869" s="2">
        <f>'[01_Entry.xlsx]Book'!D869</f>
        <v/>
      </c>
      <c r="D869" s="2">
        <f>'[01_Entry.xlsx]Book'!E869</f>
        <v/>
      </c>
      <c r="E869" s="2">
        <f>'[01_Entry.xlsx]Book'!O869</f>
        <v/>
      </c>
      <c r="F869" s="2">
        <f>'[01_Entry.xlsx]Book'!N869</f>
        <v/>
      </c>
      <c r="G869" s="3">
        <f>'[01_Entry.xlsx]Book'!L869</f>
        <v/>
      </c>
      <c r="H869" s="3">
        <f>'[01_Entry.xlsx]Book'!M869</f>
        <v/>
      </c>
      <c r="I869" s="3">
        <f>'[01_Entry.xlsx]Book'!K869</f>
        <v/>
      </c>
      <c r="J869" s="3">
        <f>'[01_Entry.xlsx]Book'!P869</f>
        <v/>
      </c>
      <c r="K869" s="3">
        <f>'[01_Entry.xlsx]Book'!F869</f>
        <v/>
      </c>
      <c r="L869" s="3">
        <f>'[01_Entry.xlsx]Book'!G869</f>
        <v/>
      </c>
      <c r="M869" s="3">
        <f>'[01_Entry.xlsx]Book'!I869</f>
        <v/>
      </c>
      <c r="N869" s="2">
        <f>IF($A869="","",MID($A869,6,2))</f>
        <v>0</v>
      </c>
      <c r="O869" s="2">
        <f>IF(OR($C869="",$C869&lt;&gt;'Inv'!$D$12),"",N(O$868)+1)</f>
        <v>0</v>
      </c>
    </row>
    <row r="870" spans="1:15">
      <c r="A870" s="2">
        <f>'[01_Entry.xlsx]Book'!A870</f>
        <v/>
      </c>
      <c r="B870" s="2">
        <f>'[01_Entry.xlsx]Book'!B870</f>
        <v/>
      </c>
      <c r="C870" s="2">
        <f>'[01_Entry.xlsx]Book'!D870</f>
        <v/>
      </c>
      <c r="D870" s="2">
        <f>'[01_Entry.xlsx]Book'!E870</f>
        <v/>
      </c>
      <c r="E870" s="2">
        <f>'[01_Entry.xlsx]Book'!O870</f>
        <v/>
      </c>
      <c r="F870" s="2">
        <f>'[01_Entry.xlsx]Book'!N870</f>
        <v/>
      </c>
      <c r="G870" s="3">
        <f>'[01_Entry.xlsx]Book'!L870</f>
        <v/>
      </c>
      <c r="H870" s="3">
        <f>'[01_Entry.xlsx]Book'!M870</f>
        <v/>
      </c>
      <c r="I870" s="3">
        <f>'[01_Entry.xlsx]Book'!K870</f>
        <v/>
      </c>
      <c r="J870" s="3">
        <f>'[01_Entry.xlsx]Book'!P870</f>
        <v/>
      </c>
      <c r="K870" s="3">
        <f>'[01_Entry.xlsx]Book'!F870</f>
        <v/>
      </c>
      <c r="L870" s="3">
        <f>'[01_Entry.xlsx]Book'!G870</f>
        <v/>
      </c>
      <c r="M870" s="3">
        <f>'[01_Entry.xlsx]Book'!I870</f>
        <v/>
      </c>
      <c r="N870" s="2">
        <f>IF($A870="","",MID($A870,6,2))</f>
        <v>0</v>
      </c>
      <c r="O870" s="2">
        <f>IF(OR($C870="",$C870&lt;&gt;'Inv'!$D$12),"",N(O$869)+1)</f>
        <v>0</v>
      </c>
    </row>
    <row r="871" spans="1:15">
      <c r="A871" s="2">
        <f>'[01_Entry.xlsx]Book'!A871</f>
        <v/>
      </c>
      <c r="B871" s="2">
        <f>'[01_Entry.xlsx]Book'!B871</f>
        <v/>
      </c>
      <c r="C871" s="2">
        <f>'[01_Entry.xlsx]Book'!D871</f>
        <v/>
      </c>
      <c r="D871" s="2">
        <f>'[01_Entry.xlsx]Book'!E871</f>
        <v/>
      </c>
      <c r="E871" s="2">
        <f>'[01_Entry.xlsx]Book'!O871</f>
        <v/>
      </c>
      <c r="F871" s="2">
        <f>'[01_Entry.xlsx]Book'!N871</f>
        <v/>
      </c>
      <c r="G871" s="3">
        <f>'[01_Entry.xlsx]Book'!L871</f>
        <v/>
      </c>
      <c r="H871" s="3">
        <f>'[01_Entry.xlsx]Book'!M871</f>
        <v/>
      </c>
      <c r="I871" s="3">
        <f>'[01_Entry.xlsx]Book'!K871</f>
        <v/>
      </c>
      <c r="J871" s="3">
        <f>'[01_Entry.xlsx]Book'!P871</f>
        <v/>
      </c>
      <c r="K871" s="3">
        <f>'[01_Entry.xlsx]Book'!F871</f>
        <v/>
      </c>
      <c r="L871" s="3">
        <f>'[01_Entry.xlsx]Book'!G871</f>
        <v/>
      </c>
      <c r="M871" s="3">
        <f>'[01_Entry.xlsx]Book'!I871</f>
        <v/>
      </c>
      <c r="N871" s="2">
        <f>IF($A871="","",MID($A871,6,2))</f>
        <v>0</v>
      </c>
      <c r="O871" s="2">
        <f>IF(OR($C871="",$C871&lt;&gt;'Inv'!$D$12),"",N(O$870)+1)</f>
        <v>0</v>
      </c>
    </row>
    <row r="872" spans="1:15">
      <c r="A872" s="2">
        <f>'[01_Entry.xlsx]Book'!A872</f>
        <v/>
      </c>
      <c r="B872" s="2">
        <f>'[01_Entry.xlsx]Book'!B872</f>
        <v/>
      </c>
      <c r="C872" s="2">
        <f>'[01_Entry.xlsx]Book'!D872</f>
        <v/>
      </c>
      <c r="D872" s="2">
        <f>'[01_Entry.xlsx]Book'!E872</f>
        <v/>
      </c>
      <c r="E872" s="2">
        <f>'[01_Entry.xlsx]Book'!O872</f>
        <v/>
      </c>
      <c r="F872" s="2">
        <f>'[01_Entry.xlsx]Book'!N872</f>
        <v/>
      </c>
      <c r="G872" s="3">
        <f>'[01_Entry.xlsx]Book'!L872</f>
        <v/>
      </c>
      <c r="H872" s="3">
        <f>'[01_Entry.xlsx]Book'!M872</f>
        <v/>
      </c>
      <c r="I872" s="3">
        <f>'[01_Entry.xlsx]Book'!K872</f>
        <v/>
      </c>
      <c r="J872" s="3">
        <f>'[01_Entry.xlsx]Book'!P872</f>
        <v/>
      </c>
      <c r="K872" s="3">
        <f>'[01_Entry.xlsx]Book'!F872</f>
        <v/>
      </c>
      <c r="L872" s="3">
        <f>'[01_Entry.xlsx]Book'!G872</f>
        <v/>
      </c>
      <c r="M872" s="3">
        <f>'[01_Entry.xlsx]Book'!I872</f>
        <v/>
      </c>
      <c r="N872" s="2">
        <f>IF($A872="","",MID($A872,6,2))</f>
        <v>0</v>
      </c>
      <c r="O872" s="2">
        <f>IF(OR($C872="",$C872&lt;&gt;'Inv'!$D$12),"",N(O$871)+1)</f>
        <v>0</v>
      </c>
    </row>
    <row r="873" spans="1:15">
      <c r="A873" s="2">
        <f>'[01_Entry.xlsx]Book'!A873</f>
        <v/>
      </c>
      <c r="B873" s="2">
        <f>'[01_Entry.xlsx]Book'!B873</f>
        <v/>
      </c>
      <c r="C873" s="2">
        <f>'[01_Entry.xlsx]Book'!D873</f>
        <v/>
      </c>
      <c r="D873" s="2">
        <f>'[01_Entry.xlsx]Book'!E873</f>
        <v/>
      </c>
      <c r="E873" s="2">
        <f>'[01_Entry.xlsx]Book'!O873</f>
        <v/>
      </c>
      <c r="F873" s="2">
        <f>'[01_Entry.xlsx]Book'!N873</f>
        <v/>
      </c>
      <c r="G873" s="3">
        <f>'[01_Entry.xlsx]Book'!L873</f>
        <v/>
      </c>
      <c r="H873" s="3">
        <f>'[01_Entry.xlsx]Book'!M873</f>
        <v/>
      </c>
      <c r="I873" s="3">
        <f>'[01_Entry.xlsx]Book'!K873</f>
        <v/>
      </c>
      <c r="J873" s="3">
        <f>'[01_Entry.xlsx]Book'!P873</f>
        <v/>
      </c>
      <c r="K873" s="3">
        <f>'[01_Entry.xlsx]Book'!F873</f>
        <v/>
      </c>
      <c r="L873" s="3">
        <f>'[01_Entry.xlsx]Book'!G873</f>
        <v/>
      </c>
      <c r="M873" s="3">
        <f>'[01_Entry.xlsx]Book'!I873</f>
        <v/>
      </c>
      <c r="N873" s="2">
        <f>IF($A873="","",MID($A873,6,2))</f>
        <v>0</v>
      </c>
      <c r="O873" s="2">
        <f>IF(OR($C873="",$C873&lt;&gt;'Inv'!$D$12),"",N(O$872)+1)</f>
        <v>0</v>
      </c>
    </row>
    <row r="874" spans="1:15">
      <c r="A874" s="2">
        <f>'[01_Entry.xlsx]Book'!A874</f>
        <v/>
      </c>
      <c r="B874" s="2">
        <f>'[01_Entry.xlsx]Book'!B874</f>
        <v/>
      </c>
      <c r="C874" s="2">
        <f>'[01_Entry.xlsx]Book'!D874</f>
        <v/>
      </c>
      <c r="D874" s="2">
        <f>'[01_Entry.xlsx]Book'!E874</f>
        <v/>
      </c>
      <c r="E874" s="2">
        <f>'[01_Entry.xlsx]Book'!O874</f>
        <v/>
      </c>
      <c r="F874" s="2">
        <f>'[01_Entry.xlsx]Book'!N874</f>
        <v/>
      </c>
      <c r="G874" s="3">
        <f>'[01_Entry.xlsx]Book'!L874</f>
        <v/>
      </c>
      <c r="H874" s="3">
        <f>'[01_Entry.xlsx]Book'!M874</f>
        <v/>
      </c>
      <c r="I874" s="3">
        <f>'[01_Entry.xlsx]Book'!K874</f>
        <v/>
      </c>
      <c r="J874" s="3">
        <f>'[01_Entry.xlsx]Book'!P874</f>
        <v/>
      </c>
      <c r="K874" s="3">
        <f>'[01_Entry.xlsx]Book'!F874</f>
        <v/>
      </c>
      <c r="L874" s="3">
        <f>'[01_Entry.xlsx]Book'!G874</f>
        <v/>
      </c>
      <c r="M874" s="3">
        <f>'[01_Entry.xlsx]Book'!I874</f>
        <v/>
      </c>
      <c r="N874" s="2">
        <f>IF($A874="","",MID($A874,6,2))</f>
        <v>0</v>
      </c>
      <c r="O874" s="2">
        <f>IF(OR($C874="",$C874&lt;&gt;'Inv'!$D$12),"",N(O$873)+1)</f>
        <v>0</v>
      </c>
    </row>
    <row r="875" spans="1:15">
      <c r="A875" s="2">
        <f>'[01_Entry.xlsx]Book'!A875</f>
        <v/>
      </c>
      <c r="B875" s="2">
        <f>'[01_Entry.xlsx]Book'!B875</f>
        <v/>
      </c>
      <c r="C875" s="2">
        <f>'[01_Entry.xlsx]Book'!D875</f>
        <v/>
      </c>
      <c r="D875" s="2">
        <f>'[01_Entry.xlsx]Book'!E875</f>
        <v/>
      </c>
      <c r="E875" s="2">
        <f>'[01_Entry.xlsx]Book'!O875</f>
        <v/>
      </c>
      <c r="F875" s="2">
        <f>'[01_Entry.xlsx]Book'!N875</f>
        <v/>
      </c>
      <c r="G875" s="3">
        <f>'[01_Entry.xlsx]Book'!L875</f>
        <v/>
      </c>
      <c r="H875" s="3">
        <f>'[01_Entry.xlsx]Book'!M875</f>
        <v/>
      </c>
      <c r="I875" s="3">
        <f>'[01_Entry.xlsx]Book'!K875</f>
        <v/>
      </c>
      <c r="J875" s="3">
        <f>'[01_Entry.xlsx]Book'!P875</f>
        <v/>
      </c>
      <c r="K875" s="3">
        <f>'[01_Entry.xlsx]Book'!F875</f>
        <v/>
      </c>
      <c r="L875" s="3">
        <f>'[01_Entry.xlsx]Book'!G875</f>
        <v/>
      </c>
      <c r="M875" s="3">
        <f>'[01_Entry.xlsx]Book'!I875</f>
        <v/>
      </c>
      <c r="N875" s="2">
        <f>IF($A875="","",MID($A875,6,2))</f>
        <v>0</v>
      </c>
      <c r="O875" s="2">
        <f>IF(OR($C875="",$C875&lt;&gt;'Inv'!$D$12),"",N(O$874)+1)</f>
        <v>0</v>
      </c>
    </row>
    <row r="876" spans="1:15">
      <c r="A876" s="2">
        <f>'[01_Entry.xlsx]Book'!A876</f>
        <v/>
      </c>
      <c r="B876" s="2">
        <f>'[01_Entry.xlsx]Book'!B876</f>
        <v/>
      </c>
      <c r="C876" s="2">
        <f>'[01_Entry.xlsx]Book'!D876</f>
        <v/>
      </c>
      <c r="D876" s="2">
        <f>'[01_Entry.xlsx]Book'!E876</f>
        <v/>
      </c>
      <c r="E876" s="2">
        <f>'[01_Entry.xlsx]Book'!O876</f>
        <v/>
      </c>
      <c r="F876" s="2">
        <f>'[01_Entry.xlsx]Book'!N876</f>
        <v/>
      </c>
      <c r="G876" s="3">
        <f>'[01_Entry.xlsx]Book'!L876</f>
        <v/>
      </c>
      <c r="H876" s="3">
        <f>'[01_Entry.xlsx]Book'!M876</f>
        <v/>
      </c>
      <c r="I876" s="3">
        <f>'[01_Entry.xlsx]Book'!K876</f>
        <v/>
      </c>
      <c r="J876" s="3">
        <f>'[01_Entry.xlsx]Book'!P876</f>
        <v/>
      </c>
      <c r="K876" s="3">
        <f>'[01_Entry.xlsx]Book'!F876</f>
        <v/>
      </c>
      <c r="L876" s="3">
        <f>'[01_Entry.xlsx]Book'!G876</f>
        <v/>
      </c>
      <c r="M876" s="3">
        <f>'[01_Entry.xlsx]Book'!I876</f>
        <v/>
      </c>
      <c r="N876" s="2">
        <f>IF($A876="","",MID($A876,6,2))</f>
        <v>0</v>
      </c>
      <c r="O876" s="2">
        <f>IF(OR($C876="",$C876&lt;&gt;'Inv'!$D$12),"",N(O$875)+1)</f>
        <v>0</v>
      </c>
    </row>
    <row r="877" spans="1:15">
      <c r="A877" s="2">
        <f>'[01_Entry.xlsx]Book'!A877</f>
        <v/>
      </c>
      <c r="B877" s="2">
        <f>'[01_Entry.xlsx]Book'!B877</f>
        <v/>
      </c>
      <c r="C877" s="2">
        <f>'[01_Entry.xlsx]Book'!D877</f>
        <v/>
      </c>
      <c r="D877" s="2">
        <f>'[01_Entry.xlsx]Book'!E877</f>
        <v/>
      </c>
      <c r="E877" s="2">
        <f>'[01_Entry.xlsx]Book'!O877</f>
        <v/>
      </c>
      <c r="F877" s="2">
        <f>'[01_Entry.xlsx]Book'!N877</f>
        <v/>
      </c>
      <c r="G877" s="3">
        <f>'[01_Entry.xlsx]Book'!L877</f>
        <v/>
      </c>
      <c r="H877" s="3">
        <f>'[01_Entry.xlsx]Book'!M877</f>
        <v/>
      </c>
      <c r="I877" s="3">
        <f>'[01_Entry.xlsx]Book'!K877</f>
        <v/>
      </c>
      <c r="J877" s="3">
        <f>'[01_Entry.xlsx]Book'!P877</f>
        <v/>
      </c>
      <c r="K877" s="3">
        <f>'[01_Entry.xlsx]Book'!F877</f>
        <v/>
      </c>
      <c r="L877" s="3">
        <f>'[01_Entry.xlsx]Book'!G877</f>
        <v/>
      </c>
      <c r="M877" s="3">
        <f>'[01_Entry.xlsx]Book'!I877</f>
        <v/>
      </c>
      <c r="N877" s="2">
        <f>IF($A877="","",MID($A877,6,2))</f>
        <v>0</v>
      </c>
      <c r="O877" s="2">
        <f>IF(OR($C877="",$C877&lt;&gt;'Inv'!$D$12),"",N(O$876)+1)</f>
        <v>0</v>
      </c>
    </row>
    <row r="878" spans="1:15">
      <c r="A878" s="2">
        <f>'[01_Entry.xlsx]Book'!A878</f>
        <v/>
      </c>
      <c r="B878" s="2">
        <f>'[01_Entry.xlsx]Book'!B878</f>
        <v/>
      </c>
      <c r="C878" s="2">
        <f>'[01_Entry.xlsx]Book'!D878</f>
        <v/>
      </c>
      <c r="D878" s="2">
        <f>'[01_Entry.xlsx]Book'!E878</f>
        <v/>
      </c>
      <c r="E878" s="2">
        <f>'[01_Entry.xlsx]Book'!O878</f>
        <v/>
      </c>
      <c r="F878" s="2">
        <f>'[01_Entry.xlsx]Book'!N878</f>
        <v/>
      </c>
      <c r="G878" s="3">
        <f>'[01_Entry.xlsx]Book'!L878</f>
        <v/>
      </c>
      <c r="H878" s="3">
        <f>'[01_Entry.xlsx]Book'!M878</f>
        <v/>
      </c>
      <c r="I878" s="3">
        <f>'[01_Entry.xlsx]Book'!K878</f>
        <v/>
      </c>
      <c r="J878" s="3">
        <f>'[01_Entry.xlsx]Book'!P878</f>
        <v/>
      </c>
      <c r="K878" s="3">
        <f>'[01_Entry.xlsx]Book'!F878</f>
        <v/>
      </c>
      <c r="L878" s="3">
        <f>'[01_Entry.xlsx]Book'!G878</f>
        <v/>
      </c>
      <c r="M878" s="3">
        <f>'[01_Entry.xlsx]Book'!I878</f>
        <v/>
      </c>
      <c r="N878" s="2">
        <f>IF($A878="","",MID($A878,6,2))</f>
        <v>0</v>
      </c>
      <c r="O878" s="2">
        <f>IF(OR($C878="",$C878&lt;&gt;'Inv'!$D$12),"",N(O$877)+1)</f>
        <v>0</v>
      </c>
    </row>
    <row r="879" spans="1:15">
      <c r="A879" s="2">
        <f>'[01_Entry.xlsx]Book'!A879</f>
        <v/>
      </c>
      <c r="B879" s="2">
        <f>'[01_Entry.xlsx]Book'!B879</f>
        <v/>
      </c>
      <c r="C879" s="2">
        <f>'[01_Entry.xlsx]Book'!D879</f>
        <v/>
      </c>
      <c r="D879" s="2">
        <f>'[01_Entry.xlsx]Book'!E879</f>
        <v/>
      </c>
      <c r="E879" s="2">
        <f>'[01_Entry.xlsx]Book'!O879</f>
        <v/>
      </c>
      <c r="F879" s="2">
        <f>'[01_Entry.xlsx]Book'!N879</f>
        <v/>
      </c>
      <c r="G879" s="3">
        <f>'[01_Entry.xlsx]Book'!L879</f>
        <v/>
      </c>
      <c r="H879" s="3">
        <f>'[01_Entry.xlsx]Book'!M879</f>
        <v/>
      </c>
      <c r="I879" s="3">
        <f>'[01_Entry.xlsx]Book'!K879</f>
        <v/>
      </c>
      <c r="J879" s="3">
        <f>'[01_Entry.xlsx]Book'!P879</f>
        <v/>
      </c>
      <c r="K879" s="3">
        <f>'[01_Entry.xlsx]Book'!F879</f>
        <v/>
      </c>
      <c r="L879" s="3">
        <f>'[01_Entry.xlsx]Book'!G879</f>
        <v/>
      </c>
      <c r="M879" s="3">
        <f>'[01_Entry.xlsx]Book'!I879</f>
        <v/>
      </c>
      <c r="N879" s="2">
        <f>IF($A879="","",MID($A879,6,2))</f>
        <v>0</v>
      </c>
      <c r="O879" s="2">
        <f>IF(OR($C879="",$C879&lt;&gt;'Inv'!$D$12),"",N(O$878)+1)</f>
        <v>0</v>
      </c>
    </row>
    <row r="880" spans="1:15">
      <c r="A880" s="2">
        <f>'[01_Entry.xlsx]Book'!A880</f>
        <v/>
      </c>
      <c r="B880" s="2">
        <f>'[01_Entry.xlsx]Book'!B880</f>
        <v/>
      </c>
      <c r="C880" s="2">
        <f>'[01_Entry.xlsx]Book'!D880</f>
        <v/>
      </c>
      <c r="D880" s="2">
        <f>'[01_Entry.xlsx]Book'!E880</f>
        <v/>
      </c>
      <c r="E880" s="2">
        <f>'[01_Entry.xlsx]Book'!O880</f>
        <v/>
      </c>
      <c r="F880" s="2">
        <f>'[01_Entry.xlsx]Book'!N880</f>
        <v/>
      </c>
      <c r="G880" s="3">
        <f>'[01_Entry.xlsx]Book'!L880</f>
        <v/>
      </c>
      <c r="H880" s="3">
        <f>'[01_Entry.xlsx]Book'!M880</f>
        <v/>
      </c>
      <c r="I880" s="3">
        <f>'[01_Entry.xlsx]Book'!K880</f>
        <v/>
      </c>
      <c r="J880" s="3">
        <f>'[01_Entry.xlsx]Book'!P880</f>
        <v/>
      </c>
      <c r="K880" s="3">
        <f>'[01_Entry.xlsx]Book'!F880</f>
        <v/>
      </c>
      <c r="L880" s="3">
        <f>'[01_Entry.xlsx]Book'!G880</f>
        <v/>
      </c>
      <c r="M880" s="3">
        <f>'[01_Entry.xlsx]Book'!I880</f>
        <v/>
      </c>
      <c r="N880" s="2">
        <f>IF($A880="","",MID($A880,6,2))</f>
        <v>0</v>
      </c>
      <c r="O880" s="2">
        <f>IF(OR($C880="",$C880&lt;&gt;'Inv'!$D$12),"",N(O$879)+1)</f>
        <v>0</v>
      </c>
    </row>
    <row r="881" spans="1:15">
      <c r="A881" s="2">
        <f>'[01_Entry.xlsx]Book'!A881</f>
        <v/>
      </c>
      <c r="B881" s="2">
        <f>'[01_Entry.xlsx]Book'!B881</f>
        <v/>
      </c>
      <c r="C881" s="2">
        <f>'[01_Entry.xlsx]Book'!D881</f>
        <v/>
      </c>
      <c r="D881" s="2">
        <f>'[01_Entry.xlsx]Book'!E881</f>
        <v/>
      </c>
      <c r="E881" s="2">
        <f>'[01_Entry.xlsx]Book'!O881</f>
        <v/>
      </c>
      <c r="F881" s="2">
        <f>'[01_Entry.xlsx]Book'!N881</f>
        <v/>
      </c>
      <c r="G881" s="3">
        <f>'[01_Entry.xlsx]Book'!L881</f>
        <v/>
      </c>
      <c r="H881" s="3">
        <f>'[01_Entry.xlsx]Book'!M881</f>
        <v/>
      </c>
      <c r="I881" s="3">
        <f>'[01_Entry.xlsx]Book'!K881</f>
        <v/>
      </c>
      <c r="J881" s="3">
        <f>'[01_Entry.xlsx]Book'!P881</f>
        <v/>
      </c>
      <c r="K881" s="3">
        <f>'[01_Entry.xlsx]Book'!F881</f>
        <v/>
      </c>
      <c r="L881" s="3">
        <f>'[01_Entry.xlsx]Book'!G881</f>
        <v/>
      </c>
      <c r="M881" s="3">
        <f>'[01_Entry.xlsx]Book'!I881</f>
        <v/>
      </c>
      <c r="N881" s="2">
        <f>IF($A881="","",MID($A881,6,2))</f>
        <v>0</v>
      </c>
      <c r="O881" s="2">
        <f>IF(OR($C881="",$C881&lt;&gt;'Inv'!$D$12),"",N(O$880)+1)</f>
        <v>0</v>
      </c>
    </row>
    <row r="882" spans="1:15">
      <c r="A882" s="2">
        <f>'[01_Entry.xlsx]Book'!A882</f>
        <v/>
      </c>
      <c r="B882" s="2">
        <f>'[01_Entry.xlsx]Book'!B882</f>
        <v/>
      </c>
      <c r="C882" s="2">
        <f>'[01_Entry.xlsx]Book'!D882</f>
        <v/>
      </c>
      <c r="D882" s="2">
        <f>'[01_Entry.xlsx]Book'!E882</f>
        <v/>
      </c>
      <c r="E882" s="2">
        <f>'[01_Entry.xlsx]Book'!O882</f>
        <v/>
      </c>
      <c r="F882" s="2">
        <f>'[01_Entry.xlsx]Book'!N882</f>
        <v/>
      </c>
      <c r="G882" s="3">
        <f>'[01_Entry.xlsx]Book'!L882</f>
        <v/>
      </c>
      <c r="H882" s="3">
        <f>'[01_Entry.xlsx]Book'!M882</f>
        <v/>
      </c>
      <c r="I882" s="3">
        <f>'[01_Entry.xlsx]Book'!K882</f>
        <v/>
      </c>
      <c r="J882" s="3">
        <f>'[01_Entry.xlsx]Book'!P882</f>
        <v/>
      </c>
      <c r="K882" s="3">
        <f>'[01_Entry.xlsx]Book'!F882</f>
        <v/>
      </c>
      <c r="L882" s="3">
        <f>'[01_Entry.xlsx]Book'!G882</f>
        <v/>
      </c>
      <c r="M882" s="3">
        <f>'[01_Entry.xlsx]Book'!I882</f>
        <v/>
      </c>
      <c r="N882" s="2">
        <f>IF($A882="","",MID($A882,6,2))</f>
        <v>0</v>
      </c>
      <c r="O882" s="2">
        <f>IF(OR($C882="",$C882&lt;&gt;'Inv'!$D$12),"",N(O$881)+1)</f>
        <v>0</v>
      </c>
    </row>
    <row r="883" spans="1:15">
      <c r="A883" s="2">
        <f>'[01_Entry.xlsx]Book'!A883</f>
        <v/>
      </c>
      <c r="B883" s="2">
        <f>'[01_Entry.xlsx]Book'!B883</f>
        <v/>
      </c>
      <c r="C883" s="2">
        <f>'[01_Entry.xlsx]Book'!D883</f>
        <v/>
      </c>
      <c r="D883" s="2">
        <f>'[01_Entry.xlsx]Book'!E883</f>
        <v/>
      </c>
      <c r="E883" s="2">
        <f>'[01_Entry.xlsx]Book'!O883</f>
        <v/>
      </c>
      <c r="F883" s="2">
        <f>'[01_Entry.xlsx]Book'!N883</f>
        <v/>
      </c>
      <c r="G883" s="3">
        <f>'[01_Entry.xlsx]Book'!L883</f>
        <v/>
      </c>
      <c r="H883" s="3">
        <f>'[01_Entry.xlsx]Book'!M883</f>
        <v/>
      </c>
      <c r="I883" s="3">
        <f>'[01_Entry.xlsx]Book'!K883</f>
        <v/>
      </c>
      <c r="J883" s="3">
        <f>'[01_Entry.xlsx]Book'!P883</f>
        <v/>
      </c>
      <c r="K883" s="3">
        <f>'[01_Entry.xlsx]Book'!F883</f>
        <v/>
      </c>
      <c r="L883" s="3">
        <f>'[01_Entry.xlsx]Book'!G883</f>
        <v/>
      </c>
      <c r="M883" s="3">
        <f>'[01_Entry.xlsx]Book'!I883</f>
        <v/>
      </c>
      <c r="N883" s="2">
        <f>IF($A883="","",MID($A883,6,2))</f>
        <v>0</v>
      </c>
      <c r="O883" s="2">
        <f>IF(OR($C883="",$C883&lt;&gt;'Inv'!$D$12),"",N(O$882)+1)</f>
        <v>0</v>
      </c>
    </row>
    <row r="884" spans="1:15">
      <c r="A884" s="2">
        <f>'[01_Entry.xlsx]Book'!A884</f>
        <v/>
      </c>
      <c r="B884" s="2">
        <f>'[01_Entry.xlsx]Book'!B884</f>
        <v/>
      </c>
      <c r="C884" s="2">
        <f>'[01_Entry.xlsx]Book'!D884</f>
        <v/>
      </c>
      <c r="D884" s="2">
        <f>'[01_Entry.xlsx]Book'!E884</f>
        <v/>
      </c>
      <c r="E884" s="2">
        <f>'[01_Entry.xlsx]Book'!O884</f>
        <v/>
      </c>
      <c r="F884" s="2">
        <f>'[01_Entry.xlsx]Book'!N884</f>
        <v/>
      </c>
      <c r="G884" s="3">
        <f>'[01_Entry.xlsx]Book'!L884</f>
        <v/>
      </c>
      <c r="H884" s="3">
        <f>'[01_Entry.xlsx]Book'!M884</f>
        <v/>
      </c>
      <c r="I884" s="3">
        <f>'[01_Entry.xlsx]Book'!K884</f>
        <v/>
      </c>
      <c r="J884" s="3">
        <f>'[01_Entry.xlsx]Book'!P884</f>
        <v/>
      </c>
      <c r="K884" s="3">
        <f>'[01_Entry.xlsx]Book'!F884</f>
        <v/>
      </c>
      <c r="L884" s="3">
        <f>'[01_Entry.xlsx]Book'!G884</f>
        <v/>
      </c>
      <c r="M884" s="3">
        <f>'[01_Entry.xlsx]Book'!I884</f>
        <v/>
      </c>
      <c r="N884" s="2">
        <f>IF($A884="","",MID($A884,6,2))</f>
        <v>0</v>
      </c>
      <c r="O884" s="2">
        <f>IF(OR($C884="",$C884&lt;&gt;'Inv'!$D$12),"",N(O$883)+1)</f>
        <v>0</v>
      </c>
    </row>
    <row r="885" spans="1:15">
      <c r="A885" s="2">
        <f>'[01_Entry.xlsx]Book'!A885</f>
        <v/>
      </c>
      <c r="B885" s="2">
        <f>'[01_Entry.xlsx]Book'!B885</f>
        <v/>
      </c>
      <c r="C885" s="2">
        <f>'[01_Entry.xlsx]Book'!D885</f>
        <v/>
      </c>
      <c r="D885" s="2">
        <f>'[01_Entry.xlsx]Book'!E885</f>
        <v/>
      </c>
      <c r="E885" s="2">
        <f>'[01_Entry.xlsx]Book'!O885</f>
        <v/>
      </c>
      <c r="F885" s="2">
        <f>'[01_Entry.xlsx]Book'!N885</f>
        <v/>
      </c>
      <c r="G885" s="3">
        <f>'[01_Entry.xlsx]Book'!L885</f>
        <v/>
      </c>
      <c r="H885" s="3">
        <f>'[01_Entry.xlsx]Book'!M885</f>
        <v/>
      </c>
      <c r="I885" s="3">
        <f>'[01_Entry.xlsx]Book'!K885</f>
        <v/>
      </c>
      <c r="J885" s="3">
        <f>'[01_Entry.xlsx]Book'!P885</f>
        <v/>
      </c>
      <c r="K885" s="3">
        <f>'[01_Entry.xlsx]Book'!F885</f>
        <v/>
      </c>
      <c r="L885" s="3">
        <f>'[01_Entry.xlsx]Book'!G885</f>
        <v/>
      </c>
      <c r="M885" s="3">
        <f>'[01_Entry.xlsx]Book'!I885</f>
        <v/>
      </c>
      <c r="N885" s="2">
        <f>IF($A885="","",MID($A885,6,2))</f>
        <v>0</v>
      </c>
      <c r="O885" s="2">
        <f>IF(OR($C885="",$C885&lt;&gt;'Inv'!$D$12),"",N(O$884)+1)</f>
        <v>0</v>
      </c>
    </row>
    <row r="886" spans="1:15">
      <c r="A886" s="2">
        <f>'[01_Entry.xlsx]Book'!A886</f>
        <v/>
      </c>
      <c r="B886" s="2">
        <f>'[01_Entry.xlsx]Book'!B886</f>
        <v/>
      </c>
      <c r="C886" s="2">
        <f>'[01_Entry.xlsx]Book'!D886</f>
        <v/>
      </c>
      <c r="D886" s="2">
        <f>'[01_Entry.xlsx]Book'!E886</f>
        <v/>
      </c>
      <c r="E886" s="2">
        <f>'[01_Entry.xlsx]Book'!O886</f>
        <v/>
      </c>
      <c r="F886" s="2">
        <f>'[01_Entry.xlsx]Book'!N886</f>
        <v/>
      </c>
      <c r="G886" s="3">
        <f>'[01_Entry.xlsx]Book'!L886</f>
        <v/>
      </c>
      <c r="H886" s="3">
        <f>'[01_Entry.xlsx]Book'!M886</f>
        <v/>
      </c>
      <c r="I886" s="3">
        <f>'[01_Entry.xlsx]Book'!K886</f>
        <v/>
      </c>
      <c r="J886" s="3">
        <f>'[01_Entry.xlsx]Book'!P886</f>
        <v/>
      </c>
      <c r="K886" s="3">
        <f>'[01_Entry.xlsx]Book'!F886</f>
        <v/>
      </c>
      <c r="L886" s="3">
        <f>'[01_Entry.xlsx]Book'!G886</f>
        <v/>
      </c>
      <c r="M886" s="3">
        <f>'[01_Entry.xlsx]Book'!I886</f>
        <v/>
      </c>
      <c r="N886" s="2">
        <f>IF($A886="","",MID($A886,6,2))</f>
        <v>0</v>
      </c>
      <c r="O886" s="2">
        <f>IF(OR($C886="",$C886&lt;&gt;'Inv'!$D$12),"",N(O$885)+1)</f>
        <v>0</v>
      </c>
    </row>
    <row r="887" spans="1:15">
      <c r="A887" s="2">
        <f>'[01_Entry.xlsx]Book'!A887</f>
        <v/>
      </c>
      <c r="B887" s="2">
        <f>'[01_Entry.xlsx]Book'!B887</f>
        <v/>
      </c>
      <c r="C887" s="2">
        <f>'[01_Entry.xlsx]Book'!D887</f>
        <v/>
      </c>
      <c r="D887" s="2">
        <f>'[01_Entry.xlsx]Book'!E887</f>
        <v/>
      </c>
      <c r="E887" s="2">
        <f>'[01_Entry.xlsx]Book'!O887</f>
        <v/>
      </c>
      <c r="F887" s="2">
        <f>'[01_Entry.xlsx]Book'!N887</f>
        <v/>
      </c>
      <c r="G887" s="3">
        <f>'[01_Entry.xlsx]Book'!L887</f>
        <v/>
      </c>
      <c r="H887" s="3">
        <f>'[01_Entry.xlsx]Book'!M887</f>
        <v/>
      </c>
      <c r="I887" s="3">
        <f>'[01_Entry.xlsx]Book'!K887</f>
        <v/>
      </c>
      <c r="J887" s="3">
        <f>'[01_Entry.xlsx]Book'!P887</f>
        <v/>
      </c>
      <c r="K887" s="3">
        <f>'[01_Entry.xlsx]Book'!F887</f>
        <v/>
      </c>
      <c r="L887" s="3">
        <f>'[01_Entry.xlsx]Book'!G887</f>
        <v/>
      </c>
      <c r="M887" s="3">
        <f>'[01_Entry.xlsx]Book'!I887</f>
        <v/>
      </c>
      <c r="N887" s="2">
        <f>IF($A887="","",MID($A887,6,2))</f>
        <v>0</v>
      </c>
      <c r="O887" s="2">
        <f>IF(OR($C887="",$C887&lt;&gt;'Inv'!$D$12),"",N(O$886)+1)</f>
        <v>0</v>
      </c>
    </row>
    <row r="888" spans="1:15">
      <c r="A888" s="2">
        <f>'[01_Entry.xlsx]Book'!A888</f>
        <v/>
      </c>
      <c r="B888" s="2">
        <f>'[01_Entry.xlsx]Book'!B888</f>
        <v/>
      </c>
      <c r="C888" s="2">
        <f>'[01_Entry.xlsx]Book'!D888</f>
        <v/>
      </c>
      <c r="D888" s="2">
        <f>'[01_Entry.xlsx]Book'!E888</f>
        <v/>
      </c>
      <c r="E888" s="2">
        <f>'[01_Entry.xlsx]Book'!O888</f>
        <v/>
      </c>
      <c r="F888" s="2">
        <f>'[01_Entry.xlsx]Book'!N888</f>
        <v/>
      </c>
      <c r="G888" s="3">
        <f>'[01_Entry.xlsx]Book'!L888</f>
        <v/>
      </c>
      <c r="H888" s="3">
        <f>'[01_Entry.xlsx]Book'!M888</f>
        <v/>
      </c>
      <c r="I888" s="3">
        <f>'[01_Entry.xlsx]Book'!K888</f>
        <v/>
      </c>
      <c r="J888" s="3">
        <f>'[01_Entry.xlsx]Book'!P888</f>
        <v/>
      </c>
      <c r="K888" s="3">
        <f>'[01_Entry.xlsx]Book'!F888</f>
        <v/>
      </c>
      <c r="L888" s="3">
        <f>'[01_Entry.xlsx]Book'!G888</f>
        <v/>
      </c>
      <c r="M888" s="3">
        <f>'[01_Entry.xlsx]Book'!I888</f>
        <v/>
      </c>
      <c r="N888" s="2">
        <f>IF($A888="","",MID($A888,6,2))</f>
        <v>0</v>
      </c>
      <c r="O888" s="2">
        <f>IF(OR($C888="",$C888&lt;&gt;'Inv'!$D$12),"",N(O$887)+1)</f>
        <v>0</v>
      </c>
    </row>
    <row r="889" spans="1:15">
      <c r="A889" s="2">
        <f>'[01_Entry.xlsx]Book'!A889</f>
        <v/>
      </c>
      <c r="B889" s="2">
        <f>'[01_Entry.xlsx]Book'!B889</f>
        <v/>
      </c>
      <c r="C889" s="2">
        <f>'[01_Entry.xlsx]Book'!D889</f>
        <v/>
      </c>
      <c r="D889" s="2">
        <f>'[01_Entry.xlsx]Book'!E889</f>
        <v/>
      </c>
      <c r="E889" s="2">
        <f>'[01_Entry.xlsx]Book'!O889</f>
        <v/>
      </c>
      <c r="F889" s="2">
        <f>'[01_Entry.xlsx]Book'!N889</f>
        <v/>
      </c>
      <c r="G889" s="3">
        <f>'[01_Entry.xlsx]Book'!L889</f>
        <v/>
      </c>
      <c r="H889" s="3">
        <f>'[01_Entry.xlsx]Book'!M889</f>
        <v/>
      </c>
      <c r="I889" s="3">
        <f>'[01_Entry.xlsx]Book'!K889</f>
        <v/>
      </c>
      <c r="J889" s="3">
        <f>'[01_Entry.xlsx]Book'!P889</f>
        <v/>
      </c>
      <c r="K889" s="3">
        <f>'[01_Entry.xlsx]Book'!F889</f>
        <v/>
      </c>
      <c r="L889" s="3">
        <f>'[01_Entry.xlsx]Book'!G889</f>
        <v/>
      </c>
      <c r="M889" s="3">
        <f>'[01_Entry.xlsx]Book'!I889</f>
        <v/>
      </c>
      <c r="N889" s="2">
        <f>IF($A889="","",MID($A889,6,2))</f>
        <v>0</v>
      </c>
      <c r="O889" s="2">
        <f>IF(OR($C889="",$C889&lt;&gt;'Inv'!$D$12),"",N(O$888)+1)</f>
        <v>0</v>
      </c>
    </row>
    <row r="890" spans="1:15">
      <c r="A890" s="2">
        <f>'[01_Entry.xlsx]Book'!A890</f>
        <v/>
      </c>
      <c r="B890" s="2">
        <f>'[01_Entry.xlsx]Book'!B890</f>
        <v/>
      </c>
      <c r="C890" s="2">
        <f>'[01_Entry.xlsx]Book'!D890</f>
        <v/>
      </c>
      <c r="D890" s="2">
        <f>'[01_Entry.xlsx]Book'!E890</f>
        <v/>
      </c>
      <c r="E890" s="2">
        <f>'[01_Entry.xlsx]Book'!O890</f>
        <v/>
      </c>
      <c r="F890" s="2">
        <f>'[01_Entry.xlsx]Book'!N890</f>
        <v/>
      </c>
      <c r="G890" s="3">
        <f>'[01_Entry.xlsx]Book'!L890</f>
        <v/>
      </c>
      <c r="H890" s="3">
        <f>'[01_Entry.xlsx]Book'!M890</f>
        <v/>
      </c>
      <c r="I890" s="3">
        <f>'[01_Entry.xlsx]Book'!K890</f>
        <v/>
      </c>
      <c r="J890" s="3">
        <f>'[01_Entry.xlsx]Book'!P890</f>
        <v/>
      </c>
      <c r="K890" s="3">
        <f>'[01_Entry.xlsx]Book'!F890</f>
        <v/>
      </c>
      <c r="L890" s="3">
        <f>'[01_Entry.xlsx]Book'!G890</f>
        <v/>
      </c>
      <c r="M890" s="3">
        <f>'[01_Entry.xlsx]Book'!I890</f>
        <v/>
      </c>
      <c r="N890" s="2">
        <f>IF($A890="","",MID($A890,6,2))</f>
        <v>0</v>
      </c>
      <c r="O890" s="2">
        <f>IF(OR($C890="",$C890&lt;&gt;'Inv'!$D$12),"",N(O$889)+1)</f>
        <v>0</v>
      </c>
    </row>
    <row r="891" spans="1:15">
      <c r="A891" s="2">
        <f>'[01_Entry.xlsx]Book'!A891</f>
        <v/>
      </c>
      <c r="B891" s="2">
        <f>'[01_Entry.xlsx]Book'!B891</f>
        <v/>
      </c>
      <c r="C891" s="2">
        <f>'[01_Entry.xlsx]Book'!D891</f>
        <v/>
      </c>
      <c r="D891" s="2">
        <f>'[01_Entry.xlsx]Book'!E891</f>
        <v/>
      </c>
      <c r="E891" s="2">
        <f>'[01_Entry.xlsx]Book'!O891</f>
        <v/>
      </c>
      <c r="F891" s="2">
        <f>'[01_Entry.xlsx]Book'!N891</f>
        <v/>
      </c>
      <c r="G891" s="3">
        <f>'[01_Entry.xlsx]Book'!L891</f>
        <v/>
      </c>
      <c r="H891" s="3">
        <f>'[01_Entry.xlsx]Book'!M891</f>
        <v/>
      </c>
      <c r="I891" s="3">
        <f>'[01_Entry.xlsx]Book'!K891</f>
        <v/>
      </c>
      <c r="J891" s="3">
        <f>'[01_Entry.xlsx]Book'!P891</f>
        <v/>
      </c>
      <c r="K891" s="3">
        <f>'[01_Entry.xlsx]Book'!F891</f>
        <v/>
      </c>
      <c r="L891" s="3">
        <f>'[01_Entry.xlsx]Book'!G891</f>
        <v/>
      </c>
      <c r="M891" s="3">
        <f>'[01_Entry.xlsx]Book'!I891</f>
        <v/>
      </c>
      <c r="N891" s="2">
        <f>IF($A891="","",MID($A891,6,2))</f>
        <v>0</v>
      </c>
      <c r="O891" s="2">
        <f>IF(OR($C891="",$C891&lt;&gt;'Inv'!$D$12),"",N(O$890)+1)</f>
        <v>0</v>
      </c>
    </row>
    <row r="892" spans="1:15">
      <c r="A892" s="2">
        <f>'[01_Entry.xlsx]Book'!A892</f>
        <v/>
      </c>
      <c r="B892" s="2">
        <f>'[01_Entry.xlsx]Book'!B892</f>
        <v/>
      </c>
      <c r="C892" s="2">
        <f>'[01_Entry.xlsx]Book'!D892</f>
        <v/>
      </c>
      <c r="D892" s="2">
        <f>'[01_Entry.xlsx]Book'!E892</f>
        <v/>
      </c>
      <c r="E892" s="2">
        <f>'[01_Entry.xlsx]Book'!O892</f>
        <v/>
      </c>
      <c r="F892" s="2">
        <f>'[01_Entry.xlsx]Book'!N892</f>
        <v/>
      </c>
      <c r="G892" s="3">
        <f>'[01_Entry.xlsx]Book'!L892</f>
        <v/>
      </c>
      <c r="H892" s="3">
        <f>'[01_Entry.xlsx]Book'!M892</f>
        <v/>
      </c>
      <c r="I892" s="3">
        <f>'[01_Entry.xlsx]Book'!K892</f>
        <v/>
      </c>
      <c r="J892" s="3">
        <f>'[01_Entry.xlsx]Book'!P892</f>
        <v/>
      </c>
      <c r="K892" s="3">
        <f>'[01_Entry.xlsx]Book'!F892</f>
        <v/>
      </c>
      <c r="L892" s="3">
        <f>'[01_Entry.xlsx]Book'!G892</f>
        <v/>
      </c>
      <c r="M892" s="3">
        <f>'[01_Entry.xlsx]Book'!I892</f>
        <v/>
      </c>
      <c r="N892" s="2">
        <f>IF($A892="","",MID($A892,6,2))</f>
        <v>0</v>
      </c>
      <c r="O892" s="2">
        <f>IF(OR($C892="",$C892&lt;&gt;'Inv'!$D$12),"",N(O$891)+1)</f>
        <v>0</v>
      </c>
    </row>
    <row r="893" spans="1:15">
      <c r="A893" s="2">
        <f>'[01_Entry.xlsx]Book'!A893</f>
        <v/>
      </c>
      <c r="B893" s="2">
        <f>'[01_Entry.xlsx]Book'!B893</f>
        <v/>
      </c>
      <c r="C893" s="2">
        <f>'[01_Entry.xlsx]Book'!D893</f>
        <v/>
      </c>
      <c r="D893" s="2">
        <f>'[01_Entry.xlsx]Book'!E893</f>
        <v/>
      </c>
      <c r="E893" s="2">
        <f>'[01_Entry.xlsx]Book'!O893</f>
        <v/>
      </c>
      <c r="F893" s="2">
        <f>'[01_Entry.xlsx]Book'!N893</f>
        <v/>
      </c>
      <c r="G893" s="3">
        <f>'[01_Entry.xlsx]Book'!L893</f>
        <v/>
      </c>
      <c r="H893" s="3">
        <f>'[01_Entry.xlsx]Book'!M893</f>
        <v/>
      </c>
      <c r="I893" s="3">
        <f>'[01_Entry.xlsx]Book'!K893</f>
        <v/>
      </c>
      <c r="J893" s="3">
        <f>'[01_Entry.xlsx]Book'!P893</f>
        <v/>
      </c>
      <c r="K893" s="3">
        <f>'[01_Entry.xlsx]Book'!F893</f>
        <v/>
      </c>
      <c r="L893" s="3">
        <f>'[01_Entry.xlsx]Book'!G893</f>
        <v/>
      </c>
      <c r="M893" s="3">
        <f>'[01_Entry.xlsx]Book'!I893</f>
        <v/>
      </c>
      <c r="N893" s="2">
        <f>IF($A893="","",MID($A893,6,2))</f>
        <v>0</v>
      </c>
      <c r="O893" s="2">
        <f>IF(OR($C893="",$C893&lt;&gt;'Inv'!$D$12),"",N(O$892)+1)</f>
        <v>0</v>
      </c>
    </row>
    <row r="894" spans="1:15">
      <c r="A894" s="2">
        <f>'[01_Entry.xlsx]Book'!A894</f>
        <v/>
      </c>
      <c r="B894" s="2">
        <f>'[01_Entry.xlsx]Book'!B894</f>
        <v/>
      </c>
      <c r="C894" s="2">
        <f>'[01_Entry.xlsx]Book'!D894</f>
        <v/>
      </c>
      <c r="D894" s="2">
        <f>'[01_Entry.xlsx]Book'!E894</f>
        <v/>
      </c>
      <c r="E894" s="2">
        <f>'[01_Entry.xlsx]Book'!O894</f>
        <v/>
      </c>
      <c r="F894" s="2">
        <f>'[01_Entry.xlsx]Book'!N894</f>
        <v/>
      </c>
      <c r="G894" s="3">
        <f>'[01_Entry.xlsx]Book'!L894</f>
        <v/>
      </c>
      <c r="H894" s="3">
        <f>'[01_Entry.xlsx]Book'!M894</f>
        <v/>
      </c>
      <c r="I894" s="3">
        <f>'[01_Entry.xlsx]Book'!K894</f>
        <v/>
      </c>
      <c r="J894" s="3">
        <f>'[01_Entry.xlsx]Book'!P894</f>
        <v/>
      </c>
      <c r="K894" s="3">
        <f>'[01_Entry.xlsx]Book'!F894</f>
        <v/>
      </c>
      <c r="L894" s="3">
        <f>'[01_Entry.xlsx]Book'!G894</f>
        <v/>
      </c>
      <c r="M894" s="3">
        <f>'[01_Entry.xlsx]Book'!I894</f>
        <v/>
      </c>
      <c r="N894" s="2">
        <f>IF($A894="","",MID($A894,6,2))</f>
        <v>0</v>
      </c>
      <c r="O894" s="2">
        <f>IF(OR($C894="",$C894&lt;&gt;'Inv'!$D$12),"",N(O$893)+1)</f>
        <v>0</v>
      </c>
    </row>
    <row r="895" spans="1:15">
      <c r="A895" s="2">
        <f>'[01_Entry.xlsx]Book'!A895</f>
        <v/>
      </c>
      <c r="B895" s="2">
        <f>'[01_Entry.xlsx]Book'!B895</f>
        <v/>
      </c>
      <c r="C895" s="2">
        <f>'[01_Entry.xlsx]Book'!D895</f>
        <v/>
      </c>
      <c r="D895" s="2">
        <f>'[01_Entry.xlsx]Book'!E895</f>
        <v/>
      </c>
      <c r="E895" s="2">
        <f>'[01_Entry.xlsx]Book'!O895</f>
        <v/>
      </c>
      <c r="F895" s="2">
        <f>'[01_Entry.xlsx]Book'!N895</f>
        <v/>
      </c>
      <c r="G895" s="3">
        <f>'[01_Entry.xlsx]Book'!L895</f>
        <v/>
      </c>
      <c r="H895" s="3">
        <f>'[01_Entry.xlsx]Book'!M895</f>
        <v/>
      </c>
      <c r="I895" s="3">
        <f>'[01_Entry.xlsx]Book'!K895</f>
        <v/>
      </c>
      <c r="J895" s="3">
        <f>'[01_Entry.xlsx]Book'!P895</f>
        <v/>
      </c>
      <c r="K895" s="3">
        <f>'[01_Entry.xlsx]Book'!F895</f>
        <v/>
      </c>
      <c r="L895" s="3">
        <f>'[01_Entry.xlsx]Book'!G895</f>
        <v/>
      </c>
      <c r="M895" s="3">
        <f>'[01_Entry.xlsx]Book'!I895</f>
        <v/>
      </c>
      <c r="N895" s="2">
        <f>IF($A895="","",MID($A895,6,2))</f>
        <v>0</v>
      </c>
      <c r="O895" s="2">
        <f>IF(OR($C895="",$C895&lt;&gt;'Inv'!$D$12),"",N(O$894)+1)</f>
        <v>0</v>
      </c>
    </row>
    <row r="896" spans="1:15">
      <c r="A896" s="2">
        <f>'[01_Entry.xlsx]Book'!A896</f>
        <v/>
      </c>
      <c r="B896" s="2">
        <f>'[01_Entry.xlsx]Book'!B896</f>
        <v/>
      </c>
      <c r="C896" s="2">
        <f>'[01_Entry.xlsx]Book'!D896</f>
        <v/>
      </c>
      <c r="D896" s="2">
        <f>'[01_Entry.xlsx]Book'!E896</f>
        <v/>
      </c>
      <c r="E896" s="2">
        <f>'[01_Entry.xlsx]Book'!O896</f>
        <v/>
      </c>
      <c r="F896" s="2">
        <f>'[01_Entry.xlsx]Book'!N896</f>
        <v/>
      </c>
      <c r="G896" s="3">
        <f>'[01_Entry.xlsx]Book'!L896</f>
        <v/>
      </c>
      <c r="H896" s="3">
        <f>'[01_Entry.xlsx]Book'!M896</f>
        <v/>
      </c>
      <c r="I896" s="3">
        <f>'[01_Entry.xlsx]Book'!K896</f>
        <v/>
      </c>
      <c r="J896" s="3">
        <f>'[01_Entry.xlsx]Book'!P896</f>
        <v/>
      </c>
      <c r="K896" s="3">
        <f>'[01_Entry.xlsx]Book'!F896</f>
        <v/>
      </c>
      <c r="L896" s="3">
        <f>'[01_Entry.xlsx]Book'!G896</f>
        <v/>
      </c>
      <c r="M896" s="3">
        <f>'[01_Entry.xlsx]Book'!I896</f>
        <v/>
      </c>
      <c r="N896" s="2">
        <f>IF($A896="","",MID($A896,6,2))</f>
        <v>0</v>
      </c>
      <c r="O896" s="2">
        <f>IF(OR($C896="",$C896&lt;&gt;'Inv'!$D$12),"",N(O$895)+1)</f>
        <v>0</v>
      </c>
    </row>
    <row r="897" spans="1:15">
      <c r="A897" s="2">
        <f>'[01_Entry.xlsx]Book'!A897</f>
        <v/>
      </c>
      <c r="B897" s="2">
        <f>'[01_Entry.xlsx]Book'!B897</f>
        <v/>
      </c>
      <c r="C897" s="2">
        <f>'[01_Entry.xlsx]Book'!D897</f>
        <v/>
      </c>
      <c r="D897" s="2">
        <f>'[01_Entry.xlsx]Book'!E897</f>
        <v/>
      </c>
      <c r="E897" s="2">
        <f>'[01_Entry.xlsx]Book'!O897</f>
        <v/>
      </c>
      <c r="F897" s="2">
        <f>'[01_Entry.xlsx]Book'!N897</f>
        <v/>
      </c>
      <c r="G897" s="3">
        <f>'[01_Entry.xlsx]Book'!L897</f>
        <v/>
      </c>
      <c r="H897" s="3">
        <f>'[01_Entry.xlsx]Book'!M897</f>
        <v/>
      </c>
      <c r="I897" s="3">
        <f>'[01_Entry.xlsx]Book'!K897</f>
        <v/>
      </c>
      <c r="J897" s="3">
        <f>'[01_Entry.xlsx]Book'!P897</f>
        <v/>
      </c>
      <c r="K897" s="3">
        <f>'[01_Entry.xlsx]Book'!F897</f>
        <v/>
      </c>
      <c r="L897" s="3">
        <f>'[01_Entry.xlsx]Book'!G897</f>
        <v/>
      </c>
      <c r="M897" s="3">
        <f>'[01_Entry.xlsx]Book'!I897</f>
        <v/>
      </c>
      <c r="N897" s="2">
        <f>IF($A897="","",MID($A897,6,2))</f>
        <v>0</v>
      </c>
      <c r="O897" s="2">
        <f>IF(OR($C897="",$C897&lt;&gt;'Inv'!$D$12),"",N(O$896)+1)</f>
        <v>0</v>
      </c>
    </row>
    <row r="898" spans="1:15">
      <c r="A898" s="2">
        <f>'[01_Entry.xlsx]Book'!A898</f>
        <v/>
      </c>
      <c r="B898" s="2">
        <f>'[01_Entry.xlsx]Book'!B898</f>
        <v/>
      </c>
      <c r="C898" s="2">
        <f>'[01_Entry.xlsx]Book'!D898</f>
        <v/>
      </c>
      <c r="D898" s="2">
        <f>'[01_Entry.xlsx]Book'!E898</f>
        <v/>
      </c>
      <c r="E898" s="2">
        <f>'[01_Entry.xlsx]Book'!O898</f>
        <v/>
      </c>
      <c r="F898" s="2">
        <f>'[01_Entry.xlsx]Book'!N898</f>
        <v/>
      </c>
      <c r="G898" s="3">
        <f>'[01_Entry.xlsx]Book'!L898</f>
        <v/>
      </c>
      <c r="H898" s="3">
        <f>'[01_Entry.xlsx]Book'!M898</f>
        <v/>
      </c>
      <c r="I898" s="3">
        <f>'[01_Entry.xlsx]Book'!K898</f>
        <v/>
      </c>
      <c r="J898" s="3">
        <f>'[01_Entry.xlsx]Book'!P898</f>
        <v/>
      </c>
      <c r="K898" s="3">
        <f>'[01_Entry.xlsx]Book'!F898</f>
        <v/>
      </c>
      <c r="L898" s="3">
        <f>'[01_Entry.xlsx]Book'!G898</f>
        <v/>
      </c>
      <c r="M898" s="3">
        <f>'[01_Entry.xlsx]Book'!I898</f>
        <v/>
      </c>
      <c r="N898" s="2">
        <f>IF($A898="","",MID($A898,6,2))</f>
        <v>0</v>
      </c>
      <c r="O898" s="2">
        <f>IF(OR($C898="",$C898&lt;&gt;'Inv'!$D$12),"",N(O$897)+1)</f>
        <v>0</v>
      </c>
    </row>
    <row r="899" spans="1:15">
      <c r="A899" s="2">
        <f>'[01_Entry.xlsx]Book'!A899</f>
        <v/>
      </c>
      <c r="B899" s="2">
        <f>'[01_Entry.xlsx]Book'!B899</f>
        <v/>
      </c>
      <c r="C899" s="2">
        <f>'[01_Entry.xlsx]Book'!D899</f>
        <v/>
      </c>
      <c r="D899" s="2">
        <f>'[01_Entry.xlsx]Book'!E899</f>
        <v/>
      </c>
      <c r="E899" s="2">
        <f>'[01_Entry.xlsx]Book'!O899</f>
        <v/>
      </c>
      <c r="F899" s="2">
        <f>'[01_Entry.xlsx]Book'!N899</f>
        <v/>
      </c>
      <c r="G899" s="3">
        <f>'[01_Entry.xlsx]Book'!L899</f>
        <v/>
      </c>
      <c r="H899" s="3">
        <f>'[01_Entry.xlsx]Book'!M899</f>
        <v/>
      </c>
      <c r="I899" s="3">
        <f>'[01_Entry.xlsx]Book'!K899</f>
        <v/>
      </c>
      <c r="J899" s="3">
        <f>'[01_Entry.xlsx]Book'!P899</f>
        <v/>
      </c>
      <c r="K899" s="3">
        <f>'[01_Entry.xlsx]Book'!F899</f>
        <v/>
      </c>
      <c r="L899" s="3">
        <f>'[01_Entry.xlsx]Book'!G899</f>
        <v/>
      </c>
      <c r="M899" s="3">
        <f>'[01_Entry.xlsx]Book'!I899</f>
        <v/>
      </c>
      <c r="N899" s="2">
        <f>IF($A899="","",MID($A899,6,2))</f>
        <v>0</v>
      </c>
      <c r="O899" s="2">
        <f>IF(OR($C899="",$C899&lt;&gt;'Inv'!$D$12),"",N(O$898)+1)</f>
        <v>0</v>
      </c>
    </row>
    <row r="900" spans="1:15">
      <c r="A900" s="2">
        <f>'[01_Entry.xlsx]Book'!A900</f>
        <v/>
      </c>
      <c r="B900" s="2">
        <f>'[01_Entry.xlsx]Book'!B900</f>
        <v/>
      </c>
      <c r="C900" s="2">
        <f>'[01_Entry.xlsx]Book'!D900</f>
        <v/>
      </c>
      <c r="D900" s="2">
        <f>'[01_Entry.xlsx]Book'!E900</f>
        <v/>
      </c>
      <c r="E900" s="2">
        <f>'[01_Entry.xlsx]Book'!O900</f>
        <v/>
      </c>
      <c r="F900" s="2">
        <f>'[01_Entry.xlsx]Book'!N900</f>
        <v/>
      </c>
      <c r="G900" s="3">
        <f>'[01_Entry.xlsx]Book'!L900</f>
        <v/>
      </c>
      <c r="H900" s="3">
        <f>'[01_Entry.xlsx]Book'!M900</f>
        <v/>
      </c>
      <c r="I900" s="3">
        <f>'[01_Entry.xlsx]Book'!K900</f>
        <v/>
      </c>
      <c r="J900" s="3">
        <f>'[01_Entry.xlsx]Book'!P900</f>
        <v/>
      </c>
      <c r="K900" s="3">
        <f>'[01_Entry.xlsx]Book'!F900</f>
        <v/>
      </c>
      <c r="L900" s="3">
        <f>'[01_Entry.xlsx]Book'!G900</f>
        <v/>
      </c>
      <c r="M900" s="3">
        <f>'[01_Entry.xlsx]Book'!I900</f>
        <v/>
      </c>
      <c r="N900" s="2">
        <f>IF($A900="","",MID($A900,6,2))</f>
        <v>0</v>
      </c>
      <c r="O900" s="2">
        <f>IF(OR($C900="",$C900&lt;&gt;'Inv'!$D$12),"",N(O$899)+1)</f>
        <v>0</v>
      </c>
    </row>
    <row r="901" spans="1:15">
      <c r="A901" s="2">
        <f>'[01_Entry.xlsx]Book'!A901</f>
        <v/>
      </c>
      <c r="B901" s="2">
        <f>'[01_Entry.xlsx]Book'!B901</f>
        <v/>
      </c>
      <c r="C901" s="2">
        <f>'[01_Entry.xlsx]Book'!D901</f>
        <v/>
      </c>
      <c r="D901" s="2">
        <f>'[01_Entry.xlsx]Book'!E901</f>
        <v/>
      </c>
      <c r="E901" s="2">
        <f>'[01_Entry.xlsx]Book'!O901</f>
        <v/>
      </c>
      <c r="F901" s="2">
        <f>'[01_Entry.xlsx]Book'!N901</f>
        <v/>
      </c>
      <c r="G901" s="3">
        <f>'[01_Entry.xlsx]Book'!L901</f>
        <v/>
      </c>
      <c r="H901" s="3">
        <f>'[01_Entry.xlsx]Book'!M901</f>
        <v/>
      </c>
      <c r="I901" s="3">
        <f>'[01_Entry.xlsx]Book'!K901</f>
        <v/>
      </c>
      <c r="J901" s="3">
        <f>'[01_Entry.xlsx]Book'!P901</f>
        <v/>
      </c>
      <c r="K901" s="3">
        <f>'[01_Entry.xlsx]Book'!F901</f>
        <v/>
      </c>
      <c r="L901" s="3">
        <f>'[01_Entry.xlsx]Book'!G901</f>
        <v/>
      </c>
      <c r="M901" s="3">
        <f>'[01_Entry.xlsx]Book'!I901</f>
        <v/>
      </c>
      <c r="N901" s="2">
        <f>IF($A901="","",MID($A901,6,2))</f>
        <v>0</v>
      </c>
      <c r="O901" s="2">
        <f>IF(OR($C901="",$C901&lt;&gt;'Inv'!$D$12),"",N(O$900)+1)</f>
        <v>0</v>
      </c>
    </row>
    <row r="902" spans="1:15">
      <c r="A902" s="2">
        <f>'[01_Entry.xlsx]Book'!A902</f>
        <v/>
      </c>
      <c r="B902" s="2">
        <f>'[01_Entry.xlsx]Book'!B902</f>
        <v/>
      </c>
      <c r="C902" s="2">
        <f>'[01_Entry.xlsx]Book'!D902</f>
        <v/>
      </c>
      <c r="D902" s="2">
        <f>'[01_Entry.xlsx]Book'!E902</f>
        <v/>
      </c>
      <c r="E902" s="2">
        <f>'[01_Entry.xlsx]Book'!O902</f>
        <v/>
      </c>
      <c r="F902" s="2">
        <f>'[01_Entry.xlsx]Book'!N902</f>
        <v/>
      </c>
      <c r="G902" s="3">
        <f>'[01_Entry.xlsx]Book'!L902</f>
        <v/>
      </c>
      <c r="H902" s="3">
        <f>'[01_Entry.xlsx]Book'!M902</f>
        <v/>
      </c>
      <c r="I902" s="3">
        <f>'[01_Entry.xlsx]Book'!K902</f>
        <v/>
      </c>
      <c r="J902" s="3">
        <f>'[01_Entry.xlsx]Book'!P902</f>
        <v/>
      </c>
      <c r="K902" s="3">
        <f>'[01_Entry.xlsx]Book'!F902</f>
        <v/>
      </c>
      <c r="L902" s="3">
        <f>'[01_Entry.xlsx]Book'!G902</f>
        <v/>
      </c>
      <c r="M902" s="3">
        <f>'[01_Entry.xlsx]Book'!I902</f>
        <v/>
      </c>
      <c r="N902" s="2">
        <f>IF($A902="","",MID($A902,6,2))</f>
        <v>0</v>
      </c>
      <c r="O902" s="2">
        <f>IF(OR($C902="",$C902&lt;&gt;'Inv'!$D$12),"",N(O$901)+1)</f>
        <v>0</v>
      </c>
    </row>
    <row r="903" spans="1:15">
      <c r="A903" s="2">
        <f>'[01_Entry.xlsx]Book'!A903</f>
        <v/>
      </c>
      <c r="B903" s="2">
        <f>'[01_Entry.xlsx]Book'!B903</f>
        <v/>
      </c>
      <c r="C903" s="2">
        <f>'[01_Entry.xlsx]Book'!D903</f>
        <v/>
      </c>
      <c r="D903" s="2">
        <f>'[01_Entry.xlsx]Book'!E903</f>
        <v/>
      </c>
      <c r="E903" s="2">
        <f>'[01_Entry.xlsx]Book'!O903</f>
        <v/>
      </c>
      <c r="F903" s="2">
        <f>'[01_Entry.xlsx]Book'!N903</f>
        <v/>
      </c>
      <c r="G903" s="3">
        <f>'[01_Entry.xlsx]Book'!L903</f>
        <v/>
      </c>
      <c r="H903" s="3">
        <f>'[01_Entry.xlsx]Book'!M903</f>
        <v/>
      </c>
      <c r="I903" s="3">
        <f>'[01_Entry.xlsx]Book'!K903</f>
        <v/>
      </c>
      <c r="J903" s="3">
        <f>'[01_Entry.xlsx]Book'!P903</f>
        <v/>
      </c>
      <c r="K903" s="3">
        <f>'[01_Entry.xlsx]Book'!F903</f>
        <v/>
      </c>
      <c r="L903" s="3">
        <f>'[01_Entry.xlsx]Book'!G903</f>
        <v/>
      </c>
      <c r="M903" s="3">
        <f>'[01_Entry.xlsx]Book'!I903</f>
        <v/>
      </c>
      <c r="N903" s="2">
        <f>IF($A903="","",MID($A903,6,2))</f>
        <v>0</v>
      </c>
      <c r="O903" s="2">
        <f>IF(OR($C903="",$C903&lt;&gt;'Inv'!$D$12),"",N(O$902)+1)</f>
        <v>0</v>
      </c>
    </row>
    <row r="904" spans="1:15">
      <c r="A904" s="2">
        <f>'[01_Entry.xlsx]Book'!A904</f>
        <v/>
      </c>
      <c r="B904" s="2">
        <f>'[01_Entry.xlsx]Book'!B904</f>
        <v/>
      </c>
      <c r="C904" s="2">
        <f>'[01_Entry.xlsx]Book'!D904</f>
        <v/>
      </c>
      <c r="D904" s="2">
        <f>'[01_Entry.xlsx]Book'!E904</f>
        <v/>
      </c>
      <c r="E904" s="2">
        <f>'[01_Entry.xlsx]Book'!O904</f>
        <v/>
      </c>
      <c r="F904" s="2">
        <f>'[01_Entry.xlsx]Book'!N904</f>
        <v/>
      </c>
      <c r="G904" s="3">
        <f>'[01_Entry.xlsx]Book'!L904</f>
        <v/>
      </c>
      <c r="H904" s="3">
        <f>'[01_Entry.xlsx]Book'!M904</f>
        <v/>
      </c>
      <c r="I904" s="3">
        <f>'[01_Entry.xlsx]Book'!K904</f>
        <v/>
      </c>
      <c r="J904" s="3">
        <f>'[01_Entry.xlsx]Book'!P904</f>
        <v/>
      </c>
      <c r="K904" s="3">
        <f>'[01_Entry.xlsx]Book'!F904</f>
        <v/>
      </c>
      <c r="L904" s="3">
        <f>'[01_Entry.xlsx]Book'!G904</f>
        <v/>
      </c>
      <c r="M904" s="3">
        <f>'[01_Entry.xlsx]Book'!I904</f>
        <v/>
      </c>
      <c r="N904" s="2">
        <f>IF($A904="","",MID($A904,6,2))</f>
        <v>0</v>
      </c>
      <c r="O904" s="2">
        <f>IF(OR($C904="",$C904&lt;&gt;'Inv'!$D$12),"",N(O$903)+1)</f>
        <v>0</v>
      </c>
    </row>
    <row r="905" spans="1:15">
      <c r="A905" s="2">
        <f>'[01_Entry.xlsx]Book'!A905</f>
        <v/>
      </c>
      <c r="B905" s="2">
        <f>'[01_Entry.xlsx]Book'!B905</f>
        <v/>
      </c>
      <c r="C905" s="2">
        <f>'[01_Entry.xlsx]Book'!D905</f>
        <v/>
      </c>
      <c r="D905" s="2">
        <f>'[01_Entry.xlsx]Book'!E905</f>
        <v/>
      </c>
      <c r="E905" s="2">
        <f>'[01_Entry.xlsx]Book'!O905</f>
        <v/>
      </c>
      <c r="F905" s="2">
        <f>'[01_Entry.xlsx]Book'!N905</f>
        <v/>
      </c>
      <c r="G905" s="3">
        <f>'[01_Entry.xlsx]Book'!L905</f>
        <v/>
      </c>
      <c r="H905" s="3">
        <f>'[01_Entry.xlsx]Book'!M905</f>
        <v/>
      </c>
      <c r="I905" s="3">
        <f>'[01_Entry.xlsx]Book'!K905</f>
        <v/>
      </c>
      <c r="J905" s="3">
        <f>'[01_Entry.xlsx]Book'!P905</f>
        <v/>
      </c>
      <c r="K905" s="3">
        <f>'[01_Entry.xlsx]Book'!F905</f>
        <v/>
      </c>
      <c r="L905" s="3">
        <f>'[01_Entry.xlsx]Book'!G905</f>
        <v/>
      </c>
      <c r="M905" s="3">
        <f>'[01_Entry.xlsx]Book'!I905</f>
        <v/>
      </c>
      <c r="N905" s="2">
        <f>IF($A905="","",MID($A905,6,2))</f>
        <v>0</v>
      </c>
      <c r="O905" s="2">
        <f>IF(OR($C905="",$C905&lt;&gt;'Inv'!$D$12),"",N(O$904)+1)</f>
        <v>0</v>
      </c>
    </row>
    <row r="906" spans="1:15">
      <c r="A906" s="2">
        <f>'[01_Entry.xlsx]Book'!A906</f>
        <v/>
      </c>
      <c r="B906" s="2">
        <f>'[01_Entry.xlsx]Book'!B906</f>
        <v/>
      </c>
      <c r="C906" s="2">
        <f>'[01_Entry.xlsx]Book'!D906</f>
        <v/>
      </c>
      <c r="D906" s="2">
        <f>'[01_Entry.xlsx]Book'!E906</f>
        <v/>
      </c>
      <c r="E906" s="2">
        <f>'[01_Entry.xlsx]Book'!O906</f>
        <v/>
      </c>
      <c r="F906" s="2">
        <f>'[01_Entry.xlsx]Book'!N906</f>
        <v/>
      </c>
      <c r="G906" s="3">
        <f>'[01_Entry.xlsx]Book'!L906</f>
        <v/>
      </c>
      <c r="H906" s="3">
        <f>'[01_Entry.xlsx]Book'!M906</f>
        <v/>
      </c>
      <c r="I906" s="3">
        <f>'[01_Entry.xlsx]Book'!K906</f>
        <v/>
      </c>
      <c r="J906" s="3">
        <f>'[01_Entry.xlsx]Book'!P906</f>
        <v/>
      </c>
      <c r="K906" s="3">
        <f>'[01_Entry.xlsx]Book'!F906</f>
        <v/>
      </c>
      <c r="L906" s="3">
        <f>'[01_Entry.xlsx]Book'!G906</f>
        <v/>
      </c>
      <c r="M906" s="3">
        <f>'[01_Entry.xlsx]Book'!I906</f>
        <v/>
      </c>
      <c r="N906" s="2">
        <f>IF($A906="","",MID($A906,6,2))</f>
        <v>0</v>
      </c>
      <c r="O906" s="2">
        <f>IF(OR($C906="",$C906&lt;&gt;'Inv'!$D$12),"",N(O$905)+1)</f>
        <v>0</v>
      </c>
    </row>
    <row r="907" spans="1:15">
      <c r="A907" s="2">
        <f>'[01_Entry.xlsx]Book'!A907</f>
        <v/>
      </c>
      <c r="B907" s="2">
        <f>'[01_Entry.xlsx]Book'!B907</f>
        <v/>
      </c>
      <c r="C907" s="2">
        <f>'[01_Entry.xlsx]Book'!D907</f>
        <v/>
      </c>
      <c r="D907" s="2">
        <f>'[01_Entry.xlsx]Book'!E907</f>
        <v/>
      </c>
      <c r="E907" s="2">
        <f>'[01_Entry.xlsx]Book'!O907</f>
        <v/>
      </c>
      <c r="F907" s="2">
        <f>'[01_Entry.xlsx]Book'!N907</f>
        <v/>
      </c>
      <c r="G907" s="3">
        <f>'[01_Entry.xlsx]Book'!L907</f>
        <v/>
      </c>
      <c r="H907" s="3">
        <f>'[01_Entry.xlsx]Book'!M907</f>
        <v/>
      </c>
      <c r="I907" s="3">
        <f>'[01_Entry.xlsx]Book'!K907</f>
        <v/>
      </c>
      <c r="J907" s="3">
        <f>'[01_Entry.xlsx]Book'!P907</f>
        <v/>
      </c>
      <c r="K907" s="3">
        <f>'[01_Entry.xlsx]Book'!F907</f>
        <v/>
      </c>
      <c r="L907" s="3">
        <f>'[01_Entry.xlsx]Book'!G907</f>
        <v/>
      </c>
      <c r="M907" s="3">
        <f>'[01_Entry.xlsx]Book'!I907</f>
        <v/>
      </c>
      <c r="N907" s="2">
        <f>IF($A907="","",MID($A907,6,2))</f>
        <v>0</v>
      </c>
      <c r="O907" s="2">
        <f>IF(OR($C907="",$C907&lt;&gt;'Inv'!$D$12),"",N(O$906)+1)</f>
        <v>0</v>
      </c>
    </row>
    <row r="908" spans="1:15">
      <c r="A908" s="2">
        <f>'[01_Entry.xlsx]Book'!A908</f>
        <v/>
      </c>
      <c r="B908" s="2">
        <f>'[01_Entry.xlsx]Book'!B908</f>
        <v/>
      </c>
      <c r="C908" s="2">
        <f>'[01_Entry.xlsx]Book'!D908</f>
        <v/>
      </c>
      <c r="D908" s="2">
        <f>'[01_Entry.xlsx]Book'!E908</f>
        <v/>
      </c>
      <c r="E908" s="2">
        <f>'[01_Entry.xlsx]Book'!O908</f>
        <v/>
      </c>
      <c r="F908" s="2">
        <f>'[01_Entry.xlsx]Book'!N908</f>
        <v/>
      </c>
      <c r="G908" s="3">
        <f>'[01_Entry.xlsx]Book'!L908</f>
        <v/>
      </c>
      <c r="H908" s="3">
        <f>'[01_Entry.xlsx]Book'!M908</f>
        <v/>
      </c>
      <c r="I908" s="3">
        <f>'[01_Entry.xlsx]Book'!K908</f>
        <v/>
      </c>
      <c r="J908" s="3">
        <f>'[01_Entry.xlsx]Book'!P908</f>
        <v/>
      </c>
      <c r="K908" s="3">
        <f>'[01_Entry.xlsx]Book'!F908</f>
        <v/>
      </c>
      <c r="L908" s="3">
        <f>'[01_Entry.xlsx]Book'!G908</f>
        <v/>
      </c>
      <c r="M908" s="3">
        <f>'[01_Entry.xlsx]Book'!I908</f>
        <v/>
      </c>
      <c r="N908" s="2">
        <f>IF($A908="","",MID($A908,6,2))</f>
        <v>0</v>
      </c>
      <c r="O908" s="2">
        <f>IF(OR($C908="",$C908&lt;&gt;'Inv'!$D$12),"",N(O$907)+1)</f>
        <v>0</v>
      </c>
    </row>
    <row r="909" spans="1:15">
      <c r="A909" s="2">
        <f>'[01_Entry.xlsx]Book'!A909</f>
        <v/>
      </c>
      <c r="B909" s="2">
        <f>'[01_Entry.xlsx]Book'!B909</f>
        <v/>
      </c>
      <c r="C909" s="2">
        <f>'[01_Entry.xlsx]Book'!D909</f>
        <v/>
      </c>
      <c r="D909" s="2">
        <f>'[01_Entry.xlsx]Book'!E909</f>
        <v/>
      </c>
      <c r="E909" s="2">
        <f>'[01_Entry.xlsx]Book'!O909</f>
        <v/>
      </c>
      <c r="F909" s="2">
        <f>'[01_Entry.xlsx]Book'!N909</f>
        <v/>
      </c>
      <c r="G909" s="3">
        <f>'[01_Entry.xlsx]Book'!L909</f>
        <v/>
      </c>
      <c r="H909" s="3">
        <f>'[01_Entry.xlsx]Book'!M909</f>
        <v/>
      </c>
      <c r="I909" s="3">
        <f>'[01_Entry.xlsx]Book'!K909</f>
        <v/>
      </c>
      <c r="J909" s="3">
        <f>'[01_Entry.xlsx]Book'!P909</f>
        <v/>
      </c>
      <c r="K909" s="3">
        <f>'[01_Entry.xlsx]Book'!F909</f>
        <v/>
      </c>
      <c r="L909" s="3">
        <f>'[01_Entry.xlsx]Book'!G909</f>
        <v/>
      </c>
      <c r="M909" s="3">
        <f>'[01_Entry.xlsx]Book'!I909</f>
        <v/>
      </c>
      <c r="N909" s="2">
        <f>IF($A909="","",MID($A909,6,2))</f>
        <v>0</v>
      </c>
      <c r="O909" s="2">
        <f>IF(OR($C909="",$C909&lt;&gt;'Inv'!$D$12),"",N(O$908)+1)</f>
        <v>0</v>
      </c>
    </row>
    <row r="910" spans="1:15">
      <c r="A910" s="2">
        <f>'[01_Entry.xlsx]Book'!A910</f>
        <v/>
      </c>
      <c r="B910" s="2">
        <f>'[01_Entry.xlsx]Book'!B910</f>
        <v/>
      </c>
      <c r="C910" s="2">
        <f>'[01_Entry.xlsx]Book'!D910</f>
        <v/>
      </c>
      <c r="D910" s="2">
        <f>'[01_Entry.xlsx]Book'!E910</f>
        <v/>
      </c>
      <c r="E910" s="2">
        <f>'[01_Entry.xlsx]Book'!O910</f>
        <v/>
      </c>
      <c r="F910" s="2">
        <f>'[01_Entry.xlsx]Book'!N910</f>
        <v/>
      </c>
      <c r="G910" s="3">
        <f>'[01_Entry.xlsx]Book'!L910</f>
        <v/>
      </c>
      <c r="H910" s="3">
        <f>'[01_Entry.xlsx]Book'!M910</f>
        <v/>
      </c>
      <c r="I910" s="3">
        <f>'[01_Entry.xlsx]Book'!K910</f>
        <v/>
      </c>
      <c r="J910" s="3">
        <f>'[01_Entry.xlsx]Book'!P910</f>
        <v/>
      </c>
      <c r="K910" s="3">
        <f>'[01_Entry.xlsx]Book'!F910</f>
        <v/>
      </c>
      <c r="L910" s="3">
        <f>'[01_Entry.xlsx]Book'!G910</f>
        <v/>
      </c>
      <c r="M910" s="3">
        <f>'[01_Entry.xlsx]Book'!I910</f>
        <v/>
      </c>
      <c r="N910" s="2">
        <f>IF($A910="","",MID($A910,6,2))</f>
        <v>0</v>
      </c>
      <c r="O910" s="2">
        <f>IF(OR($C910="",$C910&lt;&gt;'Inv'!$D$12),"",N(O$909)+1)</f>
        <v>0</v>
      </c>
    </row>
    <row r="911" spans="1:15">
      <c r="A911" s="2">
        <f>'[01_Entry.xlsx]Book'!A911</f>
        <v/>
      </c>
      <c r="B911" s="2">
        <f>'[01_Entry.xlsx]Book'!B911</f>
        <v/>
      </c>
      <c r="C911" s="2">
        <f>'[01_Entry.xlsx]Book'!D911</f>
        <v/>
      </c>
      <c r="D911" s="2">
        <f>'[01_Entry.xlsx]Book'!E911</f>
        <v/>
      </c>
      <c r="E911" s="2">
        <f>'[01_Entry.xlsx]Book'!O911</f>
        <v/>
      </c>
      <c r="F911" s="2">
        <f>'[01_Entry.xlsx]Book'!N911</f>
        <v/>
      </c>
      <c r="G911" s="3">
        <f>'[01_Entry.xlsx]Book'!L911</f>
        <v/>
      </c>
      <c r="H911" s="3">
        <f>'[01_Entry.xlsx]Book'!M911</f>
        <v/>
      </c>
      <c r="I911" s="3">
        <f>'[01_Entry.xlsx]Book'!K911</f>
        <v/>
      </c>
      <c r="J911" s="3">
        <f>'[01_Entry.xlsx]Book'!P911</f>
        <v/>
      </c>
      <c r="K911" s="3">
        <f>'[01_Entry.xlsx]Book'!F911</f>
        <v/>
      </c>
      <c r="L911" s="3">
        <f>'[01_Entry.xlsx]Book'!G911</f>
        <v/>
      </c>
      <c r="M911" s="3">
        <f>'[01_Entry.xlsx]Book'!I911</f>
        <v/>
      </c>
      <c r="N911" s="2">
        <f>IF($A911="","",MID($A911,6,2))</f>
        <v>0</v>
      </c>
      <c r="O911" s="2">
        <f>IF(OR($C911="",$C911&lt;&gt;'Inv'!$D$12),"",N(O$910)+1)</f>
        <v>0</v>
      </c>
    </row>
    <row r="912" spans="1:15">
      <c r="A912" s="2">
        <f>'[01_Entry.xlsx]Book'!A912</f>
        <v/>
      </c>
      <c r="B912" s="2">
        <f>'[01_Entry.xlsx]Book'!B912</f>
        <v/>
      </c>
      <c r="C912" s="2">
        <f>'[01_Entry.xlsx]Book'!D912</f>
        <v/>
      </c>
      <c r="D912" s="2">
        <f>'[01_Entry.xlsx]Book'!E912</f>
        <v/>
      </c>
      <c r="E912" s="2">
        <f>'[01_Entry.xlsx]Book'!O912</f>
        <v/>
      </c>
      <c r="F912" s="2">
        <f>'[01_Entry.xlsx]Book'!N912</f>
        <v/>
      </c>
      <c r="G912" s="3">
        <f>'[01_Entry.xlsx]Book'!L912</f>
        <v/>
      </c>
      <c r="H912" s="3">
        <f>'[01_Entry.xlsx]Book'!M912</f>
        <v/>
      </c>
      <c r="I912" s="3">
        <f>'[01_Entry.xlsx]Book'!K912</f>
        <v/>
      </c>
      <c r="J912" s="3">
        <f>'[01_Entry.xlsx]Book'!P912</f>
        <v/>
      </c>
      <c r="K912" s="3">
        <f>'[01_Entry.xlsx]Book'!F912</f>
        <v/>
      </c>
      <c r="L912" s="3">
        <f>'[01_Entry.xlsx]Book'!G912</f>
        <v/>
      </c>
      <c r="M912" s="3">
        <f>'[01_Entry.xlsx]Book'!I912</f>
        <v/>
      </c>
      <c r="N912" s="2">
        <f>IF($A912="","",MID($A912,6,2))</f>
        <v>0</v>
      </c>
      <c r="O912" s="2">
        <f>IF(OR($C912="",$C912&lt;&gt;'Inv'!$D$12),"",N(O$911)+1)</f>
        <v>0</v>
      </c>
    </row>
    <row r="913" spans="1:15">
      <c r="A913" s="2">
        <f>'[01_Entry.xlsx]Book'!A913</f>
        <v/>
      </c>
      <c r="B913" s="2">
        <f>'[01_Entry.xlsx]Book'!B913</f>
        <v/>
      </c>
      <c r="C913" s="2">
        <f>'[01_Entry.xlsx]Book'!D913</f>
        <v/>
      </c>
      <c r="D913" s="2">
        <f>'[01_Entry.xlsx]Book'!E913</f>
        <v/>
      </c>
      <c r="E913" s="2">
        <f>'[01_Entry.xlsx]Book'!O913</f>
        <v/>
      </c>
      <c r="F913" s="2">
        <f>'[01_Entry.xlsx]Book'!N913</f>
        <v/>
      </c>
      <c r="G913" s="3">
        <f>'[01_Entry.xlsx]Book'!L913</f>
        <v/>
      </c>
      <c r="H913" s="3">
        <f>'[01_Entry.xlsx]Book'!M913</f>
        <v/>
      </c>
      <c r="I913" s="3">
        <f>'[01_Entry.xlsx]Book'!K913</f>
        <v/>
      </c>
      <c r="J913" s="3">
        <f>'[01_Entry.xlsx]Book'!P913</f>
        <v/>
      </c>
      <c r="K913" s="3">
        <f>'[01_Entry.xlsx]Book'!F913</f>
        <v/>
      </c>
      <c r="L913" s="3">
        <f>'[01_Entry.xlsx]Book'!G913</f>
        <v/>
      </c>
      <c r="M913" s="3">
        <f>'[01_Entry.xlsx]Book'!I913</f>
        <v/>
      </c>
      <c r="N913" s="2">
        <f>IF($A913="","",MID($A913,6,2))</f>
        <v>0</v>
      </c>
      <c r="O913" s="2">
        <f>IF(OR($C913="",$C913&lt;&gt;'Inv'!$D$12),"",N(O$912)+1)</f>
        <v>0</v>
      </c>
    </row>
    <row r="914" spans="1:15">
      <c r="A914" s="2">
        <f>'[01_Entry.xlsx]Book'!A914</f>
        <v/>
      </c>
      <c r="B914" s="2">
        <f>'[01_Entry.xlsx]Book'!B914</f>
        <v/>
      </c>
      <c r="C914" s="2">
        <f>'[01_Entry.xlsx]Book'!D914</f>
        <v/>
      </c>
      <c r="D914" s="2">
        <f>'[01_Entry.xlsx]Book'!E914</f>
        <v/>
      </c>
      <c r="E914" s="2">
        <f>'[01_Entry.xlsx]Book'!O914</f>
        <v/>
      </c>
      <c r="F914" s="2">
        <f>'[01_Entry.xlsx]Book'!N914</f>
        <v/>
      </c>
      <c r="G914" s="3">
        <f>'[01_Entry.xlsx]Book'!L914</f>
        <v/>
      </c>
      <c r="H914" s="3">
        <f>'[01_Entry.xlsx]Book'!M914</f>
        <v/>
      </c>
      <c r="I914" s="3">
        <f>'[01_Entry.xlsx]Book'!K914</f>
        <v/>
      </c>
      <c r="J914" s="3">
        <f>'[01_Entry.xlsx]Book'!P914</f>
        <v/>
      </c>
      <c r="K914" s="3">
        <f>'[01_Entry.xlsx]Book'!F914</f>
        <v/>
      </c>
      <c r="L914" s="3">
        <f>'[01_Entry.xlsx]Book'!G914</f>
        <v/>
      </c>
      <c r="M914" s="3">
        <f>'[01_Entry.xlsx]Book'!I914</f>
        <v/>
      </c>
      <c r="N914" s="2">
        <f>IF($A914="","",MID($A914,6,2))</f>
        <v>0</v>
      </c>
      <c r="O914" s="2">
        <f>IF(OR($C914="",$C914&lt;&gt;'Inv'!$D$12),"",N(O$913)+1)</f>
        <v>0</v>
      </c>
    </row>
    <row r="915" spans="1:15">
      <c r="A915" s="2">
        <f>'[01_Entry.xlsx]Book'!A915</f>
        <v/>
      </c>
      <c r="B915" s="2">
        <f>'[01_Entry.xlsx]Book'!B915</f>
        <v/>
      </c>
      <c r="C915" s="2">
        <f>'[01_Entry.xlsx]Book'!D915</f>
        <v/>
      </c>
      <c r="D915" s="2">
        <f>'[01_Entry.xlsx]Book'!E915</f>
        <v/>
      </c>
      <c r="E915" s="2">
        <f>'[01_Entry.xlsx]Book'!O915</f>
        <v/>
      </c>
      <c r="F915" s="2">
        <f>'[01_Entry.xlsx]Book'!N915</f>
        <v/>
      </c>
      <c r="G915" s="3">
        <f>'[01_Entry.xlsx]Book'!L915</f>
        <v/>
      </c>
      <c r="H915" s="3">
        <f>'[01_Entry.xlsx]Book'!M915</f>
        <v/>
      </c>
      <c r="I915" s="3">
        <f>'[01_Entry.xlsx]Book'!K915</f>
        <v/>
      </c>
      <c r="J915" s="3">
        <f>'[01_Entry.xlsx]Book'!P915</f>
        <v/>
      </c>
      <c r="K915" s="3">
        <f>'[01_Entry.xlsx]Book'!F915</f>
        <v/>
      </c>
      <c r="L915" s="3">
        <f>'[01_Entry.xlsx]Book'!G915</f>
        <v/>
      </c>
      <c r="M915" s="3">
        <f>'[01_Entry.xlsx]Book'!I915</f>
        <v/>
      </c>
      <c r="N915" s="2">
        <f>IF($A915="","",MID($A915,6,2))</f>
        <v>0</v>
      </c>
      <c r="O915" s="2">
        <f>IF(OR($C915="",$C915&lt;&gt;'Inv'!$D$12),"",N(O$914)+1)</f>
        <v>0</v>
      </c>
    </row>
    <row r="916" spans="1:15">
      <c r="A916" s="2">
        <f>'[01_Entry.xlsx]Book'!A916</f>
        <v/>
      </c>
      <c r="B916" s="2">
        <f>'[01_Entry.xlsx]Book'!B916</f>
        <v/>
      </c>
      <c r="C916" s="2">
        <f>'[01_Entry.xlsx]Book'!D916</f>
        <v/>
      </c>
      <c r="D916" s="2">
        <f>'[01_Entry.xlsx]Book'!E916</f>
        <v/>
      </c>
      <c r="E916" s="2">
        <f>'[01_Entry.xlsx]Book'!O916</f>
        <v/>
      </c>
      <c r="F916" s="2">
        <f>'[01_Entry.xlsx]Book'!N916</f>
        <v/>
      </c>
      <c r="G916" s="3">
        <f>'[01_Entry.xlsx]Book'!L916</f>
        <v/>
      </c>
      <c r="H916" s="3">
        <f>'[01_Entry.xlsx]Book'!M916</f>
        <v/>
      </c>
      <c r="I916" s="3">
        <f>'[01_Entry.xlsx]Book'!K916</f>
        <v/>
      </c>
      <c r="J916" s="3">
        <f>'[01_Entry.xlsx]Book'!P916</f>
        <v/>
      </c>
      <c r="K916" s="3">
        <f>'[01_Entry.xlsx]Book'!F916</f>
        <v/>
      </c>
      <c r="L916" s="3">
        <f>'[01_Entry.xlsx]Book'!G916</f>
        <v/>
      </c>
      <c r="M916" s="3">
        <f>'[01_Entry.xlsx]Book'!I916</f>
        <v/>
      </c>
      <c r="N916" s="2">
        <f>IF($A916="","",MID($A916,6,2))</f>
        <v>0</v>
      </c>
      <c r="O916" s="2">
        <f>IF(OR($C916="",$C916&lt;&gt;'Inv'!$D$12),"",N(O$915)+1)</f>
        <v>0</v>
      </c>
    </row>
    <row r="917" spans="1:15">
      <c r="A917" s="2">
        <f>'[01_Entry.xlsx]Book'!A917</f>
        <v/>
      </c>
      <c r="B917" s="2">
        <f>'[01_Entry.xlsx]Book'!B917</f>
        <v/>
      </c>
      <c r="C917" s="2">
        <f>'[01_Entry.xlsx]Book'!D917</f>
        <v/>
      </c>
      <c r="D917" s="2">
        <f>'[01_Entry.xlsx]Book'!E917</f>
        <v/>
      </c>
      <c r="E917" s="2">
        <f>'[01_Entry.xlsx]Book'!O917</f>
        <v/>
      </c>
      <c r="F917" s="2">
        <f>'[01_Entry.xlsx]Book'!N917</f>
        <v/>
      </c>
      <c r="G917" s="3">
        <f>'[01_Entry.xlsx]Book'!L917</f>
        <v/>
      </c>
      <c r="H917" s="3">
        <f>'[01_Entry.xlsx]Book'!M917</f>
        <v/>
      </c>
      <c r="I917" s="3">
        <f>'[01_Entry.xlsx]Book'!K917</f>
        <v/>
      </c>
      <c r="J917" s="3">
        <f>'[01_Entry.xlsx]Book'!P917</f>
        <v/>
      </c>
      <c r="K917" s="3">
        <f>'[01_Entry.xlsx]Book'!F917</f>
        <v/>
      </c>
      <c r="L917" s="3">
        <f>'[01_Entry.xlsx]Book'!G917</f>
        <v/>
      </c>
      <c r="M917" s="3">
        <f>'[01_Entry.xlsx]Book'!I917</f>
        <v/>
      </c>
      <c r="N917" s="2">
        <f>IF($A917="","",MID($A917,6,2))</f>
        <v>0</v>
      </c>
      <c r="O917" s="2">
        <f>IF(OR($C917="",$C917&lt;&gt;'Inv'!$D$12),"",N(O$916)+1)</f>
        <v>0</v>
      </c>
    </row>
    <row r="918" spans="1:15">
      <c r="A918" s="2">
        <f>'[01_Entry.xlsx]Book'!A918</f>
        <v/>
      </c>
      <c r="B918" s="2">
        <f>'[01_Entry.xlsx]Book'!B918</f>
        <v/>
      </c>
      <c r="C918" s="2">
        <f>'[01_Entry.xlsx]Book'!D918</f>
        <v/>
      </c>
      <c r="D918" s="2">
        <f>'[01_Entry.xlsx]Book'!E918</f>
        <v/>
      </c>
      <c r="E918" s="2">
        <f>'[01_Entry.xlsx]Book'!O918</f>
        <v/>
      </c>
      <c r="F918" s="2">
        <f>'[01_Entry.xlsx]Book'!N918</f>
        <v/>
      </c>
      <c r="G918" s="3">
        <f>'[01_Entry.xlsx]Book'!L918</f>
        <v/>
      </c>
      <c r="H918" s="3">
        <f>'[01_Entry.xlsx]Book'!M918</f>
        <v/>
      </c>
      <c r="I918" s="3">
        <f>'[01_Entry.xlsx]Book'!K918</f>
        <v/>
      </c>
      <c r="J918" s="3">
        <f>'[01_Entry.xlsx]Book'!P918</f>
        <v/>
      </c>
      <c r="K918" s="3">
        <f>'[01_Entry.xlsx]Book'!F918</f>
        <v/>
      </c>
      <c r="L918" s="3">
        <f>'[01_Entry.xlsx]Book'!G918</f>
        <v/>
      </c>
      <c r="M918" s="3">
        <f>'[01_Entry.xlsx]Book'!I918</f>
        <v/>
      </c>
      <c r="N918" s="2">
        <f>IF($A918="","",MID($A918,6,2))</f>
        <v>0</v>
      </c>
      <c r="O918" s="2">
        <f>IF(OR($C918="",$C918&lt;&gt;'Inv'!$D$12),"",N(O$917)+1)</f>
        <v>0</v>
      </c>
    </row>
    <row r="919" spans="1:15">
      <c r="A919" s="2">
        <f>'[01_Entry.xlsx]Book'!A919</f>
        <v/>
      </c>
      <c r="B919" s="2">
        <f>'[01_Entry.xlsx]Book'!B919</f>
        <v/>
      </c>
      <c r="C919" s="2">
        <f>'[01_Entry.xlsx]Book'!D919</f>
        <v/>
      </c>
      <c r="D919" s="2">
        <f>'[01_Entry.xlsx]Book'!E919</f>
        <v/>
      </c>
      <c r="E919" s="2">
        <f>'[01_Entry.xlsx]Book'!O919</f>
        <v/>
      </c>
      <c r="F919" s="2">
        <f>'[01_Entry.xlsx]Book'!N919</f>
        <v/>
      </c>
      <c r="G919" s="3">
        <f>'[01_Entry.xlsx]Book'!L919</f>
        <v/>
      </c>
      <c r="H919" s="3">
        <f>'[01_Entry.xlsx]Book'!M919</f>
        <v/>
      </c>
      <c r="I919" s="3">
        <f>'[01_Entry.xlsx]Book'!K919</f>
        <v/>
      </c>
      <c r="J919" s="3">
        <f>'[01_Entry.xlsx]Book'!P919</f>
        <v/>
      </c>
      <c r="K919" s="3">
        <f>'[01_Entry.xlsx]Book'!F919</f>
        <v/>
      </c>
      <c r="L919" s="3">
        <f>'[01_Entry.xlsx]Book'!G919</f>
        <v/>
      </c>
      <c r="M919" s="3">
        <f>'[01_Entry.xlsx]Book'!I919</f>
        <v/>
      </c>
      <c r="N919" s="2">
        <f>IF($A919="","",MID($A919,6,2))</f>
        <v>0</v>
      </c>
      <c r="O919" s="2">
        <f>IF(OR($C919="",$C919&lt;&gt;'Inv'!$D$12),"",N(O$918)+1)</f>
        <v>0</v>
      </c>
    </row>
    <row r="920" spans="1:15">
      <c r="A920" s="2">
        <f>'[01_Entry.xlsx]Book'!A920</f>
        <v/>
      </c>
      <c r="B920" s="2">
        <f>'[01_Entry.xlsx]Book'!B920</f>
        <v/>
      </c>
      <c r="C920" s="2">
        <f>'[01_Entry.xlsx]Book'!D920</f>
        <v/>
      </c>
      <c r="D920" s="2">
        <f>'[01_Entry.xlsx]Book'!E920</f>
        <v/>
      </c>
      <c r="E920" s="2">
        <f>'[01_Entry.xlsx]Book'!O920</f>
        <v/>
      </c>
      <c r="F920" s="2">
        <f>'[01_Entry.xlsx]Book'!N920</f>
        <v/>
      </c>
      <c r="G920" s="3">
        <f>'[01_Entry.xlsx]Book'!L920</f>
        <v/>
      </c>
      <c r="H920" s="3">
        <f>'[01_Entry.xlsx]Book'!M920</f>
        <v/>
      </c>
      <c r="I920" s="3">
        <f>'[01_Entry.xlsx]Book'!K920</f>
        <v/>
      </c>
      <c r="J920" s="3">
        <f>'[01_Entry.xlsx]Book'!P920</f>
        <v/>
      </c>
      <c r="K920" s="3">
        <f>'[01_Entry.xlsx]Book'!F920</f>
        <v/>
      </c>
      <c r="L920" s="3">
        <f>'[01_Entry.xlsx]Book'!G920</f>
        <v/>
      </c>
      <c r="M920" s="3">
        <f>'[01_Entry.xlsx]Book'!I920</f>
        <v/>
      </c>
      <c r="N920" s="2">
        <f>IF($A920="","",MID($A920,6,2))</f>
        <v>0</v>
      </c>
      <c r="O920" s="2">
        <f>IF(OR($C920="",$C920&lt;&gt;'Inv'!$D$12),"",N(O$919)+1)</f>
        <v>0</v>
      </c>
    </row>
    <row r="921" spans="1:15">
      <c r="A921" s="2">
        <f>'[01_Entry.xlsx]Book'!A921</f>
        <v/>
      </c>
      <c r="B921" s="2">
        <f>'[01_Entry.xlsx]Book'!B921</f>
        <v/>
      </c>
      <c r="C921" s="2">
        <f>'[01_Entry.xlsx]Book'!D921</f>
        <v/>
      </c>
      <c r="D921" s="2">
        <f>'[01_Entry.xlsx]Book'!E921</f>
        <v/>
      </c>
      <c r="E921" s="2">
        <f>'[01_Entry.xlsx]Book'!O921</f>
        <v/>
      </c>
      <c r="F921" s="2">
        <f>'[01_Entry.xlsx]Book'!N921</f>
        <v/>
      </c>
      <c r="G921" s="3">
        <f>'[01_Entry.xlsx]Book'!L921</f>
        <v/>
      </c>
      <c r="H921" s="3">
        <f>'[01_Entry.xlsx]Book'!M921</f>
        <v/>
      </c>
      <c r="I921" s="3">
        <f>'[01_Entry.xlsx]Book'!K921</f>
        <v/>
      </c>
      <c r="J921" s="3">
        <f>'[01_Entry.xlsx]Book'!P921</f>
        <v/>
      </c>
      <c r="K921" s="3">
        <f>'[01_Entry.xlsx]Book'!F921</f>
        <v/>
      </c>
      <c r="L921" s="3">
        <f>'[01_Entry.xlsx]Book'!G921</f>
        <v/>
      </c>
      <c r="M921" s="3">
        <f>'[01_Entry.xlsx]Book'!I921</f>
        <v/>
      </c>
      <c r="N921" s="2">
        <f>IF($A921="","",MID($A921,6,2))</f>
        <v>0</v>
      </c>
      <c r="O921" s="2">
        <f>IF(OR($C921="",$C921&lt;&gt;'Inv'!$D$12),"",N(O$920)+1)</f>
        <v>0</v>
      </c>
    </row>
    <row r="922" spans="1:15">
      <c r="A922" s="2">
        <f>'[01_Entry.xlsx]Book'!A922</f>
        <v/>
      </c>
      <c r="B922" s="2">
        <f>'[01_Entry.xlsx]Book'!B922</f>
        <v/>
      </c>
      <c r="C922" s="2">
        <f>'[01_Entry.xlsx]Book'!D922</f>
        <v/>
      </c>
      <c r="D922" s="2">
        <f>'[01_Entry.xlsx]Book'!E922</f>
        <v/>
      </c>
      <c r="E922" s="2">
        <f>'[01_Entry.xlsx]Book'!O922</f>
        <v/>
      </c>
      <c r="F922" s="2">
        <f>'[01_Entry.xlsx]Book'!N922</f>
        <v/>
      </c>
      <c r="G922" s="3">
        <f>'[01_Entry.xlsx]Book'!L922</f>
        <v/>
      </c>
      <c r="H922" s="3">
        <f>'[01_Entry.xlsx]Book'!M922</f>
        <v/>
      </c>
      <c r="I922" s="3">
        <f>'[01_Entry.xlsx]Book'!K922</f>
        <v/>
      </c>
      <c r="J922" s="3">
        <f>'[01_Entry.xlsx]Book'!P922</f>
        <v/>
      </c>
      <c r="K922" s="3">
        <f>'[01_Entry.xlsx]Book'!F922</f>
        <v/>
      </c>
      <c r="L922" s="3">
        <f>'[01_Entry.xlsx]Book'!G922</f>
        <v/>
      </c>
      <c r="M922" s="3">
        <f>'[01_Entry.xlsx]Book'!I922</f>
        <v/>
      </c>
      <c r="N922" s="2">
        <f>IF($A922="","",MID($A922,6,2))</f>
        <v>0</v>
      </c>
      <c r="O922" s="2">
        <f>IF(OR($C922="",$C922&lt;&gt;'Inv'!$D$12),"",N(O$921)+1)</f>
        <v>0</v>
      </c>
    </row>
    <row r="923" spans="1:15">
      <c r="A923" s="2">
        <f>'[01_Entry.xlsx]Book'!A923</f>
        <v/>
      </c>
      <c r="B923" s="2">
        <f>'[01_Entry.xlsx]Book'!B923</f>
        <v/>
      </c>
      <c r="C923" s="2">
        <f>'[01_Entry.xlsx]Book'!D923</f>
        <v/>
      </c>
      <c r="D923" s="2">
        <f>'[01_Entry.xlsx]Book'!E923</f>
        <v/>
      </c>
      <c r="E923" s="2">
        <f>'[01_Entry.xlsx]Book'!O923</f>
        <v/>
      </c>
      <c r="F923" s="2">
        <f>'[01_Entry.xlsx]Book'!N923</f>
        <v/>
      </c>
      <c r="G923" s="3">
        <f>'[01_Entry.xlsx]Book'!L923</f>
        <v/>
      </c>
      <c r="H923" s="3">
        <f>'[01_Entry.xlsx]Book'!M923</f>
        <v/>
      </c>
      <c r="I923" s="3">
        <f>'[01_Entry.xlsx]Book'!K923</f>
        <v/>
      </c>
      <c r="J923" s="3">
        <f>'[01_Entry.xlsx]Book'!P923</f>
        <v/>
      </c>
      <c r="K923" s="3">
        <f>'[01_Entry.xlsx]Book'!F923</f>
        <v/>
      </c>
      <c r="L923" s="3">
        <f>'[01_Entry.xlsx]Book'!G923</f>
        <v/>
      </c>
      <c r="M923" s="3">
        <f>'[01_Entry.xlsx]Book'!I923</f>
        <v/>
      </c>
      <c r="N923" s="2">
        <f>IF($A923="","",MID($A923,6,2))</f>
        <v>0</v>
      </c>
      <c r="O923" s="2">
        <f>IF(OR($C923="",$C923&lt;&gt;'Inv'!$D$12),"",N(O$922)+1)</f>
        <v>0</v>
      </c>
    </row>
    <row r="924" spans="1:15">
      <c r="A924" s="2">
        <f>'[01_Entry.xlsx]Book'!A924</f>
        <v/>
      </c>
      <c r="B924" s="2">
        <f>'[01_Entry.xlsx]Book'!B924</f>
        <v/>
      </c>
      <c r="C924" s="2">
        <f>'[01_Entry.xlsx]Book'!D924</f>
        <v/>
      </c>
      <c r="D924" s="2">
        <f>'[01_Entry.xlsx]Book'!E924</f>
        <v/>
      </c>
      <c r="E924" s="2">
        <f>'[01_Entry.xlsx]Book'!O924</f>
        <v/>
      </c>
      <c r="F924" s="2">
        <f>'[01_Entry.xlsx]Book'!N924</f>
        <v/>
      </c>
      <c r="G924" s="3">
        <f>'[01_Entry.xlsx]Book'!L924</f>
        <v/>
      </c>
      <c r="H924" s="3">
        <f>'[01_Entry.xlsx]Book'!M924</f>
        <v/>
      </c>
      <c r="I924" s="3">
        <f>'[01_Entry.xlsx]Book'!K924</f>
        <v/>
      </c>
      <c r="J924" s="3">
        <f>'[01_Entry.xlsx]Book'!P924</f>
        <v/>
      </c>
      <c r="K924" s="3">
        <f>'[01_Entry.xlsx]Book'!F924</f>
        <v/>
      </c>
      <c r="L924" s="3">
        <f>'[01_Entry.xlsx]Book'!G924</f>
        <v/>
      </c>
      <c r="M924" s="3">
        <f>'[01_Entry.xlsx]Book'!I924</f>
        <v/>
      </c>
      <c r="N924" s="2">
        <f>IF($A924="","",MID($A924,6,2))</f>
        <v>0</v>
      </c>
      <c r="O924" s="2">
        <f>IF(OR($C924="",$C924&lt;&gt;'Inv'!$D$12),"",N(O$923)+1)</f>
        <v>0</v>
      </c>
    </row>
    <row r="925" spans="1:15">
      <c r="A925" s="2">
        <f>'[01_Entry.xlsx]Book'!A925</f>
        <v/>
      </c>
      <c r="B925" s="2">
        <f>'[01_Entry.xlsx]Book'!B925</f>
        <v/>
      </c>
      <c r="C925" s="2">
        <f>'[01_Entry.xlsx]Book'!D925</f>
        <v/>
      </c>
      <c r="D925" s="2">
        <f>'[01_Entry.xlsx]Book'!E925</f>
        <v/>
      </c>
      <c r="E925" s="2">
        <f>'[01_Entry.xlsx]Book'!O925</f>
        <v/>
      </c>
      <c r="F925" s="2">
        <f>'[01_Entry.xlsx]Book'!N925</f>
        <v/>
      </c>
      <c r="G925" s="3">
        <f>'[01_Entry.xlsx]Book'!L925</f>
        <v/>
      </c>
      <c r="H925" s="3">
        <f>'[01_Entry.xlsx]Book'!M925</f>
        <v/>
      </c>
      <c r="I925" s="3">
        <f>'[01_Entry.xlsx]Book'!K925</f>
        <v/>
      </c>
      <c r="J925" s="3">
        <f>'[01_Entry.xlsx]Book'!P925</f>
        <v/>
      </c>
      <c r="K925" s="3">
        <f>'[01_Entry.xlsx]Book'!F925</f>
        <v/>
      </c>
      <c r="L925" s="3">
        <f>'[01_Entry.xlsx]Book'!G925</f>
        <v/>
      </c>
      <c r="M925" s="3">
        <f>'[01_Entry.xlsx]Book'!I925</f>
        <v/>
      </c>
      <c r="N925" s="2">
        <f>IF($A925="","",MID($A925,6,2))</f>
        <v>0</v>
      </c>
      <c r="O925" s="2">
        <f>IF(OR($C925="",$C925&lt;&gt;'Inv'!$D$12),"",N(O$924)+1)</f>
        <v>0</v>
      </c>
    </row>
    <row r="926" spans="1:15">
      <c r="A926" s="2">
        <f>'[01_Entry.xlsx]Book'!A926</f>
        <v/>
      </c>
      <c r="B926" s="2">
        <f>'[01_Entry.xlsx]Book'!B926</f>
        <v/>
      </c>
      <c r="C926" s="2">
        <f>'[01_Entry.xlsx]Book'!D926</f>
        <v/>
      </c>
      <c r="D926" s="2">
        <f>'[01_Entry.xlsx]Book'!E926</f>
        <v/>
      </c>
      <c r="E926" s="2">
        <f>'[01_Entry.xlsx]Book'!O926</f>
        <v/>
      </c>
      <c r="F926" s="2">
        <f>'[01_Entry.xlsx]Book'!N926</f>
        <v/>
      </c>
      <c r="G926" s="3">
        <f>'[01_Entry.xlsx]Book'!L926</f>
        <v/>
      </c>
      <c r="H926" s="3">
        <f>'[01_Entry.xlsx]Book'!M926</f>
        <v/>
      </c>
      <c r="I926" s="3">
        <f>'[01_Entry.xlsx]Book'!K926</f>
        <v/>
      </c>
      <c r="J926" s="3">
        <f>'[01_Entry.xlsx]Book'!P926</f>
        <v/>
      </c>
      <c r="K926" s="3">
        <f>'[01_Entry.xlsx]Book'!F926</f>
        <v/>
      </c>
      <c r="L926" s="3">
        <f>'[01_Entry.xlsx]Book'!G926</f>
        <v/>
      </c>
      <c r="M926" s="3">
        <f>'[01_Entry.xlsx]Book'!I926</f>
        <v/>
      </c>
      <c r="N926" s="2">
        <f>IF($A926="","",MID($A926,6,2))</f>
        <v>0</v>
      </c>
      <c r="O926" s="2">
        <f>IF(OR($C926="",$C926&lt;&gt;'Inv'!$D$12),"",N(O$925)+1)</f>
        <v>0</v>
      </c>
    </row>
    <row r="927" spans="1:15">
      <c r="A927" s="2">
        <f>'[01_Entry.xlsx]Book'!A927</f>
        <v/>
      </c>
      <c r="B927" s="2">
        <f>'[01_Entry.xlsx]Book'!B927</f>
        <v/>
      </c>
      <c r="C927" s="2">
        <f>'[01_Entry.xlsx]Book'!D927</f>
        <v/>
      </c>
      <c r="D927" s="2">
        <f>'[01_Entry.xlsx]Book'!E927</f>
        <v/>
      </c>
      <c r="E927" s="2">
        <f>'[01_Entry.xlsx]Book'!O927</f>
        <v/>
      </c>
      <c r="F927" s="2">
        <f>'[01_Entry.xlsx]Book'!N927</f>
        <v/>
      </c>
      <c r="G927" s="3">
        <f>'[01_Entry.xlsx]Book'!L927</f>
        <v/>
      </c>
      <c r="H927" s="3">
        <f>'[01_Entry.xlsx]Book'!M927</f>
        <v/>
      </c>
      <c r="I927" s="3">
        <f>'[01_Entry.xlsx]Book'!K927</f>
        <v/>
      </c>
      <c r="J927" s="3">
        <f>'[01_Entry.xlsx]Book'!P927</f>
        <v/>
      </c>
      <c r="K927" s="3">
        <f>'[01_Entry.xlsx]Book'!F927</f>
        <v/>
      </c>
      <c r="L927" s="3">
        <f>'[01_Entry.xlsx]Book'!G927</f>
        <v/>
      </c>
      <c r="M927" s="3">
        <f>'[01_Entry.xlsx]Book'!I927</f>
        <v/>
      </c>
      <c r="N927" s="2">
        <f>IF($A927="","",MID($A927,6,2))</f>
        <v>0</v>
      </c>
      <c r="O927" s="2">
        <f>IF(OR($C927="",$C927&lt;&gt;'Inv'!$D$12),"",N(O$926)+1)</f>
        <v>0</v>
      </c>
    </row>
    <row r="928" spans="1:15">
      <c r="A928" s="2">
        <f>'[01_Entry.xlsx]Book'!A928</f>
        <v/>
      </c>
      <c r="B928" s="2">
        <f>'[01_Entry.xlsx]Book'!B928</f>
        <v/>
      </c>
      <c r="C928" s="2">
        <f>'[01_Entry.xlsx]Book'!D928</f>
        <v/>
      </c>
      <c r="D928" s="2">
        <f>'[01_Entry.xlsx]Book'!E928</f>
        <v/>
      </c>
      <c r="E928" s="2">
        <f>'[01_Entry.xlsx]Book'!O928</f>
        <v/>
      </c>
      <c r="F928" s="2">
        <f>'[01_Entry.xlsx]Book'!N928</f>
        <v/>
      </c>
      <c r="G928" s="3">
        <f>'[01_Entry.xlsx]Book'!L928</f>
        <v/>
      </c>
      <c r="H928" s="3">
        <f>'[01_Entry.xlsx]Book'!M928</f>
        <v/>
      </c>
      <c r="I928" s="3">
        <f>'[01_Entry.xlsx]Book'!K928</f>
        <v/>
      </c>
      <c r="J928" s="3">
        <f>'[01_Entry.xlsx]Book'!P928</f>
        <v/>
      </c>
      <c r="K928" s="3">
        <f>'[01_Entry.xlsx]Book'!F928</f>
        <v/>
      </c>
      <c r="L928" s="3">
        <f>'[01_Entry.xlsx]Book'!G928</f>
        <v/>
      </c>
      <c r="M928" s="3">
        <f>'[01_Entry.xlsx]Book'!I928</f>
        <v/>
      </c>
      <c r="N928" s="2">
        <f>IF($A928="","",MID($A928,6,2))</f>
        <v>0</v>
      </c>
      <c r="O928" s="2">
        <f>IF(OR($C928="",$C928&lt;&gt;'Inv'!$D$12),"",N(O$927)+1)</f>
        <v>0</v>
      </c>
    </row>
    <row r="929" spans="1:15">
      <c r="A929" s="2">
        <f>'[01_Entry.xlsx]Book'!A929</f>
        <v/>
      </c>
      <c r="B929" s="2">
        <f>'[01_Entry.xlsx]Book'!B929</f>
        <v/>
      </c>
      <c r="C929" s="2">
        <f>'[01_Entry.xlsx]Book'!D929</f>
        <v/>
      </c>
      <c r="D929" s="2">
        <f>'[01_Entry.xlsx]Book'!E929</f>
        <v/>
      </c>
      <c r="E929" s="2">
        <f>'[01_Entry.xlsx]Book'!O929</f>
        <v/>
      </c>
      <c r="F929" s="2">
        <f>'[01_Entry.xlsx]Book'!N929</f>
        <v/>
      </c>
      <c r="G929" s="3">
        <f>'[01_Entry.xlsx]Book'!L929</f>
        <v/>
      </c>
      <c r="H929" s="3">
        <f>'[01_Entry.xlsx]Book'!M929</f>
        <v/>
      </c>
      <c r="I929" s="3">
        <f>'[01_Entry.xlsx]Book'!K929</f>
        <v/>
      </c>
      <c r="J929" s="3">
        <f>'[01_Entry.xlsx]Book'!P929</f>
        <v/>
      </c>
      <c r="K929" s="3">
        <f>'[01_Entry.xlsx]Book'!F929</f>
        <v/>
      </c>
      <c r="L929" s="3">
        <f>'[01_Entry.xlsx]Book'!G929</f>
        <v/>
      </c>
      <c r="M929" s="3">
        <f>'[01_Entry.xlsx]Book'!I929</f>
        <v/>
      </c>
      <c r="N929" s="2">
        <f>IF($A929="","",MID($A929,6,2))</f>
        <v>0</v>
      </c>
      <c r="O929" s="2">
        <f>IF(OR($C929="",$C929&lt;&gt;'Inv'!$D$12),"",N(O$928)+1)</f>
        <v>0</v>
      </c>
    </row>
    <row r="930" spans="1:15">
      <c r="A930" s="2">
        <f>'[01_Entry.xlsx]Book'!A930</f>
        <v/>
      </c>
      <c r="B930" s="2">
        <f>'[01_Entry.xlsx]Book'!B930</f>
        <v/>
      </c>
      <c r="C930" s="2">
        <f>'[01_Entry.xlsx]Book'!D930</f>
        <v/>
      </c>
      <c r="D930" s="2">
        <f>'[01_Entry.xlsx]Book'!E930</f>
        <v/>
      </c>
      <c r="E930" s="2">
        <f>'[01_Entry.xlsx]Book'!O930</f>
        <v/>
      </c>
      <c r="F930" s="2">
        <f>'[01_Entry.xlsx]Book'!N930</f>
        <v/>
      </c>
      <c r="G930" s="3">
        <f>'[01_Entry.xlsx]Book'!L930</f>
        <v/>
      </c>
      <c r="H930" s="3">
        <f>'[01_Entry.xlsx]Book'!M930</f>
        <v/>
      </c>
      <c r="I930" s="3">
        <f>'[01_Entry.xlsx]Book'!K930</f>
        <v/>
      </c>
      <c r="J930" s="3">
        <f>'[01_Entry.xlsx]Book'!P930</f>
        <v/>
      </c>
      <c r="K930" s="3">
        <f>'[01_Entry.xlsx]Book'!F930</f>
        <v/>
      </c>
      <c r="L930" s="3">
        <f>'[01_Entry.xlsx]Book'!G930</f>
        <v/>
      </c>
      <c r="M930" s="3">
        <f>'[01_Entry.xlsx]Book'!I930</f>
        <v/>
      </c>
      <c r="N930" s="2">
        <f>IF($A930="","",MID($A930,6,2))</f>
        <v>0</v>
      </c>
      <c r="O930" s="2">
        <f>IF(OR($C930="",$C930&lt;&gt;'Inv'!$D$12),"",N(O$929)+1)</f>
        <v>0</v>
      </c>
    </row>
    <row r="931" spans="1:15">
      <c r="A931" s="2">
        <f>'[01_Entry.xlsx]Book'!A931</f>
        <v/>
      </c>
      <c r="B931" s="2">
        <f>'[01_Entry.xlsx]Book'!B931</f>
        <v/>
      </c>
      <c r="C931" s="2">
        <f>'[01_Entry.xlsx]Book'!D931</f>
        <v/>
      </c>
      <c r="D931" s="2">
        <f>'[01_Entry.xlsx]Book'!E931</f>
        <v/>
      </c>
      <c r="E931" s="2">
        <f>'[01_Entry.xlsx]Book'!O931</f>
        <v/>
      </c>
      <c r="F931" s="2">
        <f>'[01_Entry.xlsx]Book'!N931</f>
        <v/>
      </c>
      <c r="G931" s="3">
        <f>'[01_Entry.xlsx]Book'!L931</f>
        <v/>
      </c>
      <c r="H931" s="3">
        <f>'[01_Entry.xlsx]Book'!M931</f>
        <v/>
      </c>
      <c r="I931" s="3">
        <f>'[01_Entry.xlsx]Book'!K931</f>
        <v/>
      </c>
      <c r="J931" s="3">
        <f>'[01_Entry.xlsx]Book'!P931</f>
        <v/>
      </c>
      <c r="K931" s="3">
        <f>'[01_Entry.xlsx]Book'!F931</f>
        <v/>
      </c>
      <c r="L931" s="3">
        <f>'[01_Entry.xlsx]Book'!G931</f>
        <v/>
      </c>
      <c r="M931" s="3">
        <f>'[01_Entry.xlsx]Book'!I931</f>
        <v/>
      </c>
      <c r="N931" s="2">
        <f>IF($A931="","",MID($A931,6,2))</f>
        <v>0</v>
      </c>
      <c r="O931" s="2">
        <f>IF(OR($C931="",$C931&lt;&gt;'Inv'!$D$12),"",N(O$930)+1)</f>
        <v>0</v>
      </c>
    </row>
    <row r="932" spans="1:15">
      <c r="A932" s="2">
        <f>'[01_Entry.xlsx]Book'!A932</f>
        <v/>
      </c>
      <c r="B932" s="2">
        <f>'[01_Entry.xlsx]Book'!B932</f>
        <v/>
      </c>
      <c r="C932" s="2">
        <f>'[01_Entry.xlsx]Book'!D932</f>
        <v/>
      </c>
      <c r="D932" s="2">
        <f>'[01_Entry.xlsx]Book'!E932</f>
        <v/>
      </c>
      <c r="E932" s="2">
        <f>'[01_Entry.xlsx]Book'!O932</f>
        <v/>
      </c>
      <c r="F932" s="2">
        <f>'[01_Entry.xlsx]Book'!N932</f>
        <v/>
      </c>
      <c r="G932" s="3">
        <f>'[01_Entry.xlsx]Book'!L932</f>
        <v/>
      </c>
      <c r="H932" s="3">
        <f>'[01_Entry.xlsx]Book'!M932</f>
        <v/>
      </c>
      <c r="I932" s="3">
        <f>'[01_Entry.xlsx]Book'!K932</f>
        <v/>
      </c>
      <c r="J932" s="3">
        <f>'[01_Entry.xlsx]Book'!P932</f>
        <v/>
      </c>
      <c r="K932" s="3">
        <f>'[01_Entry.xlsx]Book'!F932</f>
        <v/>
      </c>
      <c r="L932" s="3">
        <f>'[01_Entry.xlsx]Book'!G932</f>
        <v/>
      </c>
      <c r="M932" s="3">
        <f>'[01_Entry.xlsx]Book'!I932</f>
        <v/>
      </c>
      <c r="N932" s="2">
        <f>IF($A932="","",MID($A932,6,2))</f>
        <v>0</v>
      </c>
      <c r="O932" s="2">
        <f>IF(OR($C932="",$C932&lt;&gt;'Inv'!$D$12),"",N(O$931)+1)</f>
        <v>0</v>
      </c>
    </row>
    <row r="933" spans="1:15">
      <c r="A933" s="2">
        <f>'[01_Entry.xlsx]Book'!A933</f>
        <v/>
      </c>
      <c r="B933" s="2">
        <f>'[01_Entry.xlsx]Book'!B933</f>
        <v/>
      </c>
      <c r="C933" s="2">
        <f>'[01_Entry.xlsx]Book'!D933</f>
        <v/>
      </c>
      <c r="D933" s="2">
        <f>'[01_Entry.xlsx]Book'!E933</f>
        <v/>
      </c>
      <c r="E933" s="2">
        <f>'[01_Entry.xlsx]Book'!O933</f>
        <v/>
      </c>
      <c r="F933" s="2">
        <f>'[01_Entry.xlsx]Book'!N933</f>
        <v/>
      </c>
      <c r="G933" s="3">
        <f>'[01_Entry.xlsx]Book'!L933</f>
        <v/>
      </c>
      <c r="H933" s="3">
        <f>'[01_Entry.xlsx]Book'!M933</f>
        <v/>
      </c>
      <c r="I933" s="3">
        <f>'[01_Entry.xlsx]Book'!K933</f>
        <v/>
      </c>
      <c r="J933" s="3">
        <f>'[01_Entry.xlsx]Book'!P933</f>
        <v/>
      </c>
      <c r="K933" s="3">
        <f>'[01_Entry.xlsx]Book'!F933</f>
        <v/>
      </c>
      <c r="L933" s="3">
        <f>'[01_Entry.xlsx]Book'!G933</f>
        <v/>
      </c>
      <c r="M933" s="3">
        <f>'[01_Entry.xlsx]Book'!I933</f>
        <v/>
      </c>
      <c r="N933" s="2">
        <f>IF($A933="","",MID($A933,6,2))</f>
        <v>0</v>
      </c>
      <c r="O933" s="2">
        <f>IF(OR($C933="",$C933&lt;&gt;'Inv'!$D$12),"",N(O$932)+1)</f>
        <v>0</v>
      </c>
    </row>
    <row r="934" spans="1:15">
      <c r="A934" s="2">
        <f>'[01_Entry.xlsx]Book'!A934</f>
        <v/>
      </c>
      <c r="B934" s="2">
        <f>'[01_Entry.xlsx]Book'!B934</f>
        <v/>
      </c>
      <c r="C934" s="2">
        <f>'[01_Entry.xlsx]Book'!D934</f>
        <v/>
      </c>
      <c r="D934" s="2">
        <f>'[01_Entry.xlsx]Book'!E934</f>
        <v/>
      </c>
      <c r="E934" s="2">
        <f>'[01_Entry.xlsx]Book'!O934</f>
        <v/>
      </c>
      <c r="F934" s="2">
        <f>'[01_Entry.xlsx]Book'!N934</f>
        <v/>
      </c>
      <c r="G934" s="3">
        <f>'[01_Entry.xlsx]Book'!L934</f>
        <v/>
      </c>
      <c r="H934" s="3">
        <f>'[01_Entry.xlsx]Book'!M934</f>
        <v/>
      </c>
      <c r="I934" s="3">
        <f>'[01_Entry.xlsx]Book'!K934</f>
        <v/>
      </c>
      <c r="J934" s="3">
        <f>'[01_Entry.xlsx]Book'!P934</f>
        <v/>
      </c>
      <c r="K934" s="3">
        <f>'[01_Entry.xlsx]Book'!F934</f>
        <v/>
      </c>
      <c r="L934" s="3">
        <f>'[01_Entry.xlsx]Book'!G934</f>
        <v/>
      </c>
      <c r="M934" s="3">
        <f>'[01_Entry.xlsx]Book'!I934</f>
        <v/>
      </c>
      <c r="N934" s="2">
        <f>IF($A934="","",MID($A934,6,2))</f>
        <v>0</v>
      </c>
      <c r="O934" s="2">
        <f>IF(OR($C934="",$C934&lt;&gt;'Inv'!$D$12),"",N(O$933)+1)</f>
        <v>0</v>
      </c>
    </row>
    <row r="935" spans="1:15">
      <c r="A935" s="2">
        <f>'[01_Entry.xlsx]Book'!A935</f>
        <v/>
      </c>
      <c r="B935" s="2">
        <f>'[01_Entry.xlsx]Book'!B935</f>
        <v/>
      </c>
      <c r="C935" s="2">
        <f>'[01_Entry.xlsx]Book'!D935</f>
        <v/>
      </c>
      <c r="D935" s="2">
        <f>'[01_Entry.xlsx]Book'!E935</f>
        <v/>
      </c>
      <c r="E935" s="2">
        <f>'[01_Entry.xlsx]Book'!O935</f>
        <v/>
      </c>
      <c r="F935" s="2">
        <f>'[01_Entry.xlsx]Book'!N935</f>
        <v/>
      </c>
      <c r="G935" s="3">
        <f>'[01_Entry.xlsx]Book'!L935</f>
        <v/>
      </c>
      <c r="H935" s="3">
        <f>'[01_Entry.xlsx]Book'!M935</f>
        <v/>
      </c>
      <c r="I935" s="3">
        <f>'[01_Entry.xlsx]Book'!K935</f>
        <v/>
      </c>
      <c r="J935" s="3">
        <f>'[01_Entry.xlsx]Book'!P935</f>
        <v/>
      </c>
      <c r="K935" s="3">
        <f>'[01_Entry.xlsx]Book'!F935</f>
        <v/>
      </c>
      <c r="L935" s="3">
        <f>'[01_Entry.xlsx]Book'!G935</f>
        <v/>
      </c>
      <c r="M935" s="3">
        <f>'[01_Entry.xlsx]Book'!I935</f>
        <v/>
      </c>
      <c r="N935" s="2">
        <f>IF($A935="","",MID($A935,6,2))</f>
        <v>0</v>
      </c>
      <c r="O935" s="2">
        <f>IF(OR($C935="",$C935&lt;&gt;'Inv'!$D$12),"",N(O$934)+1)</f>
        <v>0</v>
      </c>
    </row>
    <row r="936" spans="1:15">
      <c r="A936" s="2">
        <f>'[01_Entry.xlsx]Book'!A936</f>
        <v/>
      </c>
      <c r="B936" s="2">
        <f>'[01_Entry.xlsx]Book'!B936</f>
        <v/>
      </c>
      <c r="C936" s="2">
        <f>'[01_Entry.xlsx]Book'!D936</f>
        <v/>
      </c>
      <c r="D936" s="2">
        <f>'[01_Entry.xlsx]Book'!E936</f>
        <v/>
      </c>
      <c r="E936" s="2">
        <f>'[01_Entry.xlsx]Book'!O936</f>
        <v/>
      </c>
      <c r="F936" s="2">
        <f>'[01_Entry.xlsx]Book'!N936</f>
        <v/>
      </c>
      <c r="G936" s="3">
        <f>'[01_Entry.xlsx]Book'!L936</f>
        <v/>
      </c>
      <c r="H936" s="3">
        <f>'[01_Entry.xlsx]Book'!M936</f>
        <v/>
      </c>
      <c r="I936" s="3">
        <f>'[01_Entry.xlsx]Book'!K936</f>
        <v/>
      </c>
      <c r="J936" s="3">
        <f>'[01_Entry.xlsx]Book'!P936</f>
        <v/>
      </c>
      <c r="K936" s="3">
        <f>'[01_Entry.xlsx]Book'!F936</f>
        <v/>
      </c>
      <c r="L936" s="3">
        <f>'[01_Entry.xlsx]Book'!G936</f>
        <v/>
      </c>
      <c r="M936" s="3">
        <f>'[01_Entry.xlsx]Book'!I936</f>
        <v/>
      </c>
      <c r="N936" s="2">
        <f>IF($A936="","",MID($A936,6,2))</f>
        <v>0</v>
      </c>
      <c r="O936" s="2">
        <f>IF(OR($C936="",$C936&lt;&gt;'Inv'!$D$12),"",N(O$935)+1)</f>
        <v>0</v>
      </c>
    </row>
    <row r="937" spans="1:15">
      <c r="A937" s="2">
        <f>'[01_Entry.xlsx]Book'!A937</f>
        <v/>
      </c>
      <c r="B937" s="2">
        <f>'[01_Entry.xlsx]Book'!B937</f>
        <v/>
      </c>
      <c r="C937" s="2">
        <f>'[01_Entry.xlsx]Book'!D937</f>
        <v/>
      </c>
      <c r="D937" s="2">
        <f>'[01_Entry.xlsx]Book'!E937</f>
        <v/>
      </c>
      <c r="E937" s="2">
        <f>'[01_Entry.xlsx]Book'!O937</f>
        <v/>
      </c>
      <c r="F937" s="2">
        <f>'[01_Entry.xlsx]Book'!N937</f>
        <v/>
      </c>
      <c r="G937" s="3">
        <f>'[01_Entry.xlsx]Book'!L937</f>
        <v/>
      </c>
      <c r="H937" s="3">
        <f>'[01_Entry.xlsx]Book'!M937</f>
        <v/>
      </c>
      <c r="I937" s="3">
        <f>'[01_Entry.xlsx]Book'!K937</f>
        <v/>
      </c>
      <c r="J937" s="3">
        <f>'[01_Entry.xlsx]Book'!P937</f>
        <v/>
      </c>
      <c r="K937" s="3">
        <f>'[01_Entry.xlsx]Book'!F937</f>
        <v/>
      </c>
      <c r="L937" s="3">
        <f>'[01_Entry.xlsx]Book'!G937</f>
        <v/>
      </c>
      <c r="M937" s="3">
        <f>'[01_Entry.xlsx]Book'!I937</f>
        <v/>
      </c>
      <c r="N937" s="2">
        <f>IF($A937="","",MID($A937,6,2))</f>
        <v>0</v>
      </c>
      <c r="O937" s="2">
        <f>IF(OR($C937="",$C937&lt;&gt;'Inv'!$D$12),"",N(O$936)+1)</f>
        <v>0</v>
      </c>
    </row>
    <row r="938" spans="1:15">
      <c r="A938" s="2">
        <f>'[01_Entry.xlsx]Book'!A938</f>
        <v/>
      </c>
      <c r="B938" s="2">
        <f>'[01_Entry.xlsx]Book'!B938</f>
        <v/>
      </c>
      <c r="C938" s="2">
        <f>'[01_Entry.xlsx]Book'!D938</f>
        <v/>
      </c>
      <c r="D938" s="2">
        <f>'[01_Entry.xlsx]Book'!E938</f>
        <v/>
      </c>
      <c r="E938" s="2">
        <f>'[01_Entry.xlsx]Book'!O938</f>
        <v/>
      </c>
      <c r="F938" s="2">
        <f>'[01_Entry.xlsx]Book'!N938</f>
        <v/>
      </c>
      <c r="G938" s="3">
        <f>'[01_Entry.xlsx]Book'!L938</f>
        <v/>
      </c>
      <c r="H938" s="3">
        <f>'[01_Entry.xlsx]Book'!M938</f>
        <v/>
      </c>
      <c r="I938" s="3">
        <f>'[01_Entry.xlsx]Book'!K938</f>
        <v/>
      </c>
      <c r="J938" s="3">
        <f>'[01_Entry.xlsx]Book'!P938</f>
        <v/>
      </c>
      <c r="K938" s="3">
        <f>'[01_Entry.xlsx]Book'!F938</f>
        <v/>
      </c>
      <c r="L938" s="3">
        <f>'[01_Entry.xlsx]Book'!G938</f>
        <v/>
      </c>
      <c r="M938" s="3">
        <f>'[01_Entry.xlsx]Book'!I938</f>
        <v/>
      </c>
      <c r="N938" s="2">
        <f>IF($A938="","",MID($A938,6,2))</f>
        <v>0</v>
      </c>
      <c r="O938" s="2">
        <f>IF(OR($C938="",$C938&lt;&gt;'Inv'!$D$12),"",N(O$937)+1)</f>
        <v>0</v>
      </c>
    </row>
    <row r="939" spans="1:15">
      <c r="A939" s="2">
        <f>'[01_Entry.xlsx]Book'!A939</f>
        <v/>
      </c>
      <c r="B939" s="2">
        <f>'[01_Entry.xlsx]Book'!B939</f>
        <v/>
      </c>
      <c r="C939" s="2">
        <f>'[01_Entry.xlsx]Book'!D939</f>
        <v/>
      </c>
      <c r="D939" s="2">
        <f>'[01_Entry.xlsx]Book'!E939</f>
        <v/>
      </c>
      <c r="E939" s="2">
        <f>'[01_Entry.xlsx]Book'!O939</f>
        <v/>
      </c>
      <c r="F939" s="2">
        <f>'[01_Entry.xlsx]Book'!N939</f>
        <v/>
      </c>
      <c r="G939" s="3">
        <f>'[01_Entry.xlsx]Book'!L939</f>
        <v/>
      </c>
      <c r="H939" s="3">
        <f>'[01_Entry.xlsx]Book'!M939</f>
        <v/>
      </c>
      <c r="I939" s="3">
        <f>'[01_Entry.xlsx]Book'!K939</f>
        <v/>
      </c>
      <c r="J939" s="3">
        <f>'[01_Entry.xlsx]Book'!P939</f>
        <v/>
      </c>
      <c r="K939" s="3">
        <f>'[01_Entry.xlsx]Book'!F939</f>
        <v/>
      </c>
      <c r="L939" s="3">
        <f>'[01_Entry.xlsx]Book'!G939</f>
        <v/>
      </c>
      <c r="M939" s="3">
        <f>'[01_Entry.xlsx]Book'!I939</f>
        <v/>
      </c>
      <c r="N939" s="2">
        <f>IF($A939="","",MID($A939,6,2))</f>
        <v>0</v>
      </c>
      <c r="O939" s="2">
        <f>IF(OR($C939="",$C939&lt;&gt;'Inv'!$D$12),"",N(O$938)+1)</f>
        <v>0</v>
      </c>
    </row>
    <row r="940" spans="1:15">
      <c r="A940" s="2">
        <f>'[01_Entry.xlsx]Book'!A940</f>
        <v/>
      </c>
      <c r="B940" s="2">
        <f>'[01_Entry.xlsx]Book'!B940</f>
        <v/>
      </c>
      <c r="C940" s="2">
        <f>'[01_Entry.xlsx]Book'!D940</f>
        <v/>
      </c>
      <c r="D940" s="2">
        <f>'[01_Entry.xlsx]Book'!E940</f>
        <v/>
      </c>
      <c r="E940" s="2">
        <f>'[01_Entry.xlsx]Book'!O940</f>
        <v/>
      </c>
      <c r="F940" s="2">
        <f>'[01_Entry.xlsx]Book'!N940</f>
        <v/>
      </c>
      <c r="G940" s="3">
        <f>'[01_Entry.xlsx]Book'!L940</f>
        <v/>
      </c>
      <c r="H940" s="3">
        <f>'[01_Entry.xlsx]Book'!M940</f>
        <v/>
      </c>
      <c r="I940" s="3">
        <f>'[01_Entry.xlsx]Book'!K940</f>
        <v/>
      </c>
      <c r="J940" s="3">
        <f>'[01_Entry.xlsx]Book'!P940</f>
        <v/>
      </c>
      <c r="K940" s="3">
        <f>'[01_Entry.xlsx]Book'!F940</f>
        <v/>
      </c>
      <c r="L940" s="3">
        <f>'[01_Entry.xlsx]Book'!G940</f>
        <v/>
      </c>
      <c r="M940" s="3">
        <f>'[01_Entry.xlsx]Book'!I940</f>
        <v/>
      </c>
      <c r="N940" s="2">
        <f>IF($A940="","",MID($A940,6,2))</f>
        <v>0</v>
      </c>
      <c r="O940" s="2">
        <f>IF(OR($C940="",$C940&lt;&gt;'Inv'!$D$12),"",N(O$939)+1)</f>
        <v>0</v>
      </c>
    </row>
    <row r="941" spans="1:15">
      <c r="A941" s="2">
        <f>'[01_Entry.xlsx]Book'!A941</f>
        <v/>
      </c>
      <c r="B941" s="2">
        <f>'[01_Entry.xlsx]Book'!B941</f>
        <v/>
      </c>
      <c r="C941" s="2">
        <f>'[01_Entry.xlsx]Book'!D941</f>
        <v/>
      </c>
      <c r="D941" s="2">
        <f>'[01_Entry.xlsx]Book'!E941</f>
        <v/>
      </c>
      <c r="E941" s="2">
        <f>'[01_Entry.xlsx]Book'!O941</f>
        <v/>
      </c>
      <c r="F941" s="2">
        <f>'[01_Entry.xlsx]Book'!N941</f>
        <v/>
      </c>
      <c r="G941" s="3">
        <f>'[01_Entry.xlsx]Book'!L941</f>
        <v/>
      </c>
      <c r="H941" s="3">
        <f>'[01_Entry.xlsx]Book'!M941</f>
        <v/>
      </c>
      <c r="I941" s="3">
        <f>'[01_Entry.xlsx]Book'!K941</f>
        <v/>
      </c>
      <c r="J941" s="3">
        <f>'[01_Entry.xlsx]Book'!P941</f>
        <v/>
      </c>
      <c r="K941" s="3">
        <f>'[01_Entry.xlsx]Book'!F941</f>
        <v/>
      </c>
      <c r="L941" s="3">
        <f>'[01_Entry.xlsx]Book'!G941</f>
        <v/>
      </c>
      <c r="M941" s="3">
        <f>'[01_Entry.xlsx]Book'!I941</f>
        <v/>
      </c>
      <c r="N941" s="2">
        <f>IF($A941="","",MID($A941,6,2))</f>
        <v>0</v>
      </c>
      <c r="O941" s="2">
        <f>IF(OR($C941="",$C941&lt;&gt;'Inv'!$D$12),"",N(O$940)+1)</f>
        <v>0</v>
      </c>
    </row>
    <row r="942" spans="1:15">
      <c r="A942" s="2">
        <f>'[01_Entry.xlsx]Book'!A942</f>
        <v/>
      </c>
      <c r="B942" s="2">
        <f>'[01_Entry.xlsx]Book'!B942</f>
        <v/>
      </c>
      <c r="C942" s="2">
        <f>'[01_Entry.xlsx]Book'!D942</f>
        <v/>
      </c>
      <c r="D942" s="2">
        <f>'[01_Entry.xlsx]Book'!E942</f>
        <v/>
      </c>
      <c r="E942" s="2">
        <f>'[01_Entry.xlsx]Book'!O942</f>
        <v/>
      </c>
      <c r="F942" s="2">
        <f>'[01_Entry.xlsx]Book'!N942</f>
        <v/>
      </c>
      <c r="G942" s="3">
        <f>'[01_Entry.xlsx]Book'!L942</f>
        <v/>
      </c>
      <c r="H942" s="3">
        <f>'[01_Entry.xlsx]Book'!M942</f>
        <v/>
      </c>
      <c r="I942" s="3">
        <f>'[01_Entry.xlsx]Book'!K942</f>
        <v/>
      </c>
      <c r="J942" s="3">
        <f>'[01_Entry.xlsx]Book'!P942</f>
        <v/>
      </c>
      <c r="K942" s="3">
        <f>'[01_Entry.xlsx]Book'!F942</f>
        <v/>
      </c>
      <c r="L942" s="3">
        <f>'[01_Entry.xlsx]Book'!G942</f>
        <v/>
      </c>
      <c r="M942" s="3">
        <f>'[01_Entry.xlsx]Book'!I942</f>
        <v/>
      </c>
      <c r="N942" s="2">
        <f>IF($A942="","",MID($A942,6,2))</f>
        <v>0</v>
      </c>
      <c r="O942" s="2">
        <f>IF(OR($C942="",$C942&lt;&gt;'Inv'!$D$12),"",N(O$941)+1)</f>
        <v>0</v>
      </c>
    </row>
    <row r="943" spans="1:15">
      <c r="A943" s="2">
        <f>'[01_Entry.xlsx]Book'!A943</f>
        <v/>
      </c>
      <c r="B943" s="2">
        <f>'[01_Entry.xlsx]Book'!B943</f>
        <v/>
      </c>
      <c r="C943" s="2">
        <f>'[01_Entry.xlsx]Book'!D943</f>
        <v/>
      </c>
      <c r="D943" s="2">
        <f>'[01_Entry.xlsx]Book'!E943</f>
        <v/>
      </c>
      <c r="E943" s="2">
        <f>'[01_Entry.xlsx]Book'!O943</f>
        <v/>
      </c>
      <c r="F943" s="2">
        <f>'[01_Entry.xlsx]Book'!N943</f>
        <v/>
      </c>
      <c r="G943" s="3">
        <f>'[01_Entry.xlsx]Book'!L943</f>
        <v/>
      </c>
      <c r="H943" s="3">
        <f>'[01_Entry.xlsx]Book'!M943</f>
        <v/>
      </c>
      <c r="I943" s="3">
        <f>'[01_Entry.xlsx]Book'!K943</f>
        <v/>
      </c>
      <c r="J943" s="3">
        <f>'[01_Entry.xlsx]Book'!P943</f>
        <v/>
      </c>
      <c r="K943" s="3">
        <f>'[01_Entry.xlsx]Book'!F943</f>
        <v/>
      </c>
      <c r="L943" s="3">
        <f>'[01_Entry.xlsx]Book'!G943</f>
        <v/>
      </c>
      <c r="M943" s="3">
        <f>'[01_Entry.xlsx]Book'!I943</f>
        <v/>
      </c>
      <c r="N943" s="2">
        <f>IF($A943="","",MID($A943,6,2))</f>
        <v>0</v>
      </c>
      <c r="O943" s="2">
        <f>IF(OR($C943="",$C943&lt;&gt;'Inv'!$D$12),"",N(O$942)+1)</f>
        <v>0</v>
      </c>
    </row>
    <row r="944" spans="1:15">
      <c r="A944" s="2">
        <f>'[01_Entry.xlsx]Book'!A944</f>
        <v/>
      </c>
      <c r="B944" s="2">
        <f>'[01_Entry.xlsx]Book'!B944</f>
        <v/>
      </c>
      <c r="C944" s="2">
        <f>'[01_Entry.xlsx]Book'!D944</f>
        <v/>
      </c>
      <c r="D944" s="2">
        <f>'[01_Entry.xlsx]Book'!E944</f>
        <v/>
      </c>
      <c r="E944" s="2">
        <f>'[01_Entry.xlsx]Book'!O944</f>
        <v/>
      </c>
      <c r="F944" s="2">
        <f>'[01_Entry.xlsx]Book'!N944</f>
        <v/>
      </c>
      <c r="G944" s="3">
        <f>'[01_Entry.xlsx]Book'!L944</f>
        <v/>
      </c>
      <c r="H944" s="3">
        <f>'[01_Entry.xlsx]Book'!M944</f>
        <v/>
      </c>
      <c r="I944" s="3">
        <f>'[01_Entry.xlsx]Book'!K944</f>
        <v/>
      </c>
      <c r="J944" s="3">
        <f>'[01_Entry.xlsx]Book'!P944</f>
        <v/>
      </c>
      <c r="K944" s="3">
        <f>'[01_Entry.xlsx]Book'!F944</f>
        <v/>
      </c>
      <c r="L944" s="3">
        <f>'[01_Entry.xlsx]Book'!G944</f>
        <v/>
      </c>
      <c r="M944" s="3">
        <f>'[01_Entry.xlsx]Book'!I944</f>
        <v/>
      </c>
      <c r="N944" s="2">
        <f>IF($A944="","",MID($A944,6,2))</f>
        <v>0</v>
      </c>
      <c r="O944" s="2">
        <f>IF(OR($C944="",$C944&lt;&gt;'Inv'!$D$12),"",N(O$943)+1)</f>
        <v>0</v>
      </c>
    </row>
    <row r="945" spans="1:15">
      <c r="A945" s="2">
        <f>'[01_Entry.xlsx]Book'!A945</f>
        <v/>
      </c>
      <c r="B945" s="2">
        <f>'[01_Entry.xlsx]Book'!B945</f>
        <v/>
      </c>
      <c r="C945" s="2">
        <f>'[01_Entry.xlsx]Book'!D945</f>
        <v/>
      </c>
      <c r="D945" s="2">
        <f>'[01_Entry.xlsx]Book'!E945</f>
        <v/>
      </c>
      <c r="E945" s="2">
        <f>'[01_Entry.xlsx]Book'!O945</f>
        <v/>
      </c>
      <c r="F945" s="2">
        <f>'[01_Entry.xlsx]Book'!N945</f>
        <v/>
      </c>
      <c r="G945" s="3">
        <f>'[01_Entry.xlsx]Book'!L945</f>
        <v/>
      </c>
      <c r="H945" s="3">
        <f>'[01_Entry.xlsx]Book'!M945</f>
        <v/>
      </c>
      <c r="I945" s="3">
        <f>'[01_Entry.xlsx]Book'!K945</f>
        <v/>
      </c>
      <c r="J945" s="3">
        <f>'[01_Entry.xlsx]Book'!P945</f>
        <v/>
      </c>
      <c r="K945" s="3">
        <f>'[01_Entry.xlsx]Book'!F945</f>
        <v/>
      </c>
      <c r="L945" s="3">
        <f>'[01_Entry.xlsx]Book'!G945</f>
        <v/>
      </c>
      <c r="M945" s="3">
        <f>'[01_Entry.xlsx]Book'!I945</f>
        <v/>
      </c>
      <c r="N945" s="2">
        <f>IF($A945="","",MID($A945,6,2))</f>
        <v>0</v>
      </c>
      <c r="O945" s="2">
        <f>IF(OR($C945="",$C945&lt;&gt;'Inv'!$D$12),"",N(O$944)+1)</f>
        <v>0</v>
      </c>
    </row>
    <row r="946" spans="1:15">
      <c r="A946" s="2">
        <f>'[01_Entry.xlsx]Book'!A946</f>
        <v/>
      </c>
      <c r="B946" s="2">
        <f>'[01_Entry.xlsx]Book'!B946</f>
        <v/>
      </c>
      <c r="C946" s="2">
        <f>'[01_Entry.xlsx]Book'!D946</f>
        <v/>
      </c>
      <c r="D946" s="2">
        <f>'[01_Entry.xlsx]Book'!E946</f>
        <v/>
      </c>
      <c r="E946" s="2">
        <f>'[01_Entry.xlsx]Book'!O946</f>
        <v/>
      </c>
      <c r="F946" s="2">
        <f>'[01_Entry.xlsx]Book'!N946</f>
        <v/>
      </c>
      <c r="G946" s="3">
        <f>'[01_Entry.xlsx]Book'!L946</f>
        <v/>
      </c>
      <c r="H946" s="3">
        <f>'[01_Entry.xlsx]Book'!M946</f>
        <v/>
      </c>
      <c r="I946" s="3">
        <f>'[01_Entry.xlsx]Book'!K946</f>
        <v/>
      </c>
      <c r="J946" s="3">
        <f>'[01_Entry.xlsx]Book'!P946</f>
        <v/>
      </c>
      <c r="K946" s="3">
        <f>'[01_Entry.xlsx]Book'!F946</f>
        <v/>
      </c>
      <c r="L946" s="3">
        <f>'[01_Entry.xlsx]Book'!G946</f>
        <v/>
      </c>
      <c r="M946" s="3">
        <f>'[01_Entry.xlsx]Book'!I946</f>
        <v/>
      </c>
      <c r="N946" s="2">
        <f>IF($A946="","",MID($A946,6,2))</f>
        <v>0</v>
      </c>
      <c r="O946" s="2">
        <f>IF(OR($C946="",$C946&lt;&gt;'Inv'!$D$12),"",N(O$945)+1)</f>
        <v>0</v>
      </c>
    </row>
    <row r="947" spans="1:15">
      <c r="A947" s="2">
        <f>'[01_Entry.xlsx]Book'!A947</f>
        <v/>
      </c>
      <c r="B947" s="2">
        <f>'[01_Entry.xlsx]Book'!B947</f>
        <v/>
      </c>
      <c r="C947" s="2">
        <f>'[01_Entry.xlsx]Book'!D947</f>
        <v/>
      </c>
      <c r="D947" s="2">
        <f>'[01_Entry.xlsx]Book'!E947</f>
        <v/>
      </c>
      <c r="E947" s="2">
        <f>'[01_Entry.xlsx]Book'!O947</f>
        <v/>
      </c>
      <c r="F947" s="2">
        <f>'[01_Entry.xlsx]Book'!N947</f>
        <v/>
      </c>
      <c r="G947" s="3">
        <f>'[01_Entry.xlsx]Book'!L947</f>
        <v/>
      </c>
      <c r="H947" s="3">
        <f>'[01_Entry.xlsx]Book'!M947</f>
        <v/>
      </c>
      <c r="I947" s="3">
        <f>'[01_Entry.xlsx]Book'!K947</f>
        <v/>
      </c>
      <c r="J947" s="3">
        <f>'[01_Entry.xlsx]Book'!P947</f>
        <v/>
      </c>
      <c r="K947" s="3">
        <f>'[01_Entry.xlsx]Book'!F947</f>
        <v/>
      </c>
      <c r="L947" s="3">
        <f>'[01_Entry.xlsx]Book'!G947</f>
        <v/>
      </c>
      <c r="M947" s="3">
        <f>'[01_Entry.xlsx]Book'!I947</f>
        <v/>
      </c>
      <c r="N947" s="2">
        <f>IF($A947="","",MID($A947,6,2))</f>
        <v>0</v>
      </c>
      <c r="O947" s="2">
        <f>IF(OR($C947="",$C947&lt;&gt;'Inv'!$D$12),"",N(O$946)+1)</f>
        <v>0</v>
      </c>
    </row>
    <row r="948" spans="1:15">
      <c r="A948" s="2">
        <f>'[01_Entry.xlsx]Book'!A948</f>
        <v/>
      </c>
      <c r="B948" s="2">
        <f>'[01_Entry.xlsx]Book'!B948</f>
        <v/>
      </c>
      <c r="C948" s="2">
        <f>'[01_Entry.xlsx]Book'!D948</f>
        <v/>
      </c>
      <c r="D948" s="2">
        <f>'[01_Entry.xlsx]Book'!E948</f>
        <v/>
      </c>
      <c r="E948" s="2">
        <f>'[01_Entry.xlsx]Book'!O948</f>
        <v/>
      </c>
      <c r="F948" s="2">
        <f>'[01_Entry.xlsx]Book'!N948</f>
        <v/>
      </c>
      <c r="G948" s="3">
        <f>'[01_Entry.xlsx]Book'!L948</f>
        <v/>
      </c>
      <c r="H948" s="3">
        <f>'[01_Entry.xlsx]Book'!M948</f>
        <v/>
      </c>
      <c r="I948" s="3">
        <f>'[01_Entry.xlsx]Book'!K948</f>
        <v/>
      </c>
      <c r="J948" s="3">
        <f>'[01_Entry.xlsx]Book'!P948</f>
        <v/>
      </c>
      <c r="K948" s="3">
        <f>'[01_Entry.xlsx]Book'!F948</f>
        <v/>
      </c>
      <c r="L948" s="3">
        <f>'[01_Entry.xlsx]Book'!G948</f>
        <v/>
      </c>
      <c r="M948" s="3">
        <f>'[01_Entry.xlsx]Book'!I948</f>
        <v/>
      </c>
      <c r="N948" s="2">
        <f>IF($A948="","",MID($A948,6,2))</f>
        <v>0</v>
      </c>
      <c r="O948" s="2">
        <f>IF(OR($C948="",$C948&lt;&gt;'Inv'!$D$12),"",N(O$947)+1)</f>
        <v>0</v>
      </c>
    </row>
    <row r="949" spans="1:15">
      <c r="A949" s="2">
        <f>'[01_Entry.xlsx]Book'!A949</f>
        <v/>
      </c>
      <c r="B949" s="2">
        <f>'[01_Entry.xlsx]Book'!B949</f>
        <v/>
      </c>
      <c r="C949" s="2">
        <f>'[01_Entry.xlsx]Book'!D949</f>
        <v/>
      </c>
      <c r="D949" s="2">
        <f>'[01_Entry.xlsx]Book'!E949</f>
        <v/>
      </c>
      <c r="E949" s="2">
        <f>'[01_Entry.xlsx]Book'!O949</f>
        <v/>
      </c>
      <c r="F949" s="2">
        <f>'[01_Entry.xlsx]Book'!N949</f>
        <v/>
      </c>
      <c r="G949" s="3">
        <f>'[01_Entry.xlsx]Book'!L949</f>
        <v/>
      </c>
      <c r="H949" s="3">
        <f>'[01_Entry.xlsx]Book'!M949</f>
        <v/>
      </c>
      <c r="I949" s="3">
        <f>'[01_Entry.xlsx]Book'!K949</f>
        <v/>
      </c>
      <c r="J949" s="3">
        <f>'[01_Entry.xlsx]Book'!P949</f>
        <v/>
      </c>
      <c r="K949" s="3">
        <f>'[01_Entry.xlsx]Book'!F949</f>
        <v/>
      </c>
      <c r="L949" s="3">
        <f>'[01_Entry.xlsx]Book'!G949</f>
        <v/>
      </c>
      <c r="M949" s="3">
        <f>'[01_Entry.xlsx]Book'!I949</f>
        <v/>
      </c>
      <c r="N949" s="2">
        <f>IF($A949="","",MID($A949,6,2))</f>
        <v>0</v>
      </c>
      <c r="O949" s="2">
        <f>IF(OR($C949="",$C949&lt;&gt;'Inv'!$D$12),"",N(O$948)+1)</f>
        <v>0</v>
      </c>
    </row>
    <row r="950" spans="1:15">
      <c r="A950" s="2">
        <f>'[01_Entry.xlsx]Book'!A950</f>
        <v/>
      </c>
      <c r="B950" s="2">
        <f>'[01_Entry.xlsx]Book'!B950</f>
        <v/>
      </c>
      <c r="C950" s="2">
        <f>'[01_Entry.xlsx]Book'!D950</f>
        <v/>
      </c>
      <c r="D950" s="2">
        <f>'[01_Entry.xlsx]Book'!E950</f>
        <v/>
      </c>
      <c r="E950" s="2">
        <f>'[01_Entry.xlsx]Book'!O950</f>
        <v/>
      </c>
      <c r="F950" s="2">
        <f>'[01_Entry.xlsx]Book'!N950</f>
        <v/>
      </c>
      <c r="G950" s="3">
        <f>'[01_Entry.xlsx]Book'!L950</f>
        <v/>
      </c>
      <c r="H950" s="3">
        <f>'[01_Entry.xlsx]Book'!M950</f>
        <v/>
      </c>
      <c r="I950" s="3">
        <f>'[01_Entry.xlsx]Book'!K950</f>
        <v/>
      </c>
      <c r="J950" s="3">
        <f>'[01_Entry.xlsx]Book'!P950</f>
        <v/>
      </c>
      <c r="K950" s="3">
        <f>'[01_Entry.xlsx]Book'!F950</f>
        <v/>
      </c>
      <c r="L950" s="3">
        <f>'[01_Entry.xlsx]Book'!G950</f>
        <v/>
      </c>
      <c r="M950" s="3">
        <f>'[01_Entry.xlsx]Book'!I950</f>
        <v/>
      </c>
      <c r="N950" s="2">
        <f>IF($A950="","",MID($A950,6,2))</f>
        <v>0</v>
      </c>
      <c r="O950" s="2">
        <f>IF(OR($C950="",$C950&lt;&gt;'Inv'!$D$12),"",N(O$949)+1)</f>
        <v>0</v>
      </c>
    </row>
    <row r="951" spans="1:15">
      <c r="A951" s="2">
        <f>'[01_Entry.xlsx]Book'!A951</f>
        <v/>
      </c>
      <c r="B951" s="2">
        <f>'[01_Entry.xlsx]Book'!B951</f>
        <v/>
      </c>
      <c r="C951" s="2">
        <f>'[01_Entry.xlsx]Book'!D951</f>
        <v/>
      </c>
      <c r="D951" s="2">
        <f>'[01_Entry.xlsx]Book'!E951</f>
        <v/>
      </c>
      <c r="E951" s="2">
        <f>'[01_Entry.xlsx]Book'!O951</f>
        <v/>
      </c>
      <c r="F951" s="2">
        <f>'[01_Entry.xlsx]Book'!N951</f>
        <v/>
      </c>
      <c r="G951" s="3">
        <f>'[01_Entry.xlsx]Book'!L951</f>
        <v/>
      </c>
      <c r="H951" s="3">
        <f>'[01_Entry.xlsx]Book'!M951</f>
        <v/>
      </c>
      <c r="I951" s="3">
        <f>'[01_Entry.xlsx]Book'!K951</f>
        <v/>
      </c>
      <c r="J951" s="3">
        <f>'[01_Entry.xlsx]Book'!P951</f>
        <v/>
      </c>
      <c r="K951" s="3">
        <f>'[01_Entry.xlsx]Book'!F951</f>
        <v/>
      </c>
      <c r="L951" s="3">
        <f>'[01_Entry.xlsx]Book'!G951</f>
        <v/>
      </c>
      <c r="M951" s="3">
        <f>'[01_Entry.xlsx]Book'!I951</f>
        <v/>
      </c>
      <c r="N951" s="2">
        <f>IF($A951="","",MID($A951,6,2))</f>
        <v>0</v>
      </c>
      <c r="O951" s="2">
        <f>IF(OR($C951="",$C951&lt;&gt;'Inv'!$D$12),"",N(O$950)+1)</f>
        <v>0</v>
      </c>
    </row>
    <row r="952" spans="1:15">
      <c r="A952" s="2">
        <f>'[01_Entry.xlsx]Book'!A952</f>
        <v/>
      </c>
      <c r="B952" s="2">
        <f>'[01_Entry.xlsx]Book'!B952</f>
        <v/>
      </c>
      <c r="C952" s="2">
        <f>'[01_Entry.xlsx]Book'!D952</f>
        <v/>
      </c>
      <c r="D952" s="2">
        <f>'[01_Entry.xlsx]Book'!E952</f>
        <v/>
      </c>
      <c r="E952" s="2">
        <f>'[01_Entry.xlsx]Book'!O952</f>
        <v/>
      </c>
      <c r="F952" s="2">
        <f>'[01_Entry.xlsx]Book'!N952</f>
        <v/>
      </c>
      <c r="G952" s="3">
        <f>'[01_Entry.xlsx]Book'!L952</f>
        <v/>
      </c>
      <c r="H952" s="3">
        <f>'[01_Entry.xlsx]Book'!M952</f>
        <v/>
      </c>
      <c r="I952" s="3">
        <f>'[01_Entry.xlsx]Book'!K952</f>
        <v/>
      </c>
      <c r="J952" s="3">
        <f>'[01_Entry.xlsx]Book'!P952</f>
        <v/>
      </c>
      <c r="K952" s="3">
        <f>'[01_Entry.xlsx]Book'!F952</f>
        <v/>
      </c>
      <c r="L952" s="3">
        <f>'[01_Entry.xlsx]Book'!G952</f>
        <v/>
      </c>
      <c r="M952" s="3">
        <f>'[01_Entry.xlsx]Book'!I952</f>
        <v/>
      </c>
      <c r="N952" s="2">
        <f>IF($A952="","",MID($A952,6,2))</f>
        <v>0</v>
      </c>
      <c r="O952" s="2">
        <f>IF(OR($C952="",$C952&lt;&gt;'Inv'!$D$12),"",N(O$951)+1)</f>
        <v>0</v>
      </c>
    </row>
    <row r="953" spans="1:15">
      <c r="A953" s="2">
        <f>'[01_Entry.xlsx]Book'!A953</f>
        <v/>
      </c>
      <c r="B953" s="2">
        <f>'[01_Entry.xlsx]Book'!B953</f>
        <v/>
      </c>
      <c r="C953" s="2">
        <f>'[01_Entry.xlsx]Book'!D953</f>
        <v/>
      </c>
      <c r="D953" s="2">
        <f>'[01_Entry.xlsx]Book'!E953</f>
        <v/>
      </c>
      <c r="E953" s="2">
        <f>'[01_Entry.xlsx]Book'!O953</f>
        <v/>
      </c>
      <c r="F953" s="2">
        <f>'[01_Entry.xlsx]Book'!N953</f>
        <v/>
      </c>
      <c r="G953" s="3">
        <f>'[01_Entry.xlsx]Book'!L953</f>
        <v/>
      </c>
      <c r="H953" s="3">
        <f>'[01_Entry.xlsx]Book'!M953</f>
        <v/>
      </c>
      <c r="I953" s="3">
        <f>'[01_Entry.xlsx]Book'!K953</f>
        <v/>
      </c>
      <c r="J953" s="3">
        <f>'[01_Entry.xlsx]Book'!P953</f>
        <v/>
      </c>
      <c r="K953" s="3">
        <f>'[01_Entry.xlsx]Book'!F953</f>
        <v/>
      </c>
      <c r="L953" s="3">
        <f>'[01_Entry.xlsx]Book'!G953</f>
        <v/>
      </c>
      <c r="M953" s="3">
        <f>'[01_Entry.xlsx]Book'!I953</f>
        <v/>
      </c>
      <c r="N953" s="2">
        <f>IF($A953="","",MID($A953,6,2))</f>
        <v>0</v>
      </c>
      <c r="O953" s="2">
        <f>IF(OR($C953="",$C953&lt;&gt;'Inv'!$D$12),"",N(O$952)+1)</f>
        <v>0</v>
      </c>
    </row>
    <row r="954" spans="1:15">
      <c r="A954" s="2">
        <f>'[01_Entry.xlsx]Book'!A954</f>
        <v/>
      </c>
      <c r="B954" s="2">
        <f>'[01_Entry.xlsx]Book'!B954</f>
        <v/>
      </c>
      <c r="C954" s="2">
        <f>'[01_Entry.xlsx]Book'!D954</f>
        <v/>
      </c>
      <c r="D954" s="2">
        <f>'[01_Entry.xlsx]Book'!E954</f>
        <v/>
      </c>
      <c r="E954" s="2">
        <f>'[01_Entry.xlsx]Book'!O954</f>
        <v/>
      </c>
      <c r="F954" s="2">
        <f>'[01_Entry.xlsx]Book'!N954</f>
        <v/>
      </c>
      <c r="G954" s="3">
        <f>'[01_Entry.xlsx]Book'!L954</f>
        <v/>
      </c>
      <c r="H954" s="3">
        <f>'[01_Entry.xlsx]Book'!M954</f>
        <v/>
      </c>
      <c r="I954" s="3">
        <f>'[01_Entry.xlsx]Book'!K954</f>
        <v/>
      </c>
      <c r="J954" s="3">
        <f>'[01_Entry.xlsx]Book'!P954</f>
        <v/>
      </c>
      <c r="K954" s="3">
        <f>'[01_Entry.xlsx]Book'!F954</f>
        <v/>
      </c>
      <c r="L954" s="3">
        <f>'[01_Entry.xlsx]Book'!G954</f>
        <v/>
      </c>
      <c r="M954" s="3">
        <f>'[01_Entry.xlsx]Book'!I954</f>
        <v/>
      </c>
      <c r="N954" s="2">
        <f>IF($A954="","",MID($A954,6,2))</f>
        <v>0</v>
      </c>
      <c r="O954" s="2">
        <f>IF(OR($C954="",$C954&lt;&gt;'Inv'!$D$12),"",N(O$953)+1)</f>
        <v>0</v>
      </c>
    </row>
    <row r="955" spans="1:15">
      <c r="A955" s="2">
        <f>'[01_Entry.xlsx]Book'!A955</f>
        <v/>
      </c>
      <c r="B955" s="2">
        <f>'[01_Entry.xlsx]Book'!B955</f>
        <v/>
      </c>
      <c r="C955" s="2">
        <f>'[01_Entry.xlsx]Book'!D955</f>
        <v/>
      </c>
      <c r="D955" s="2">
        <f>'[01_Entry.xlsx]Book'!E955</f>
        <v/>
      </c>
      <c r="E955" s="2">
        <f>'[01_Entry.xlsx]Book'!O955</f>
        <v/>
      </c>
      <c r="F955" s="2">
        <f>'[01_Entry.xlsx]Book'!N955</f>
        <v/>
      </c>
      <c r="G955" s="3">
        <f>'[01_Entry.xlsx]Book'!L955</f>
        <v/>
      </c>
      <c r="H955" s="3">
        <f>'[01_Entry.xlsx]Book'!M955</f>
        <v/>
      </c>
      <c r="I955" s="3">
        <f>'[01_Entry.xlsx]Book'!K955</f>
        <v/>
      </c>
      <c r="J955" s="3">
        <f>'[01_Entry.xlsx]Book'!P955</f>
        <v/>
      </c>
      <c r="K955" s="3">
        <f>'[01_Entry.xlsx]Book'!F955</f>
        <v/>
      </c>
      <c r="L955" s="3">
        <f>'[01_Entry.xlsx]Book'!G955</f>
        <v/>
      </c>
      <c r="M955" s="3">
        <f>'[01_Entry.xlsx]Book'!I955</f>
        <v/>
      </c>
      <c r="N955" s="2">
        <f>IF($A955="","",MID($A955,6,2))</f>
        <v>0</v>
      </c>
      <c r="O955" s="2">
        <f>IF(OR($C955="",$C955&lt;&gt;'Inv'!$D$12),"",N(O$954)+1)</f>
        <v>0</v>
      </c>
    </row>
    <row r="956" spans="1:15">
      <c r="A956" s="2">
        <f>'[01_Entry.xlsx]Book'!A956</f>
        <v/>
      </c>
      <c r="B956" s="2">
        <f>'[01_Entry.xlsx]Book'!B956</f>
        <v/>
      </c>
      <c r="C956" s="2">
        <f>'[01_Entry.xlsx]Book'!D956</f>
        <v/>
      </c>
      <c r="D956" s="2">
        <f>'[01_Entry.xlsx]Book'!E956</f>
        <v/>
      </c>
      <c r="E956" s="2">
        <f>'[01_Entry.xlsx]Book'!O956</f>
        <v/>
      </c>
      <c r="F956" s="2">
        <f>'[01_Entry.xlsx]Book'!N956</f>
        <v/>
      </c>
      <c r="G956" s="3">
        <f>'[01_Entry.xlsx]Book'!L956</f>
        <v/>
      </c>
      <c r="H956" s="3">
        <f>'[01_Entry.xlsx]Book'!M956</f>
        <v/>
      </c>
      <c r="I956" s="3">
        <f>'[01_Entry.xlsx]Book'!K956</f>
        <v/>
      </c>
      <c r="J956" s="3">
        <f>'[01_Entry.xlsx]Book'!P956</f>
        <v/>
      </c>
      <c r="K956" s="3">
        <f>'[01_Entry.xlsx]Book'!F956</f>
        <v/>
      </c>
      <c r="L956" s="3">
        <f>'[01_Entry.xlsx]Book'!G956</f>
        <v/>
      </c>
      <c r="M956" s="3">
        <f>'[01_Entry.xlsx]Book'!I956</f>
        <v/>
      </c>
      <c r="N956" s="2">
        <f>IF($A956="","",MID($A956,6,2))</f>
        <v>0</v>
      </c>
      <c r="O956" s="2">
        <f>IF(OR($C956="",$C956&lt;&gt;'Inv'!$D$12),"",N(O$955)+1)</f>
        <v>0</v>
      </c>
    </row>
    <row r="957" spans="1:15">
      <c r="A957" s="2">
        <f>'[01_Entry.xlsx]Book'!A957</f>
        <v/>
      </c>
      <c r="B957" s="2">
        <f>'[01_Entry.xlsx]Book'!B957</f>
        <v/>
      </c>
      <c r="C957" s="2">
        <f>'[01_Entry.xlsx]Book'!D957</f>
        <v/>
      </c>
      <c r="D957" s="2">
        <f>'[01_Entry.xlsx]Book'!E957</f>
        <v/>
      </c>
      <c r="E957" s="2">
        <f>'[01_Entry.xlsx]Book'!O957</f>
        <v/>
      </c>
      <c r="F957" s="2">
        <f>'[01_Entry.xlsx]Book'!N957</f>
        <v/>
      </c>
      <c r="G957" s="3">
        <f>'[01_Entry.xlsx]Book'!L957</f>
        <v/>
      </c>
      <c r="H957" s="3">
        <f>'[01_Entry.xlsx]Book'!M957</f>
        <v/>
      </c>
      <c r="I957" s="3">
        <f>'[01_Entry.xlsx]Book'!K957</f>
        <v/>
      </c>
      <c r="J957" s="3">
        <f>'[01_Entry.xlsx]Book'!P957</f>
        <v/>
      </c>
      <c r="K957" s="3">
        <f>'[01_Entry.xlsx]Book'!F957</f>
        <v/>
      </c>
      <c r="L957" s="3">
        <f>'[01_Entry.xlsx]Book'!G957</f>
        <v/>
      </c>
      <c r="M957" s="3">
        <f>'[01_Entry.xlsx]Book'!I957</f>
        <v/>
      </c>
      <c r="N957" s="2">
        <f>IF($A957="","",MID($A957,6,2))</f>
        <v>0</v>
      </c>
      <c r="O957" s="2">
        <f>IF(OR($C957="",$C957&lt;&gt;'Inv'!$D$12),"",N(O$956)+1)</f>
        <v>0</v>
      </c>
    </row>
    <row r="958" spans="1:15">
      <c r="A958" s="2">
        <f>'[01_Entry.xlsx]Book'!A958</f>
        <v/>
      </c>
      <c r="B958" s="2">
        <f>'[01_Entry.xlsx]Book'!B958</f>
        <v/>
      </c>
      <c r="C958" s="2">
        <f>'[01_Entry.xlsx]Book'!D958</f>
        <v/>
      </c>
      <c r="D958" s="2">
        <f>'[01_Entry.xlsx]Book'!E958</f>
        <v/>
      </c>
      <c r="E958" s="2">
        <f>'[01_Entry.xlsx]Book'!O958</f>
        <v/>
      </c>
      <c r="F958" s="2">
        <f>'[01_Entry.xlsx]Book'!N958</f>
        <v/>
      </c>
      <c r="G958" s="3">
        <f>'[01_Entry.xlsx]Book'!L958</f>
        <v/>
      </c>
      <c r="H958" s="3">
        <f>'[01_Entry.xlsx]Book'!M958</f>
        <v/>
      </c>
      <c r="I958" s="3">
        <f>'[01_Entry.xlsx]Book'!K958</f>
        <v/>
      </c>
      <c r="J958" s="3">
        <f>'[01_Entry.xlsx]Book'!P958</f>
        <v/>
      </c>
      <c r="K958" s="3">
        <f>'[01_Entry.xlsx]Book'!F958</f>
        <v/>
      </c>
      <c r="L958" s="3">
        <f>'[01_Entry.xlsx]Book'!G958</f>
        <v/>
      </c>
      <c r="M958" s="3">
        <f>'[01_Entry.xlsx]Book'!I958</f>
        <v/>
      </c>
      <c r="N958" s="2">
        <f>IF($A958="","",MID($A958,6,2))</f>
        <v>0</v>
      </c>
      <c r="O958" s="2">
        <f>IF(OR($C958="",$C958&lt;&gt;'Inv'!$D$12),"",N(O$957)+1)</f>
        <v>0</v>
      </c>
    </row>
    <row r="959" spans="1:15">
      <c r="A959" s="2">
        <f>'[01_Entry.xlsx]Book'!A959</f>
        <v/>
      </c>
      <c r="B959" s="2">
        <f>'[01_Entry.xlsx]Book'!B959</f>
        <v/>
      </c>
      <c r="C959" s="2">
        <f>'[01_Entry.xlsx]Book'!D959</f>
        <v/>
      </c>
      <c r="D959" s="2">
        <f>'[01_Entry.xlsx]Book'!E959</f>
        <v/>
      </c>
      <c r="E959" s="2">
        <f>'[01_Entry.xlsx]Book'!O959</f>
        <v/>
      </c>
      <c r="F959" s="2">
        <f>'[01_Entry.xlsx]Book'!N959</f>
        <v/>
      </c>
      <c r="G959" s="3">
        <f>'[01_Entry.xlsx]Book'!L959</f>
        <v/>
      </c>
      <c r="H959" s="3">
        <f>'[01_Entry.xlsx]Book'!M959</f>
        <v/>
      </c>
      <c r="I959" s="3">
        <f>'[01_Entry.xlsx]Book'!K959</f>
        <v/>
      </c>
      <c r="J959" s="3">
        <f>'[01_Entry.xlsx]Book'!P959</f>
        <v/>
      </c>
      <c r="K959" s="3">
        <f>'[01_Entry.xlsx]Book'!F959</f>
        <v/>
      </c>
      <c r="L959" s="3">
        <f>'[01_Entry.xlsx]Book'!G959</f>
        <v/>
      </c>
      <c r="M959" s="3">
        <f>'[01_Entry.xlsx]Book'!I959</f>
        <v/>
      </c>
      <c r="N959" s="2">
        <f>IF($A959="","",MID($A959,6,2))</f>
        <v>0</v>
      </c>
      <c r="O959" s="2">
        <f>IF(OR($C959="",$C959&lt;&gt;'Inv'!$D$12),"",N(O$958)+1)</f>
        <v>0</v>
      </c>
    </row>
    <row r="960" spans="1:15">
      <c r="A960" s="2">
        <f>'[01_Entry.xlsx]Book'!A960</f>
        <v/>
      </c>
      <c r="B960" s="2">
        <f>'[01_Entry.xlsx]Book'!B960</f>
        <v/>
      </c>
      <c r="C960" s="2">
        <f>'[01_Entry.xlsx]Book'!D960</f>
        <v/>
      </c>
      <c r="D960" s="2">
        <f>'[01_Entry.xlsx]Book'!E960</f>
        <v/>
      </c>
      <c r="E960" s="2">
        <f>'[01_Entry.xlsx]Book'!O960</f>
        <v/>
      </c>
      <c r="F960" s="2">
        <f>'[01_Entry.xlsx]Book'!N960</f>
        <v/>
      </c>
      <c r="G960" s="3">
        <f>'[01_Entry.xlsx]Book'!L960</f>
        <v/>
      </c>
      <c r="H960" s="3">
        <f>'[01_Entry.xlsx]Book'!M960</f>
        <v/>
      </c>
      <c r="I960" s="3">
        <f>'[01_Entry.xlsx]Book'!K960</f>
        <v/>
      </c>
      <c r="J960" s="3">
        <f>'[01_Entry.xlsx]Book'!P960</f>
        <v/>
      </c>
      <c r="K960" s="3">
        <f>'[01_Entry.xlsx]Book'!F960</f>
        <v/>
      </c>
      <c r="L960" s="3">
        <f>'[01_Entry.xlsx]Book'!G960</f>
        <v/>
      </c>
      <c r="M960" s="3">
        <f>'[01_Entry.xlsx]Book'!I960</f>
        <v/>
      </c>
      <c r="N960" s="2">
        <f>IF($A960="","",MID($A960,6,2))</f>
        <v>0</v>
      </c>
      <c r="O960" s="2">
        <f>IF(OR($C960="",$C960&lt;&gt;'Inv'!$D$12),"",N(O$959)+1)</f>
        <v>0</v>
      </c>
    </row>
    <row r="961" spans="1:15">
      <c r="A961" s="2">
        <f>'[01_Entry.xlsx]Book'!A961</f>
        <v/>
      </c>
      <c r="B961" s="2">
        <f>'[01_Entry.xlsx]Book'!B961</f>
        <v/>
      </c>
      <c r="C961" s="2">
        <f>'[01_Entry.xlsx]Book'!D961</f>
        <v/>
      </c>
      <c r="D961" s="2">
        <f>'[01_Entry.xlsx]Book'!E961</f>
        <v/>
      </c>
      <c r="E961" s="2">
        <f>'[01_Entry.xlsx]Book'!O961</f>
        <v/>
      </c>
      <c r="F961" s="2">
        <f>'[01_Entry.xlsx]Book'!N961</f>
        <v/>
      </c>
      <c r="G961" s="3">
        <f>'[01_Entry.xlsx]Book'!L961</f>
        <v/>
      </c>
      <c r="H961" s="3">
        <f>'[01_Entry.xlsx]Book'!M961</f>
        <v/>
      </c>
      <c r="I961" s="3">
        <f>'[01_Entry.xlsx]Book'!K961</f>
        <v/>
      </c>
      <c r="J961" s="3">
        <f>'[01_Entry.xlsx]Book'!P961</f>
        <v/>
      </c>
      <c r="K961" s="3">
        <f>'[01_Entry.xlsx]Book'!F961</f>
        <v/>
      </c>
      <c r="L961" s="3">
        <f>'[01_Entry.xlsx]Book'!G961</f>
        <v/>
      </c>
      <c r="M961" s="3">
        <f>'[01_Entry.xlsx]Book'!I961</f>
        <v/>
      </c>
      <c r="N961" s="2">
        <f>IF($A961="","",MID($A961,6,2))</f>
        <v>0</v>
      </c>
      <c r="O961" s="2">
        <f>IF(OR($C961="",$C961&lt;&gt;'Inv'!$D$12),"",N(O$960)+1)</f>
        <v>0</v>
      </c>
    </row>
    <row r="962" spans="1:15">
      <c r="A962" s="2">
        <f>'[01_Entry.xlsx]Book'!A962</f>
        <v/>
      </c>
      <c r="B962" s="2">
        <f>'[01_Entry.xlsx]Book'!B962</f>
        <v/>
      </c>
      <c r="C962" s="2">
        <f>'[01_Entry.xlsx]Book'!D962</f>
        <v/>
      </c>
      <c r="D962" s="2">
        <f>'[01_Entry.xlsx]Book'!E962</f>
        <v/>
      </c>
      <c r="E962" s="2">
        <f>'[01_Entry.xlsx]Book'!O962</f>
        <v/>
      </c>
      <c r="F962" s="2">
        <f>'[01_Entry.xlsx]Book'!N962</f>
        <v/>
      </c>
      <c r="G962" s="3">
        <f>'[01_Entry.xlsx]Book'!L962</f>
        <v/>
      </c>
      <c r="H962" s="3">
        <f>'[01_Entry.xlsx]Book'!M962</f>
        <v/>
      </c>
      <c r="I962" s="3">
        <f>'[01_Entry.xlsx]Book'!K962</f>
        <v/>
      </c>
      <c r="J962" s="3">
        <f>'[01_Entry.xlsx]Book'!P962</f>
        <v/>
      </c>
      <c r="K962" s="3">
        <f>'[01_Entry.xlsx]Book'!F962</f>
        <v/>
      </c>
      <c r="L962" s="3">
        <f>'[01_Entry.xlsx]Book'!G962</f>
        <v/>
      </c>
      <c r="M962" s="3">
        <f>'[01_Entry.xlsx]Book'!I962</f>
        <v/>
      </c>
      <c r="N962" s="2">
        <f>IF($A962="","",MID($A962,6,2))</f>
        <v>0</v>
      </c>
      <c r="O962" s="2">
        <f>IF(OR($C962="",$C962&lt;&gt;'Inv'!$D$12),"",N(O$961)+1)</f>
        <v>0</v>
      </c>
    </row>
    <row r="963" spans="1:15">
      <c r="A963" s="2">
        <f>'[01_Entry.xlsx]Book'!A963</f>
        <v/>
      </c>
      <c r="B963" s="2">
        <f>'[01_Entry.xlsx]Book'!B963</f>
        <v/>
      </c>
      <c r="C963" s="2">
        <f>'[01_Entry.xlsx]Book'!D963</f>
        <v/>
      </c>
      <c r="D963" s="2">
        <f>'[01_Entry.xlsx]Book'!E963</f>
        <v/>
      </c>
      <c r="E963" s="2">
        <f>'[01_Entry.xlsx]Book'!O963</f>
        <v/>
      </c>
      <c r="F963" s="2">
        <f>'[01_Entry.xlsx]Book'!N963</f>
        <v/>
      </c>
      <c r="G963" s="3">
        <f>'[01_Entry.xlsx]Book'!L963</f>
        <v/>
      </c>
      <c r="H963" s="3">
        <f>'[01_Entry.xlsx]Book'!M963</f>
        <v/>
      </c>
      <c r="I963" s="3">
        <f>'[01_Entry.xlsx]Book'!K963</f>
        <v/>
      </c>
      <c r="J963" s="3">
        <f>'[01_Entry.xlsx]Book'!P963</f>
        <v/>
      </c>
      <c r="K963" s="3">
        <f>'[01_Entry.xlsx]Book'!F963</f>
        <v/>
      </c>
      <c r="L963" s="3">
        <f>'[01_Entry.xlsx]Book'!G963</f>
        <v/>
      </c>
      <c r="M963" s="3">
        <f>'[01_Entry.xlsx]Book'!I963</f>
        <v/>
      </c>
      <c r="N963" s="2">
        <f>IF($A963="","",MID($A963,6,2))</f>
        <v>0</v>
      </c>
      <c r="O963" s="2">
        <f>IF(OR($C963="",$C963&lt;&gt;'Inv'!$D$12),"",N(O$962)+1)</f>
        <v>0</v>
      </c>
    </row>
    <row r="964" spans="1:15">
      <c r="A964" s="2">
        <f>'[01_Entry.xlsx]Book'!A964</f>
        <v/>
      </c>
      <c r="B964" s="2">
        <f>'[01_Entry.xlsx]Book'!B964</f>
        <v/>
      </c>
      <c r="C964" s="2">
        <f>'[01_Entry.xlsx]Book'!D964</f>
        <v/>
      </c>
      <c r="D964" s="2">
        <f>'[01_Entry.xlsx]Book'!E964</f>
        <v/>
      </c>
      <c r="E964" s="2">
        <f>'[01_Entry.xlsx]Book'!O964</f>
        <v/>
      </c>
      <c r="F964" s="2">
        <f>'[01_Entry.xlsx]Book'!N964</f>
        <v/>
      </c>
      <c r="G964" s="3">
        <f>'[01_Entry.xlsx]Book'!L964</f>
        <v/>
      </c>
      <c r="H964" s="3">
        <f>'[01_Entry.xlsx]Book'!M964</f>
        <v/>
      </c>
      <c r="I964" s="3">
        <f>'[01_Entry.xlsx]Book'!K964</f>
        <v/>
      </c>
      <c r="J964" s="3">
        <f>'[01_Entry.xlsx]Book'!P964</f>
        <v/>
      </c>
      <c r="K964" s="3">
        <f>'[01_Entry.xlsx]Book'!F964</f>
        <v/>
      </c>
      <c r="L964" s="3">
        <f>'[01_Entry.xlsx]Book'!G964</f>
        <v/>
      </c>
      <c r="M964" s="3">
        <f>'[01_Entry.xlsx]Book'!I964</f>
        <v/>
      </c>
      <c r="N964" s="2">
        <f>IF($A964="","",MID($A964,6,2))</f>
        <v>0</v>
      </c>
      <c r="O964" s="2">
        <f>IF(OR($C964="",$C964&lt;&gt;'Inv'!$D$12),"",N(O$963)+1)</f>
        <v>0</v>
      </c>
    </row>
    <row r="965" spans="1:15">
      <c r="A965" s="2">
        <f>'[01_Entry.xlsx]Book'!A965</f>
        <v/>
      </c>
      <c r="B965" s="2">
        <f>'[01_Entry.xlsx]Book'!B965</f>
        <v/>
      </c>
      <c r="C965" s="2">
        <f>'[01_Entry.xlsx]Book'!D965</f>
        <v/>
      </c>
      <c r="D965" s="2">
        <f>'[01_Entry.xlsx]Book'!E965</f>
        <v/>
      </c>
      <c r="E965" s="2">
        <f>'[01_Entry.xlsx]Book'!O965</f>
        <v/>
      </c>
      <c r="F965" s="2">
        <f>'[01_Entry.xlsx]Book'!N965</f>
        <v/>
      </c>
      <c r="G965" s="3">
        <f>'[01_Entry.xlsx]Book'!L965</f>
        <v/>
      </c>
      <c r="H965" s="3">
        <f>'[01_Entry.xlsx]Book'!M965</f>
        <v/>
      </c>
      <c r="I965" s="3">
        <f>'[01_Entry.xlsx]Book'!K965</f>
        <v/>
      </c>
      <c r="J965" s="3">
        <f>'[01_Entry.xlsx]Book'!P965</f>
        <v/>
      </c>
      <c r="K965" s="3">
        <f>'[01_Entry.xlsx]Book'!F965</f>
        <v/>
      </c>
      <c r="L965" s="3">
        <f>'[01_Entry.xlsx]Book'!G965</f>
        <v/>
      </c>
      <c r="M965" s="3">
        <f>'[01_Entry.xlsx]Book'!I965</f>
        <v/>
      </c>
      <c r="N965" s="2">
        <f>IF($A965="","",MID($A965,6,2))</f>
        <v>0</v>
      </c>
      <c r="O965" s="2">
        <f>IF(OR($C965="",$C965&lt;&gt;'Inv'!$D$12),"",N(O$964)+1)</f>
        <v>0</v>
      </c>
    </row>
    <row r="966" spans="1:15">
      <c r="A966" s="2">
        <f>'[01_Entry.xlsx]Book'!A966</f>
        <v/>
      </c>
      <c r="B966" s="2">
        <f>'[01_Entry.xlsx]Book'!B966</f>
        <v/>
      </c>
      <c r="C966" s="2">
        <f>'[01_Entry.xlsx]Book'!D966</f>
        <v/>
      </c>
      <c r="D966" s="2">
        <f>'[01_Entry.xlsx]Book'!E966</f>
        <v/>
      </c>
      <c r="E966" s="2">
        <f>'[01_Entry.xlsx]Book'!O966</f>
        <v/>
      </c>
      <c r="F966" s="2">
        <f>'[01_Entry.xlsx]Book'!N966</f>
        <v/>
      </c>
      <c r="G966" s="3">
        <f>'[01_Entry.xlsx]Book'!L966</f>
        <v/>
      </c>
      <c r="H966" s="3">
        <f>'[01_Entry.xlsx]Book'!M966</f>
        <v/>
      </c>
      <c r="I966" s="3">
        <f>'[01_Entry.xlsx]Book'!K966</f>
        <v/>
      </c>
      <c r="J966" s="3">
        <f>'[01_Entry.xlsx]Book'!P966</f>
        <v/>
      </c>
      <c r="K966" s="3">
        <f>'[01_Entry.xlsx]Book'!F966</f>
        <v/>
      </c>
      <c r="L966" s="3">
        <f>'[01_Entry.xlsx]Book'!G966</f>
        <v/>
      </c>
      <c r="M966" s="3">
        <f>'[01_Entry.xlsx]Book'!I966</f>
        <v/>
      </c>
      <c r="N966" s="2">
        <f>IF($A966="","",MID($A966,6,2))</f>
        <v>0</v>
      </c>
      <c r="O966" s="2">
        <f>IF(OR($C966="",$C966&lt;&gt;'Inv'!$D$12),"",N(O$965)+1)</f>
        <v>0</v>
      </c>
    </row>
    <row r="967" spans="1:15">
      <c r="A967" s="2">
        <f>'[01_Entry.xlsx]Book'!A967</f>
        <v/>
      </c>
      <c r="B967" s="2">
        <f>'[01_Entry.xlsx]Book'!B967</f>
        <v/>
      </c>
      <c r="C967" s="2">
        <f>'[01_Entry.xlsx]Book'!D967</f>
        <v/>
      </c>
      <c r="D967" s="2">
        <f>'[01_Entry.xlsx]Book'!E967</f>
        <v/>
      </c>
      <c r="E967" s="2">
        <f>'[01_Entry.xlsx]Book'!O967</f>
        <v/>
      </c>
      <c r="F967" s="2">
        <f>'[01_Entry.xlsx]Book'!N967</f>
        <v/>
      </c>
      <c r="G967" s="3">
        <f>'[01_Entry.xlsx]Book'!L967</f>
        <v/>
      </c>
      <c r="H967" s="3">
        <f>'[01_Entry.xlsx]Book'!M967</f>
        <v/>
      </c>
      <c r="I967" s="3">
        <f>'[01_Entry.xlsx]Book'!K967</f>
        <v/>
      </c>
      <c r="J967" s="3">
        <f>'[01_Entry.xlsx]Book'!P967</f>
        <v/>
      </c>
      <c r="K967" s="3">
        <f>'[01_Entry.xlsx]Book'!F967</f>
        <v/>
      </c>
      <c r="L967" s="3">
        <f>'[01_Entry.xlsx]Book'!G967</f>
        <v/>
      </c>
      <c r="M967" s="3">
        <f>'[01_Entry.xlsx]Book'!I967</f>
        <v/>
      </c>
      <c r="N967" s="2">
        <f>IF($A967="","",MID($A967,6,2))</f>
        <v>0</v>
      </c>
      <c r="O967" s="2">
        <f>IF(OR($C967="",$C967&lt;&gt;'Inv'!$D$12),"",N(O$966)+1)</f>
        <v>0</v>
      </c>
    </row>
    <row r="968" spans="1:15">
      <c r="A968" s="2">
        <f>'[01_Entry.xlsx]Book'!A968</f>
        <v/>
      </c>
      <c r="B968" s="2">
        <f>'[01_Entry.xlsx]Book'!B968</f>
        <v/>
      </c>
      <c r="C968" s="2">
        <f>'[01_Entry.xlsx]Book'!D968</f>
        <v/>
      </c>
      <c r="D968" s="2">
        <f>'[01_Entry.xlsx]Book'!E968</f>
        <v/>
      </c>
      <c r="E968" s="2">
        <f>'[01_Entry.xlsx]Book'!O968</f>
        <v/>
      </c>
      <c r="F968" s="2">
        <f>'[01_Entry.xlsx]Book'!N968</f>
        <v/>
      </c>
      <c r="G968" s="3">
        <f>'[01_Entry.xlsx]Book'!L968</f>
        <v/>
      </c>
      <c r="H968" s="3">
        <f>'[01_Entry.xlsx]Book'!M968</f>
        <v/>
      </c>
      <c r="I968" s="3">
        <f>'[01_Entry.xlsx]Book'!K968</f>
        <v/>
      </c>
      <c r="J968" s="3">
        <f>'[01_Entry.xlsx]Book'!P968</f>
        <v/>
      </c>
      <c r="K968" s="3">
        <f>'[01_Entry.xlsx]Book'!F968</f>
        <v/>
      </c>
      <c r="L968" s="3">
        <f>'[01_Entry.xlsx]Book'!G968</f>
        <v/>
      </c>
      <c r="M968" s="3">
        <f>'[01_Entry.xlsx]Book'!I968</f>
        <v/>
      </c>
      <c r="N968" s="2">
        <f>IF($A968="","",MID($A968,6,2))</f>
        <v>0</v>
      </c>
      <c r="O968" s="2">
        <f>IF(OR($C968="",$C968&lt;&gt;'Inv'!$D$12),"",N(O$967)+1)</f>
        <v>0</v>
      </c>
    </row>
    <row r="969" spans="1:15">
      <c r="A969" s="2">
        <f>'[01_Entry.xlsx]Book'!A969</f>
        <v/>
      </c>
      <c r="B969" s="2">
        <f>'[01_Entry.xlsx]Book'!B969</f>
        <v/>
      </c>
      <c r="C969" s="2">
        <f>'[01_Entry.xlsx]Book'!D969</f>
        <v/>
      </c>
      <c r="D969" s="2">
        <f>'[01_Entry.xlsx]Book'!E969</f>
        <v/>
      </c>
      <c r="E969" s="2">
        <f>'[01_Entry.xlsx]Book'!O969</f>
        <v/>
      </c>
      <c r="F969" s="2">
        <f>'[01_Entry.xlsx]Book'!N969</f>
        <v/>
      </c>
      <c r="G969" s="3">
        <f>'[01_Entry.xlsx]Book'!L969</f>
        <v/>
      </c>
      <c r="H969" s="3">
        <f>'[01_Entry.xlsx]Book'!M969</f>
        <v/>
      </c>
      <c r="I969" s="3">
        <f>'[01_Entry.xlsx]Book'!K969</f>
        <v/>
      </c>
      <c r="J969" s="3">
        <f>'[01_Entry.xlsx]Book'!P969</f>
        <v/>
      </c>
      <c r="K969" s="3">
        <f>'[01_Entry.xlsx]Book'!F969</f>
        <v/>
      </c>
      <c r="L969" s="3">
        <f>'[01_Entry.xlsx]Book'!G969</f>
        <v/>
      </c>
      <c r="M969" s="3">
        <f>'[01_Entry.xlsx]Book'!I969</f>
        <v/>
      </c>
      <c r="N969" s="2">
        <f>IF($A969="","",MID($A969,6,2))</f>
        <v>0</v>
      </c>
      <c r="O969" s="2">
        <f>IF(OR($C969="",$C969&lt;&gt;'Inv'!$D$12),"",N(O$968)+1)</f>
        <v>0</v>
      </c>
    </row>
    <row r="970" spans="1:15">
      <c r="A970" s="2">
        <f>'[01_Entry.xlsx]Book'!A970</f>
        <v/>
      </c>
      <c r="B970" s="2">
        <f>'[01_Entry.xlsx]Book'!B970</f>
        <v/>
      </c>
      <c r="C970" s="2">
        <f>'[01_Entry.xlsx]Book'!D970</f>
        <v/>
      </c>
      <c r="D970" s="2">
        <f>'[01_Entry.xlsx]Book'!E970</f>
        <v/>
      </c>
      <c r="E970" s="2">
        <f>'[01_Entry.xlsx]Book'!O970</f>
        <v/>
      </c>
      <c r="F970" s="2">
        <f>'[01_Entry.xlsx]Book'!N970</f>
        <v/>
      </c>
      <c r="G970" s="3">
        <f>'[01_Entry.xlsx]Book'!L970</f>
        <v/>
      </c>
      <c r="H970" s="3">
        <f>'[01_Entry.xlsx]Book'!M970</f>
        <v/>
      </c>
      <c r="I970" s="3">
        <f>'[01_Entry.xlsx]Book'!K970</f>
        <v/>
      </c>
      <c r="J970" s="3">
        <f>'[01_Entry.xlsx]Book'!P970</f>
        <v/>
      </c>
      <c r="K970" s="3">
        <f>'[01_Entry.xlsx]Book'!F970</f>
        <v/>
      </c>
      <c r="L970" s="3">
        <f>'[01_Entry.xlsx]Book'!G970</f>
        <v/>
      </c>
      <c r="M970" s="3">
        <f>'[01_Entry.xlsx]Book'!I970</f>
        <v/>
      </c>
      <c r="N970" s="2">
        <f>IF($A970="","",MID($A970,6,2))</f>
        <v>0</v>
      </c>
      <c r="O970" s="2">
        <f>IF(OR($C970="",$C970&lt;&gt;'Inv'!$D$12),"",N(O$969)+1)</f>
        <v>0</v>
      </c>
    </row>
    <row r="971" spans="1:15">
      <c r="A971" s="2">
        <f>'[01_Entry.xlsx]Book'!A971</f>
        <v/>
      </c>
      <c r="B971" s="2">
        <f>'[01_Entry.xlsx]Book'!B971</f>
        <v/>
      </c>
      <c r="C971" s="2">
        <f>'[01_Entry.xlsx]Book'!D971</f>
        <v/>
      </c>
      <c r="D971" s="2">
        <f>'[01_Entry.xlsx]Book'!E971</f>
        <v/>
      </c>
      <c r="E971" s="2">
        <f>'[01_Entry.xlsx]Book'!O971</f>
        <v/>
      </c>
      <c r="F971" s="2">
        <f>'[01_Entry.xlsx]Book'!N971</f>
        <v/>
      </c>
      <c r="G971" s="3">
        <f>'[01_Entry.xlsx]Book'!L971</f>
        <v/>
      </c>
      <c r="H971" s="3">
        <f>'[01_Entry.xlsx]Book'!M971</f>
        <v/>
      </c>
      <c r="I971" s="3">
        <f>'[01_Entry.xlsx]Book'!K971</f>
        <v/>
      </c>
      <c r="J971" s="3">
        <f>'[01_Entry.xlsx]Book'!P971</f>
        <v/>
      </c>
      <c r="K971" s="3">
        <f>'[01_Entry.xlsx]Book'!F971</f>
        <v/>
      </c>
      <c r="L971" s="3">
        <f>'[01_Entry.xlsx]Book'!G971</f>
        <v/>
      </c>
      <c r="M971" s="3">
        <f>'[01_Entry.xlsx]Book'!I971</f>
        <v/>
      </c>
      <c r="N971" s="2">
        <f>IF($A971="","",MID($A971,6,2))</f>
        <v>0</v>
      </c>
      <c r="O971" s="2">
        <f>IF(OR($C971="",$C971&lt;&gt;'Inv'!$D$12),"",N(O$970)+1)</f>
        <v>0</v>
      </c>
    </row>
    <row r="972" spans="1:15">
      <c r="A972" s="2">
        <f>'[01_Entry.xlsx]Book'!A972</f>
        <v/>
      </c>
      <c r="B972" s="2">
        <f>'[01_Entry.xlsx]Book'!B972</f>
        <v/>
      </c>
      <c r="C972" s="2">
        <f>'[01_Entry.xlsx]Book'!D972</f>
        <v/>
      </c>
      <c r="D972" s="2">
        <f>'[01_Entry.xlsx]Book'!E972</f>
        <v/>
      </c>
      <c r="E972" s="2">
        <f>'[01_Entry.xlsx]Book'!O972</f>
        <v/>
      </c>
      <c r="F972" s="2">
        <f>'[01_Entry.xlsx]Book'!N972</f>
        <v/>
      </c>
      <c r="G972" s="3">
        <f>'[01_Entry.xlsx]Book'!L972</f>
        <v/>
      </c>
      <c r="H972" s="3">
        <f>'[01_Entry.xlsx]Book'!M972</f>
        <v/>
      </c>
      <c r="I972" s="3">
        <f>'[01_Entry.xlsx]Book'!K972</f>
        <v/>
      </c>
      <c r="J972" s="3">
        <f>'[01_Entry.xlsx]Book'!P972</f>
        <v/>
      </c>
      <c r="K972" s="3">
        <f>'[01_Entry.xlsx]Book'!F972</f>
        <v/>
      </c>
      <c r="L972" s="3">
        <f>'[01_Entry.xlsx]Book'!G972</f>
        <v/>
      </c>
      <c r="M972" s="3">
        <f>'[01_Entry.xlsx]Book'!I972</f>
        <v/>
      </c>
      <c r="N972" s="2">
        <f>IF($A972="","",MID($A972,6,2))</f>
        <v>0</v>
      </c>
      <c r="O972" s="2">
        <f>IF(OR($C972="",$C972&lt;&gt;'Inv'!$D$12),"",N(O$971)+1)</f>
        <v>0</v>
      </c>
    </row>
    <row r="973" spans="1:15">
      <c r="A973" s="2">
        <f>'[01_Entry.xlsx]Book'!A973</f>
        <v/>
      </c>
      <c r="B973" s="2">
        <f>'[01_Entry.xlsx]Book'!B973</f>
        <v/>
      </c>
      <c r="C973" s="2">
        <f>'[01_Entry.xlsx]Book'!D973</f>
        <v/>
      </c>
      <c r="D973" s="2">
        <f>'[01_Entry.xlsx]Book'!E973</f>
        <v/>
      </c>
      <c r="E973" s="2">
        <f>'[01_Entry.xlsx]Book'!O973</f>
        <v/>
      </c>
      <c r="F973" s="2">
        <f>'[01_Entry.xlsx]Book'!N973</f>
        <v/>
      </c>
      <c r="G973" s="3">
        <f>'[01_Entry.xlsx]Book'!L973</f>
        <v/>
      </c>
      <c r="H973" s="3">
        <f>'[01_Entry.xlsx]Book'!M973</f>
        <v/>
      </c>
      <c r="I973" s="3">
        <f>'[01_Entry.xlsx]Book'!K973</f>
        <v/>
      </c>
      <c r="J973" s="3">
        <f>'[01_Entry.xlsx]Book'!P973</f>
        <v/>
      </c>
      <c r="K973" s="3">
        <f>'[01_Entry.xlsx]Book'!F973</f>
        <v/>
      </c>
      <c r="L973" s="3">
        <f>'[01_Entry.xlsx]Book'!G973</f>
        <v/>
      </c>
      <c r="M973" s="3">
        <f>'[01_Entry.xlsx]Book'!I973</f>
        <v/>
      </c>
      <c r="N973" s="2">
        <f>IF($A973="","",MID($A973,6,2))</f>
        <v>0</v>
      </c>
      <c r="O973" s="2">
        <f>IF(OR($C973="",$C973&lt;&gt;'Inv'!$D$12),"",N(O$972)+1)</f>
        <v>0</v>
      </c>
    </row>
    <row r="974" spans="1:15">
      <c r="A974" s="2">
        <f>'[01_Entry.xlsx]Book'!A974</f>
        <v/>
      </c>
      <c r="B974" s="2">
        <f>'[01_Entry.xlsx]Book'!B974</f>
        <v/>
      </c>
      <c r="C974" s="2">
        <f>'[01_Entry.xlsx]Book'!D974</f>
        <v/>
      </c>
      <c r="D974" s="2">
        <f>'[01_Entry.xlsx]Book'!E974</f>
        <v/>
      </c>
      <c r="E974" s="2">
        <f>'[01_Entry.xlsx]Book'!O974</f>
        <v/>
      </c>
      <c r="F974" s="2">
        <f>'[01_Entry.xlsx]Book'!N974</f>
        <v/>
      </c>
      <c r="G974" s="3">
        <f>'[01_Entry.xlsx]Book'!L974</f>
        <v/>
      </c>
      <c r="H974" s="3">
        <f>'[01_Entry.xlsx]Book'!M974</f>
        <v/>
      </c>
      <c r="I974" s="3">
        <f>'[01_Entry.xlsx]Book'!K974</f>
        <v/>
      </c>
      <c r="J974" s="3">
        <f>'[01_Entry.xlsx]Book'!P974</f>
        <v/>
      </c>
      <c r="K974" s="3">
        <f>'[01_Entry.xlsx]Book'!F974</f>
        <v/>
      </c>
      <c r="L974" s="3">
        <f>'[01_Entry.xlsx]Book'!G974</f>
        <v/>
      </c>
      <c r="M974" s="3">
        <f>'[01_Entry.xlsx]Book'!I974</f>
        <v/>
      </c>
      <c r="N974" s="2">
        <f>IF($A974="","",MID($A974,6,2))</f>
        <v>0</v>
      </c>
      <c r="O974" s="2">
        <f>IF(OR($C974="",$C974&lt;&gt;'Inv'!$D$12),"",N(O$973)+1)</f>
        <v>0</v>
      </c>
    </row>
    <row r="975" spans="1:15">
      <c r="A975" s="2">
        <f>'[01_Entry.xlsx]Book'!A975</f>
        <v/>
      </c>
      <c r="B975" s="2">
        <f>'[01_Entry.xlsx]Book'!B975</f>
        <v/>
      </c>
      <c r="C975" s="2">
        <f>'[01_Entry.xlsx]Book'!D975</f>
        <v/>
      </c>
      <c r="D975" s="2">
        <f>'[01_Entry.xlsx]Book'!E975</f>
        <v/>
      </c>
      <c r="E975" s="2">
        <f>'[01_Entry.xlsx]Book'!O975</f>
        <v/>
      </c>
      <c r="F975" s="2">
        <f>'[01_Entry.xlsx]Book'!N975</f>
        <v/>
      </c>
      <c r="G975" s="3">
        <f>'[01_Entry.xlsx]Book'!L975</f>
        <v/>
      </c>
      <c r="H975" s="3">
        <f>'[01_Entry.xlsx]Book'!M975</f>
        <v/>
      </c>
      <c r="I975" s="3">
        <f>'[01_Entry.xlsx]Book'!K975</f>
        <v/>
      </c>
      <c r="J975" s="3">
        <f>'[01_Entry.xlsx]Book'!P975</f>
        <v/>
      </c>
      <c r="K975" s="3">
        <f>'[01_Entry.xlsx]Book'!F975</f>
        <v/>
      </c>
      <c r="L975" s="3">
        <f>'[01_Entry.xlsx]Book'!G975</f>
        <v/>
      </c>
      <c r="M975" s="3">
        <f>'[01_Entry.xlsx]Book'!I975</f>
        <v/>
      </c>
      <c r="N975" s="2">
        <f>IF($A975="","",MID($A975,6,2))</f>
        <v>0</v>
      </c>
      <c r="O975" s="2">
        <f>IF(OR($C975="",$C975&lt;&gt;'Inv'!$D$12),"",N(O$974)+1)</f>
        <v>0</v>
      </c>
    </row>
    <row r="976" spans="1:15">
      <c r="A976" s="2">
        <f>'[01_Entry.xlsx]Book'!A976</f>
        <v/>
      </c>
      <c r="B976" s="2">
        <f>'[01_Entry.xlsx]Book'!B976</f>
        <v/>
      </c>
      <c r="C976" s="2">
        <f>'[01_Entry.xlsx]Book'!D976</f>
        <v/>
      </c>
      <c r="D976" s="2">
        <f>'[01_Entry.xlsx]Book'!E976</f>
        <v/>
      </c>
      <c r="E976" s="2">
        <f>'[01_Entry.xlsx]Book'!O976</f>
        <v/>
      </c>
      <c r="F976" s="2">
        <f>'[01_Entry.xlsx]Book'!N976</f>
        <v/>
      </c>
      <c r="G976" s="3">
        <f>'[01_Entry.xlsx]Book'!L976</f>
        <v/>
      </c>
      <c r="H976" s="3">
        <f>'[01_Entry.xlsx]Book'!M976</f>
        <v/>
      </c>
      <c r="I976" s="3">
        <f>'[01_Entry.xlsx]Book'!K976</f>
        <v/>
      </c>
      <c r="J976" s="3">
        <f>'[01_Entry.xlsx]Book'!P976</f>
        <v/>
      </c>
      <c r="K976" s="3">
        <f>'[01_Entry.xlsx]Book'!F976</f>
        <v/>
      </c>
      <c r="L976" s="3">
        <f>'[01_Entry.xlsx]Book'!G976</f>
        <v/>
      </c>
      <c r="M976" s="3">
        <f>'[01_Entry.xlsx]Book'!I976</f>
        <v/>
      </c>
      <c r="N976" s="2">
        <f>IF($A976="","",MID($A976,6,2))</f>
        <v>0</v>
      </c>
      <c r="O976" s="2">
        <f>IF(OR($C976="",$C976&lt;&gt;'Inv'!$D$12),"",N(O$975)+1)</f>
        <v>0</v>
      </c>
    </row>
    <row r="977" spans="1:15">
      <c r="A977" s="2">
        <f>'[01_Entry.xlsx]Book'!A977</f>
        <v/>
      </c>
      <c r="B977" s="2">
        <f>'[01_Entry.xlsx]Book'!B977</f>
        <v/>
      </c>
      <c r="C977" s="2">
        <f>'[01_Entry.xlsx]Book'!D977</f>
        <v/>
      </c>
      <c r="D977" s="2">
        <f>'[01_Entry.xlsx]Book'!E977</f>
        <v/>
      </c>
      <c r="E977" s="2">
        <f>'[01_Entry.xlsx]Book'!O977</f>
        <v/>
      </c>
      <c r="F977" s="2">
        <f>'[01_Entry.xlsx]Book'!N977</f>
        <v/>
      </c>
      <c r="G977" s="3">
        <f>'[01_Entry.xlsx]Book'!L977</f>
        <v/>
      </c>
      <c r="H977" s="3">
        <f>'[01_Entry.xlsx]Book'!M977</f>
        <v/>
      </c>
      <c r="I977" s="3">
        <f>'[01_Entry.xlsx]Book'!K977</f>
        <v/>
      </c>
      <c r="J977" s="3">
        <f>'[01_Entry.xlsx]Book'!P977</f>
        <v/>
      </c>
      <c r="K977" s="3">
        <f>'[01_Entry.xlsx]Book'!F977</f>
        <v/>
      </c>
      <c r="L977" s="3">
        <f>'[01_Entry.xlsx]Book'!G977</f>
        <v/>
      </c>
      <c r="M977" s="3">
        <f>'[01_Entry.xlsx]Book'!I977</f>
        <v/>
      </c>
      <c r="N977" s="2">
        <f>IF($A977="","",MID($A977,6,2))</f>
        <v>0</v>
      </c>
      <c r="O977" s="2">
        <f>IF(OR($C977="",$C977&lt;&gt;'Inv'!$D$12),"",N(O$976)+1)</f>
        <v>0</v>
      </c>
    </row>
    <row r="978" spans="1:15">
      <c r="A978" s="2">
        <f>'[01_Entry.xlsx]Book'!A978</f>
        <v/>
      </c>
      <c r="B978" s="2">
        <f>'[01_Entry.xlsx]Book'!B978</f>
        <v/>
      </c>
      <c r="C978" s="2">
        <f>'[01_Entry.xlsx]Book'!D978</f>
        <v/>
      </c>
      <c r="D978" s="2">
        <f>'[01_Entry.xlsx]Book'!E978</f>
        <v/>
      </c>
      <c r="E978" s="2">
        <f>'[01_Entry.xlsx]Book'!O978</f>
        <v/>
      </c>
      <c r="F978" s="2">
        <f>'[01_Entry.xlsx]Book'!N978</f>
        <v/>
      </c>
      <c r="G978" s="3">
        <f>'[01_Entry.xlsx]Book'!L978</f>
        <v/>
      </c>
      <c r="H978" s="3">
        <f>'[01_Entry.xlsx]Book'!M978</f>
        <v/>
      </c>
      <c r="I978" s="3">
        <f>'[01_Entry.xlsx]Book'!K978</f>
        <v/>
      </c>
      <c r="J978" s="3">
        <f>'[01_Entry.xlsx]Book'!P978</f>
        <v/>
      </c>
      <c r="K978" s="3">
        <f>'[01_Entry.xlsx]Book'!F978</f>
        <v/>
      </c>
      <c r="L978" s="3">
        <f>'[01_Entry.xlsx]Book'!G978</f>
        <v/>
      </c>
      <c r="M978" s="3">
        <f>'[01_Entry.xlsx]Book'!I978</f>
        <v/>
      </c>
      <c r="N978" s="2">
        <f>IF($A978="","",MID($A978,6,2))</f>
        <v>0</v>
      </c>
      <c r="O978" s="2">
        <f>IF(OR($C978="",$C978&lt;&gt;'Inv'!$D$12),"",N(O$977)+1)</f>
        <v>0</v>
      </c>
    </row>
    <row r="979" spans="1:15">
      <c r="A979" s="2">
        <f>'[01_Entry.xlsx]Book'!A979</f>
        <v/>
      </c>
      <c r="B979" s="2">
        <f>'[01_Entry.xlsx]Book'!B979</f>
        <v/>
      </c>
      <c r="C979" s="2">
        <f>'[01_Entry.xlsx]Book'!D979</f>
        <v/>
      </c>
      <c r="D979" s="2">
        <f>'[01_Entry.xlsx]Book'!E979</f>
        <v/>
      </c>
      <c r="E979" s="2">
        <f>'[01_Entry.xlsx]Book'!O979</f>
        <v/>
      </c>
      <c r="F979" s="2">
        <f>'[01_Entry.xlsx]Book'!N979</f>
        <v/>
      </c>
      <c r="G979" s="3">
        <f>'[01_Entry.xlsx]Book'!L979</f>
        <v/>
      </c>
      <c r="H979" s="3">
        <f>'[01_Entry.xlsx]Book'!M979</f>
        <v/>
      </c>
      <c r="I979" s="3">
        <f>'[01_Entry.xlsx]Book'!K979</f>
        <v/>
      </c>
      <c r="J979" s="3">
        <f>'[01_Entry.xlsx]Book'!P979</f>
        <v/>
      </c>
      <c r="K979" s="3">
        <f>'[01_Entry.xlsx]Book'!F979</f>
        <v/>
      </c>
      <c r="L979" s="3">
        <f>'[01_Entry.xlsx]Book'!G979</f>
        <v/>
      </c>
      <c r="M979" s="3">
        <f>'[01_Entry.xlsx]Book'!I979</f>
        <v/>
      </c>
      <c r="N979" s="2">
        <f>IF($A979="","",MID($A979,6,2))</f>
        <v>0</v>
      </c>
      <c r="O979" s="2">
        <f>IF(OR($C979="",$C979&lt;&gt;'Inv'!$D$12),"",N(O$978)+1)</f>
        <v>0</v>
      </c>
    </row>
    <row r="980" spans="1:15">
      <c r="A980" s="2">
        <f>'[01_Entry.xlsx]Book'!A980</f>
        <v/>
      </c>
      <c r="B980" s="2">
        <f>'[01_Entry.xlsx]Book'!B980</f>
        <v/>
      </c>
      <c r="C980" s="2">
        <f>'[01_Entry.xlsx]Book'!D980</f>
        <v/>
      </c>
      <c r="D980" s="2">
        <f>'[01_Entry.xlsx]Book'!E980</f>
        <v/>
      </c>
      <c r="E980" s="2">
        <f>'[01_Entry.xlsx]Book'!O980</f>
        <v/>
      </c>
      <c r="F980" s="2">
        <f>'[01_Entry.xlsx]Book'!N980</f>
        <v/>
      </c>
      <c r="G980" s="3">
        <f>'[01_Entry.xlsx]Book'!L980</f>
        <v/>
      </c>
      <c r="H980" s="3">
        <f>'[01_Entry.xlsx]Book'!M980</f>
        <v/>
      </c>
      <c r="I980" s="3">
        <f>'[01_Entry.xlsx]Book'!K980</f>
        <v/>
      </c>
      <c r="J980" s="3">
        <f>'[01_Entry.xlsx]Book'!P980</f>
        <v/>
      </c>
      <c r="K980" s="3">
        <f>'[01_Entry.xlsx]Book'!F980</f>
        <v/>
      </c>
      <c r="L980" s="3">
        <f>'[01_Entry.xlsx]Book'!G980</f>
        <v/>
      </c>
      <c r="M980" s="3">
        <f>'[01_Entry.xlsx]Book'!I980</f>
        <v/>
      </c>
      <c r="N980" s="2">
        <f>IF($A980="","",MID($A980,6,2))</f>
        <v>0</v>
      </c>
      <c r="O980" s="2">
        <f>IF(OR($C980="",$C980&lt;&gt;'Inv'!$D$12),"",N(O$979)+1)</f>
        <v>0</v>
      </c>
    </row>
    <row r="981" spans="1:15">
      <c r="A981" s="2">
        <f>'[01_Entry.xlsx]Book'!A981</f>
        <v/>
      </c>
      <c r="B981" s="2">
        <f>'[01_Entry.xlsx]Book'!B981</f>
        <v/>
      </c>
      <c r="C981" s="2">
        <f>'[01_Entry.xlsx]Book'!D981</f>
        <v/>
      </c>
      <c r="D981" s="2">
        <f>'[01_Entry.xlsx]Book'!E981</f>
        <v/>
      </c>
      <c r="E981" s="2">
        <f>'[01_Entry.xlsx]Book'!O981</f>
        <v/>
      </c>
      <c r="F981" s="2">
        <f>'[01_Entry.xlsx]Book'!N981</f>
        <v/>
      </c>
      <c r="G981" s="3">
        <f>'[01_Entry.xlsx]Book'!L981</f>
        <v/>
      </c>
      <c r="H981" s="3">
        <f>'[01_Entry.xlsx]Book'!M981</f>
        <v/>
      </c>
      <c r="I981" s="3">
        <f>'[01_Entry.xlsx]Book'!K981</f>
        <v/>
      </c>
      <c r="J981" s="3">
        <f>'[01_Entry.xlsx]Book'!P981</f>
        <v/>
      </c>
      <c r="K981" s="3">
        <f>'[01_Entry.xlsx]Book'!F981</f>
        <v/>
      </c>
      <c r="L981" s="3">
        <f>'[01_Entry.xlsx]Book'!G981</f>
        <v/>
      </c>
      <c r="M981" s="3">
        <f>'[01_Entry.xlsx]Book'!I981</f>
        <v/>
      </c>
      <c r="N981" s="2">
        <f>IF($A981="","",MID($A981,6,2))</f>
        <v>0</v>
      </c>
      <c r="O981" s="2">
        <f>IF(OR($C981="",$C981&lt;&gt;'Inv'!$D$12),"",N(O$980)+1)</f>
        <v>0</v>
      </c>
    </row>
    <row r="982" spans="1:15">
      <c r="A982" s="2">
        <f>'[01_Entry.xlsx]Book'!A982</f>
        <v/>
      </c>
      <c r="B982" s="2">
        <f>'[01_Entry.xlsx]Book'!B982</f>
        <v/>
      </c>
      <c r="C982" s="2">
        <f>'[01_Entry.xlsx]Book'!D982</f>
        <v/>
      </c>
      <c r="D982" s="2">
        <f>'[01_Entry.xlsx]Book'!E982</f>
        <v/>
      </c>
      <c r="E982" s="2">
        <f>'[01_Entry.xlsx]Book'!O982</f>
        <v/>
      </c>
      <c r="F982" s="2">
        <f>'[01_Entry.xlsx]Book'!N982</f>
        <v/>
      </c>
      <c r="G982" s="3">
        <f>'[01_Entry.xlsx]Book'!L982</f>
        <v/>
      </c>
      <c r="H982" s="3">
        <f>'[01_Entry.xlsx]Book'!M982</f>
        <v/>
      </c>
      <c r="I982" s="3">
        <f>'[01_Entry.xlsx]Book'!K982</f>
        <v/>
      </c>
      <c r="J982" s="3">
        <f>'[01_Entry.xlsx]Book'!P982</f>
        <v/>
      </c>
      <c r="K982" s="3">
        <f>'[01_Entry.xlsx]Book'!F982</f>
        <v/>
      </c>
      <c r="L982" s="3">
        <f>'[01_Entry.xlsx]Book'!G982</f>
        <v/>
      </c>
      <c r="M982" s="3">
        <f>'[01_Entry.xlsx]Book'!I982</f>
        <v/>
      </c>
      <c r="N982" s="2">
        <f>IF($A982="","",MID($A982,6,2))</f>
        <v>0</v>
      </c>
      <c r="O982" s="2">
        <f>IF(OR($C982="",$C982&lt;&gt;'Inv'!$D$12),"",N(O$981)+1)</f>
        <v>0</v>
      </c>
    </row>
    <row r="983" spans="1:15">
      <c r="A983" s="2">
        <f>'[01_Entry.xlsx]Book'!A983</f>
        <v/>
      </c>
      <c r="B983" s="2">
        <f>'[01_Entry.xlsx]Book'!B983</f>
        <v/>
      </c>
      <c r="C983" s="2">
        <f>'[01_Entry.xlsx]Book'!D983</f>
        <v/>
      </c>
      <c r="D983" s="2">
        <f>'[01_Entry.xlsx]Book'!E983</f>
        <v/>
      </c>
      <c r="E983" s="2">
        <f>'[01_Entry.xlsx]Book'!O983</f>
        <v/>
      </c>
      <c r="F983" s="2">
        <f>'[01_Entry.xlsx]Book'!N983</f>
        <v/>
      </c>
      <c r="G983" s="3">
        <f>'[01_Entry.xlsx]Book'!L983</f>
        <v/>
      </c>
      <c r="H983" s="3">
        <f>'[01_Entry.xlsx]Book'!M983</f>
        <v/>
      </c>
      <c r="I983" s="3">
        <f>'[01_Entry.xlsx]Book'!K983</f>
        <v/>
      </c>
      <c r="J983" s="3">
        <f>'[01_Entry.xlsx]Book'!P983</f>
        <v/>
      </c>
      <c r="K983" s="3">
        <f>'[01_Entry.xlsx]Book'!F983</f>
        <v/>
      </c>
      <c r="L983" s="3">
        <f>'[01_Entry.xlsx]Book'!G983</f>
        <v/>
      </c>
      <c r="M983" s="3">
        <f>'[01_Entry.xlsx]Book'!I983</f>
        <v/>
      </c>
      <c r="N983" s="2">
        <f>IF($A983="","",MID($A983,6,2))</f>
        <v>0</v>
      </c>
      <c r="O983" s="2">
        <f>IF(OR($C983="",$C983&lt;&gt;'Inv'!$D$12),"",N(O$982)+1)</f>
        <v>0</v>
      </c>
    </row>
    <row r="984" spans="1:15">
      <c r="A984" s="2">
        <f>'[01_Entry.xlsx]Book'!A984</f>
        <v/>
      </c>
      <c r="B984" s="2">
        <f>'[01_Entry.xlsx]Book'!B984</f>
        <v/>
      </c>
      <c r="C984" s="2">
        <f>'[01_Entry.xlsx]Book'!D984</f>
        <v/>
      </c>
      <c r="D984" s="2">
        <f>'[01_Entry.xlsx]Book'!E984</f>
        <v/>
      </c>
      <c r="E984" s="2">
        <f>'[01_Entry.xlsx]Book'!O984</f>
        <v/>
      </c>
      <c r="F984" s="2">
        <f>'[01_Entry.xlsx]Book'!N984</f>
        <v/>
      </c>
      <c r="G984" s="3">
        <f>'[01_Entry.xlsx]Book'!L984</f>
        <v/>
      </c>
      <c r="H984" s="3">
        <f>'[01_Entry.xlsx]Book'!M984</f>
        <v/>
      </c>
      <c r="I984" s="3">
        <f>'[01_Entry.xlsx]Book'!K984</f>
        <v/>
      </c>
      <c r="J984" s="3">
        <f>'[01_Entry.xlsx]Book'!P984</f>
        <v/>
      </c>
      <c r="K984" s="3">
        <f>'[01_Entry.xlsx]Book'!F984</f>
        <v/>
      </c>
      <c r="L984" s="3">
        <f>'[01_Entry.xlsx]Book'!G984</f>
        <v/>
      </c>
      <c r="M984" s="3">
        <f>'[01_Entry.xlsx]Book'!I984</f>
        <v/>
      </c>
      <c r="N984" s="2">
        <f>IF($A984="","",MID($A984,6,2))</f>
        <v>0</v>
      </c>
      <c r="O984" s="2">
        <f>IF(OR($C984="",$C984&lt;&gt;'Inv'!$D$12),"",N(O$983)+1)</f>
        <v>0</v>
      </c>
    </row>
    <row r="985" spans="1:15">
      <c r="A985" s="2">
        <f>'[01_Entry.xlsx]Book'!A985</f>
        <v/>
      </c>
      <c r="B985" s="2">
        <f>'[01_Entry.xlsx]Book'!B985</f>
        <v/>
      </c>
      <c r="C985" s="2">
        <f>'[01_Entry.xlsx]Book'!D985</f>
        <v/>
      </c>
      <c r="D985" s="2">
        <f>'[01_Entry.xlsx]Book'!E985</f>
        <v/>
      </c>
      <c r="E985" s="2">
        <f>'[01_Entry.xlsx]Book'!O985</f>
        <v/>
      </c>
      <c r="F985" s="2">
        <f>'[01_Entry.xlsx]Book'!N985</f>
        <v/>
      </c>
      <c r="G985" s="3">
        <f>'[01_Entry.xlsx]Book'!L985</f>
        <v/>
      </c>
      <c r="H985" s="3">
        <f>'[01_Entry.xlsx]Book'!M985</f>
        <v/>
      </c>
      <c r="I985" s="3">
        <f>'[01_Entry.xlsx]Book'!K985</f>
        <v/>
      </c>
      <c r="J985" s="3">
        <f>'[01_Entry.xlsx]Book'!P985</f>
        <v/>
      </c>
      <c r="K985" s="3">
        <f>'[01_Entry.xlsx]Book'!F985</f>
        <v/>
      </c>
      <c r="L985" s="3">
        <f>'[01_Entry.xlsx]Book'!G985</f>
        <v/>
      </c>
      <c r="M985" s="3">
        <f>'[01_Entry.xlsx]Book'!I985</f>
        <v/>
      </c>
      <c r="N985" s="2">
        <f>IF($A985="","",MID($A985,6,2))</f>
        <v>0</v>
      </c>
      <c r="O985" s="2">
        <f>IF(OR($C985="",$C985&lt;&gt;'Inv'!$D$12),"",N(O$984)+1)</f>
        <v>0</v>
      </c>
    </row>
    <row r="986" spans="1:15">
      <c r="A986" s="2">
        <f>'[01_Entry.xlsx]Book'!A986</f>
        <v/>
      </c>
      <c r="B986" s="2">
        <f>'[01_Entry.xlsx]Book'!B986</f>
        <v/>
      </c>
      <c r="C986" s="2">
        <f>'[01_Entry.xlsx]Book'!D986</f>
        <v/>
      </c>
      <c r="D986" s="2">
        <f>'[01_Entry.xlsx]Book'!E986</f>
        <v/>
      </c>
      <c r="E986" s="2">
        <f>'[01_Entry.xlsx]Book'!O986</f>
        <v/>
      </c>
      <c r="F986" s="2">
        <f>'[01_Entry.xlsx]Book'!N986</f>
        <v/>
      </c>
      <c r="G986" s="3">
        <f>'[01_Entry.xlsx]Book'!L986</f>
        <v/>
      </c>
      <c r="H986" s="3">
        <f>'[01_Entry.xlsx]Book'!M986</f>
        <v/>
      </c>
      <c r="I986" s="3">
        <f>'[01_Entry.xlsx]Book'!K986</f>
        <v/>
      </c>
      <c r="J986" s="3">
        <f>'[01_Entry.xlsx]Book'!P986</f>
        <v/>
      </c>
      <c r="K986" s="3">
        <f>'[01_Entry.xlsx]Book'!F986</f>
        <v/>
      </c>
      <c r="L986" s="3">
        <f>'[01_Entry.xlsx]Book'!G986</f>
        <v/>
      </c>
      <c r="M986" s="3">
        <f>'[01_Entry.xlsx]Book'!I986</f>
        <v/>
      </c>
      <c r="N986" s="2">
        <f>IF($A986="","",MID($A986,6,2))</f>
        <v>0</v>
      </c>
      <c r="O986" s="2">
        <f>IF(OR($C986="",$C986&lt;&gt;'Inv'!$D$12),"",N(O$985)+1)</f>
        <v>0</v>
      </c>
    </row>
    <row r="987" spans="1:15">
      <c r="A987" s="2">
        <f>'[01_Entry.xlsx]Book'!A987</f>
        <v/>
      </c>
      <c r="B987" s="2">
        <f>'[01_Entry.xlsx]Book'!B987</f>
        <v/>
      </c>
      <c r="C987" s="2">
        <f>'[01_Entry.xlsx]Book'!D987</f>
        <v/>
      </c>
      <c r="D987" s="2">
        <f>'[01_Entry.xlsx]Book'!E987</f>
        <v/>
      </c>
      <c r="E987" s="2">
        <f>'[01_Entry.xlsx]Book'!O987</f>
        <v/>
      </c>
      <c r="F987" s="2">
        <f>'[01_Entry.xlsx]Book'!N987</f>
        <v/>
      </c>
      <c r="G987" s="3">
        <f>'[01_Entry.xlsx]Book'!L987</f>
        <v/>
      </c>
      <c r="H987" s="3">
        <f>'[01_Entry.xlsx]Book'!M987</f>
        <v/>
      </c>
      <c r="I987" s="3">
        <f>'[01_Entry.xlsx]Book'!K987</f>
        <v/>
      </c>
      <c r="J987" s="3">
        <f>'[01_Entry.xlsx]Book'!P987</f>
        <v/>
      </c>
      <c r="K987" s="3">
        <f>'[01_Entry.xlsx]Book'!F987</f>
        <v/>
      </c>
      <c r="L987" s="3">
        <f>'[01_Entry.xlsx]Book'!G987</f>
        <v/>
      </c>
      <c r="M987" s="3">
        <f>'[01_Entry.xlsx]Book'!I987</f>
        <v/>
      </c>
      <c r="N987" s="2">
        <f>IF($A987="","",MID($A987,6,2))</f>
        <v>0</v>
      </c>
      <c r="O987" s="2">
        <f>IF(OR($C987="",$C987&lt;&gt;'Inv'!$D$12),"",N(O$986)+1)</f>
        <v>0</v>
      </c>
    </row>
    <row r="988" spans="1:15">
      <c r="A988" s="2">
        <f>'[01_Entry.xlsx]Book'!A988</f>
        <v/>
      </c>
      <c r="B988" s="2">
        <f>'[01_Entry.xlsx]Book'!B988</f>
        <v/>
      </c>
      <c r="C988" s="2">
        <f>'[01_Entry.xlsx]Book'!D988</f>
        <v/>
      </c>
      <c r="D988" s="2">
        <f>'[01_Entry.xlsx]Book'!E988</f>
        <v/>
      </c>
      <c r="E988" s="2">
        <f>'[01_Entry.xlsx]Book'!O988</f>
        <v/>
      </c>
      <c r="F988" s="2">
        <f>'[01_Entry.xlsx]Book'!N988</f>
        <v/>
      </c>
      <c r="G988" s="3">
        <f>'[01_Entry.xlsx]Book'!L988</f>
        <v/>
      </c>
      <c r="H988" s="3">
        <f>'[01_Entry.xlsx]Book'!M988</f>
        <v/>
      </c>
      <c r="I988" s="3">
        <f>'[01_Entry.xlsx]Book'!K988</f>
        <v/>
      </c>
      <c r="J988" s="3">
        <f>'[01_Entry.xlsx]Book'!P988</f>
        <v/>
      </c>
      <c r="K988" s="3">
        <f>'[01_Entry.xlsx]Book'!F988</f>
        <v/>
      </c>
      <c r="L988" s="3">
        <f>'[01_Entry.xlsx]Book'!G988</f>
        <v/>
      </c>
      <c r="M988" s="3">
        <f>'[01_Entry.xlsx]Book'!I988</f>
        <v/>
      </c>
      <c r="N988" s="2">
        <f>IF($A988="","",MID($A988,6,2))</f>
        <v>0</v>
      </c>
      <c r="O988" s="2">
        <f>IF(OR($C988="",$C988&lt;&gt;'Inv'!$D$12),"",N(O$987)+1)</f>
        <v>0</v>
      </c>
    </row>
    <row r="989" spans="1:15">
      <c r="A989" s="2">
        <f>'[01_Entry.xlsx]Book'!A989</f>
        <v/>
      </c>
      <c r="B989" s="2">
        <f>'[01_Entry.xlsx]Book'!B989</f>
        <v/>
      </c>
      <c r="C989" s="2">
        <f>'[01_Entry.xlsx]Book'!D989</f>
        <v/>
      </c>
      <c r="D989" s="2">
        <f>'[01_Entry.xlsx]Book'!E989</f>
        <v/>
      </c>
      <c r="E989" s="2">
        <f>'[01_Entry.xlsx]Book'!O989</f>
        <v/>
      </c>
      <c r="F989" s="2">
        <f>'[01_Entry.xlsx]Book'!N989</f>
        <v/>
      </c>
      <c r="G989" s="3">
        <f>'[01_Entry.xlsx]Book'!L989</f>
        <v/>
      </c>
      <c r="H989" s="3">
        <f>'[01_Entry.xlsx]Book'!M989</f>
        <v/>
      </c>
      <c r="I989" s="3">
        <f>'[01_Entry.xlsx]Book'!K989</f>
        <v/>
      </c>
      <c r="J989" s="3">
        <f>'[01_Entry.xlsx]Book'!P989</f>
        <v/>
      </c>
      <c r="K989" s="3">
        <f>'[01_Entry.xlsx]Book'!F989</f>
        <v/>
      </c>
      <c r="L989" s="3">
        <f>'[01_Entry.xlsx]Book'!G989</f>
        <v/>
      </c>
      <c r="M989" s="3">
        <f>'[01_Entry.xlsx]Book'!I989</f>
        <v/>
      </c>
      <c r="N989" s="2">
        <f>IF($A989="","",MID($A989,6,2))</f>
        <v>0</v>
      </c>
      <c r="O989" s="2">
        <f>IF(OR($C989="",$C989&lt;&gt;'Inv'!$D$12),"",N(O$988)+1)</f>
        <v>0</v>
      </c>
    </row>
    <row r="990" spans="1:15">
      <c r="A990" s="2">
        <f>'[01_Entry.xlsx]Book'!A990</f>
        <v/>
      </c>
      <c r="B990" s="2">
        <f>'[01_Entry.xlsx]Book'!B990</f>
        <v/>
      </c>
      <c r="C990" s="2">
        <f>'[01_Entry.xlsx]Book'!D990</f>
        <v/>
      </c>
      <c r="D990" s="2">
        <f>'[01_Entry.xlsx]Book'!E990</f>
        <v/>
      </c>
      <c r="E990" s="2">
        <f>'[01_Entry.xlsx]Book'!O990</f>
        <v/>
      </c>
      <c r="F990" s="2">
        <f>'[01_Entry.xlsx]Book'!N990</f>
        <v/>
      </c>
      <c r="G990" s="3">
        <f>'[01_Entry.xlsx]Book'!L990</f>
        <v/>
      </c>
      <c r="H990" s="3">
        <f>'[01_Entry.xlsx]Book'!M990</f>
        <v/>
      </c>
      <c r="I990" s="3">
        <f>'[01_Entry.xlsx]Book'!K990</f>
        <v/>
      </c>
      <c r="J990" s="3">
        <f>'[01_Entry.xlsx]Book'!P990</f>
        <v/>
      </c>
      <c r="K990" s="3">
        <f>'[01_Entry.xlsx]Book'!F990</f>
        <v/>
      </c>
      <c r="L990" s="3">
        <f>'[01_Entry.xlsx]Book'!G990</f>
        <v/>
      </c>
      <c r="M990" s="3">
        <f>'[01_Entry.xlsx]Book'!I990</f>
        <v/>
      </c>
      <c r="N990" s="2">
        <f>IF($A990="","",MID($A990,6,2))</f>
        <v>0</v>
      </c>
      <c r="O990" s="2">
        <f>IF(OR($C990="",$C990&lt;&gt;'Inv'!$D$12),"",N(O$989)+1)</f>
        <v>0</v>
      </c>
    </row>
    <row r="991" spans="1:15">
      <c r="A991" s="2">
        <f>'[01_Entry.xlsx]Book'!A991</f>
        <v/>
      </c>
      <c r="B991" s="2">
        <f>'[01_Entry.xlsx]Book'!B991</f>
        <v/>
      </c>
      <c r="C991" s="2">
        <f>'[01_Entry.xlsx]Book'!D991</f>
        <v/>
      </c>
      <c r="D991" s="2">
        <f>'[01_Entry.xlsx]Book'!E991</f>
        <v/>
      </c>
      <c r="E991" s="2">
        <f>'[01_Entry.xlsx]Book'!O991</f>
        <v/>
      </c>
      <c r="F991" s="2">
        <f>'[01_Entry.xlsx]Book'!N991</f>
        <v/>
      </c>
      <c r="G991" s="3">
        <f>'[01_Entry.xlsx]Book'!L991</f>
        <v/>
      </c>
      <c r="H991" s="3">
        <f>'[01_Entry.xlsx]Book'!M991</f>
        <v/>
      </c>
      <c r="I991" s="3">
        <f>'[01_Entry.xlsx]Book'!K991</f>
        <v/>
      </c>
      <c r="J991" s="3">
        <f>'[01_Entry.xlsx]Book'!P991</f>
        <v/>
      </c>
      <c r="K991" s="3">
        <f>'[01_Entry.xlsx]Book'!F991</f>
        <v/>
      </c>
      <c r="L991" s="3">
        <f>'[01_Entry.xlsx]Book'!G991</f>
        <v/>
      </c>
      <c r="M991" s="3">
        <f>'[01_Entry.xlsx]Book'!I991</f>
        <v/>
      </c>
      <c r="N991" s="2">
        <f>IF($A991="","",MID($A991,6,2))</f>
        <v>0</v>
      </c>
      <c r="O991" s="2">
        <f>IF(OR($C991="",$C991&lt;&gt;'Inv'!$D$12),"",N(O$990)+1)</f>
        <v>0</v>
      </c>
    </row>
    <row r="992" spans="1:15">
      <c r="A992" s="2">
        <f>'[01_Entry.xlsx]Book'!A992</f>
        <v/>
      </c>
      <c r="B992" s="2">
        <f>'[01_Entry.xlsx]Book'!B992</f>
        <v/>
      </c>
      <c r="C992" s="2">
        <f>'[01_Entry.xlsx]Book'!D992</f>
        <v/>
      </c>
      <c r="D992" s="2">
        <f>'[01_Entry.xlsx]Book'!E992</f>
        <v/>
      </c>
      <c r="E992" s="2">
        <f>'[01_Entry.xlsx]Book'!O992</f>
        <v/>
      </c>
      <c r="F992" s="2">
        <f>'[01_Entry.xlsx]Book'!N992</f>
        <v/>
      </c>
      <c r="G992" s="3">
        <f>'[01_Entry.xlsx]Book'!L992</f>
        <v/>
      </c>
      <c r="H992" s="3">
        <f>'[01_Entry.xlsx]Book'!M992</f>
        <v/>
      </c>
      <c r="I992" s="3">
        <f>'[01_Entry.xlsx]Book'!K992</f>
        <v/>
      </c>
      <c r="J992" s="3">
        <f>'[01_Entry.xlsx]Book'!P992</f>
        <v/>
      </c>
      <c r="K992" s="3">
        <f>'[01_Entry.xlsx]Book'!F992</f>
        <v/>
      </c>
      <c r="L992" s="3">
        <f>'[01_Entry.xlsx]Book'!G992</f>
        <v/>
      </c>
      <c r="M992" s="3">
        <f>'[01_Entry.xlsx]Book'!I992</f>
        <v/>
      </c>
      <c r="N992" s="2">
        <f>IF($A992="","",MID($A992,6,2))</f>
        <v>0</v>
      </c>
      <c r="O992" s="2">
        <f>IF(OR($C992="",$C992&lt;&gt;'Inv'!$D$12),"",N(O$991)+1)</f>
        <v>0</v>
      </c>
    </row>
    <row r="993" spans="1:15">
      <c r="A993" s="2">
        <f>'[01_Entry.xlsx]Book'!A993</f>
        <v/>
      </c>
      <c r="B993" s="2">
        <f>'[01_Entry.xlsx]Book'!B993</f>
        <v/>
      </c>
      <c r="C993" s="2">
        <f>'[01_Entry.xlsx]Book'!D993</f>
        <v/>
      </c>
      <c r="D993" s="2">
        <f>'[01_Entry.xlsx]Book'!E993</f>
        <v/>
      </c>
      <c r="E993" s="2">
        <f>'[01_Entry.xlsx]Book'!O993</f>
        <v/>
      </c>
      <c r="F993" s="2">
        <f>'[01_Entry.xlsx]Book'!N993</f>
        <v/>
      </c>
      <c r="G993" s="3">
        <f>'[01_Entry.xlsx]Book'!L993</f>
        <v/>
      </c>
      <c r="H993" s="3">
        <f>'[01_Entry.xlsx]Book'!M993</f>
        <v/>
      </c>
      <c r="I993" s="3">
        <f>'[01_Entry.xlsx]Book'!K993</f>
        <v/>
      </c>
      <c r="J993" s="3">
        <f>'[01_Entry.xlsx]Book'!P993</f>
        <v/>
      </c>
      <c r="K993" s="3">
        <f>'[01_Entry.xlsx]Book'!F993</f>
        <v/>
      </c>
      <c r="L993" s="3">
        <f>'[01_Entry.xlsx]Book'!G993</f>
        <v/>
      </c>
      <c r="M993" s="3">
        <f>'[01_Entry.xlsx]Book'!I993</f>
        <v/>
      </c>
      <c r="N993" s="2">
        <f>IF($A993="","",MID($A993,6,2))</f>
        <v>0</v>
      </c>
      <c r="O993" s="2">
        <f>IF(OR($C993="",$C993&lt;&gt;'Inv'!$D$12),"",N(O$992)+1)</f>
        <v>0</v>
      </c>
    </row>
    <row r="994" spans="1:15">
      <c r="A994" s="2">
        <f>'[01_Entry.xlsx]Book'!A994</f>
        <v/>
      </c>
      <c r="B994" s="2">
        <f>'[01_Entry.xlsx]Book'!B994</f>
        <v/>
      </c>
      <c r="C994" s="2">
        <f>'[01_Entry.xlsx]Book'!D994</f>
        <v/>
      </c>
      <c r="D994" s="2">
        <f>'[01_Entry.xlsx]Book'!E994</f>
        <v/>
      </c>
      <c r="E994" s="2">
        <f>'[01_Entry.xlsx]Book'!O994</f>
        <v/>
      </c>
      <c r="F994" s="2">
        <f>'[01_Entry.xlsx]Book'!N994</f>
        <v/>
      </c>
      <c r="G994" s="3">
        <f>'[01_Entry.xlsx]Book'!L994</f>
        <v/>
      </c>
      <c r="H994" s="3">
        <f>'[01_Entry.xlsx]Book'!M994</f>
        <v/>
      </c>
      <c r="I994" s="3">
        <f>'[01_Entry.xlsx]Book'!K994</f>
        <v/>
      </c>
      <c r="J994" s="3">
        <f>'[01_Entry.xlsx]Book'!P994</f>
        <v/>
      </c>
      <c r="K994" s="3">
        <f>'[01_Entry.xlsx]Book'!F994</f>
        <v/>
      </c>
      <c r="L994" s="3">
        <f>'[01_Entry.xlsx]Book'!G994</f>
        <v/>
      </c>
      <c r="M994" s="3">
        <f>'[01_Entry.xlsx]Book'!I994</f>
        <v/>
      </c>
      <c r="N994" s="2">
        <f>IF($A994="","",MID($A994,6,2))</f>
        <v>0</v>
      </c>
      <c r="O994" s="2">
        <f>IF(OR($C994="",$C994&lt;&gt;'Inv'!$D$12),"",N(O$993)+1)</f>
        <v>0</v>
      </c>
    </row>
    <row r="995" spans="1:15">
      <c r="A995" s="2">
        <f>'[01_Entry.xlsx]Book'!A995</f>
        <v/>
      </c>
      <c r="B995" s="2">
        <f>'[01_Entry.xlsx]Book'!B995</f>
        <v/>
      </c>
      <c r="C995" s="2">
        <f>'[01_Entry.xlsx]Book'!D995</f>
        <v/>
      </c>
      <c r="D995" s="2">
        <f>'[01_Entry.xlsx]Book'!E995</f>
        <v/>
      </c>
      <c r="E995" s="2">
        <f>'[01_Entry.xlsx]Book'!O995</f>
        <v/>
      </c>
      <c r="F995" s="2">
        <f>'[01_Entry.xlsx]Book'!N995</f>
        <v/>
      </c>
      <c r="G995" s="3">
        <f>'[01_Entry.xlsx]Book'!L995</f>
        <v/>
      </c>
      <c r="H995" s="3">
        <f>'[01_Entry.xlsx]Book'!M995</f>
        <v/>
      </c>
      <c r="I995" s="3">
        <f>'[01_Entry.xlsx]Book'!K995</f>
        <v/>
      </c>
      <c r="J995" s="3">
        <f>'[01_Entry.xlsx]Book'!P995</f>
        <v/>
      </c>
      <c r="K995" s="3">
        <f>'[01_Entry.xlsx]Book'!F995</f>
        <v/>
      </c>
      <c r="L995" s="3">
        <f>'[01_Entry.xlsx]Book'!G995</f>
        <v/>
      </c>
      <c r="M995" s="3">
        <f>'[01_Entry.xlsx]Book'!I995</f>
        <v/>
      </c>
      <c r="N995" s="2">
        <f>IF($A995="","",MID($A995,6,2))</f>
        <v>0</v>
      </c>
      <c r="O995" s="2">
        <f>IF(OR($C995="",$C995&lt;&gt;'Inv'!$D$12),"",N(O$994)+1)</f>
        <v>0</v>
      </c>
    </row>
    <row r="996" spans="1:15">
      <c r="A996" s="2">
        <f>'[01_Entry.xlsx]Book'!A996</f>
        <v/>
      </c>
      <c r="B996" s="2">
        <f>'[01_Entry.xlsx]Book'!B996</f>
        <v/>
      </c>
      <c r="C996" s="2">
        <f>'[01_Entry.xlsx]Book'!D996</f>
        <v/>
      </c>
      <c r="D996" s="2">
        <f>'[01_Entry.xlsx]Book'!E996</f>
        <v/>
      </c>
      <c r="E996" s="2">
        <f>'[01_Entry.xlsx]Book'!O996</f>
        <v/>
      </c>
      <c r="F996" s="2">
        <f>'[01_Entry.xlsx]Book'!N996</f>
        <v/>
      </c>
      <c r="G996" s="3">
        <f>'[01_Entry.xlsx]Book'!L996</f>
        <v/>
      </c>
      <c r="H996" s="3">
        <f>'[01_Entry.xlsx]Book'!M996</f>
        <v/>
      </c>
      <c r="I996" s="3">
        <f>'[01_Entry.xlsx]Book'!K996</f>
        <v/>
      </c>
      <c r="J996" s="3">
        <f>'[01_Entry.xlsx]Book'!P996</f>
        <v/>
      </c>
      <c r="K996" s="3">
        <f>'[01_Entry.xlsx]Book'!F996</f>
        <v/>
      </c>
      <c r="L996" s="3">
        <f>'[01_Entry.xlsx]Book'!G996</f>
        <v/>
      </c>
      <c r="M996" s="3">
        <f>'[01_Entry.xlsx]Book'!I996</f>
        <v/>
      </c>
      <c r="N996" s="2">
        <f>IF($A996="","",MID($A996,6,2))</f>
        <v>0</v>
      </c>
      <c r="O996" s="2">
        <f>IF(OR($C996="",$C996&lt;&gt;'Inv'!$D$12),"",N(O$995)+1)</f>
        <v>0</v>
      </c>
    </row>
    <row r="997" spans="1:15">
      <c r="A997" s="2">
        <f>'[01_Entry.xlsx]Book'!A997</f>
        <v/>
      </c>
      <c r="B997" s="2">
        <f>'[01_Entry.xlsx]Book'!B997</f>
        <v/>
      </c>
      <c r="C997" s="2">
        <f>'[01_Entry.xlsx]Book'!D997</f>
        <v/>
      </c>
      <c r="D997" s="2">
        <f>'[01_Entry.xlsx]Book'!E997</f>
        <v/>
      </c>
      <c r="E997" s="2">
        <f>'[01_Entry.xlsx]Book'!O997</f>
        <v/>
      </c>
      <c r="F997" s="2">
        <f>'[01_Entry.xlsx]Book'!N997</f>
        <v/>
      </c>
      <c r="G997" s="3">
        <f>'[01_Entry.xlsx]Book'!L997</f>
        <v/>
      </c>
      <c r="H997" s="3">
        <f>'[01_Entry.xlsx]Book'!M997</f>
        <v/>
      </c>
      <c r="I997" s="3">
        <f>'[01_Entry.xlsx]Book'!K997</f>
        <v/>
      </c>
      <c r="J997" s="3">
        <f>'[01_Entry.xlsx]Book'!P997</f>
        <v/>
      </c>
      <c r="K997" s="3">
        <f>'[01_Entry.xlsx]Book'!F997</f>
        <v/>
      </c>
      <c r="L997" s="3">
        <f>'[01_Entry.xlsx]Book'!G997</f>
        <v/>
      </c>
      <c r="M997" s="3">
        <f>'[01_Entry.xlsx]Book'!I997</f>
        <v/>
      </c>
      <c r="N997" s="2">
        <f>IF($A997="","",MID($A997,6,2))</f>
        <v>0</v>
      </c>
      <c r="O997" s="2">
        <f>IF(OR($C997="",$C997&lt;&gt;'Inv'!$D$12),"",N(O$996)+1)</f>
        <v>0</v>
      </c>
    </row>
    <row r="998" spans="1:15">
      <c r="A998" s="2">
        <f>'[01_Entry.xlsx]Book'!A998</f>
        <v/>
      </c>
      <c r="B998" s="2">
        <f>'[01_Entry.xlsx]Book'!B998</f>
        <v/>
      </c>
      <c r="C998" s="2">
        <f>'[01_Entry.xlsx]Book'!D998</f>
        <v/>
      </c>
      <c r="D998" s="2">
        <f>'[01_Entry.xlsx]Book'!E998</f>
        <v/>
      </c>
      <c r="E998" s="2">
        <f>'[01_Entry.xlsx]Book'!O998</f>
        <v/>
      </c>
      <c r="F998" s="2">
        <f>'[01_Entry.xlsx]Book'!N998</f>
        <v/>
      </c>
      <c r="G998" s="3">
        <f>'[01_Entry.xlsx]Book'!L998</f>
        <v/>
      </c>
      <c r="H998" s="3">
        <f>'[01_Entry.xlsx]Book'!M998</f>
        <v/>
      </c>
      <c r="I998" s="3">
        <f>'[01_Entry.xlsx]Book'!K998</f>
        <v/>
      </c>
      <c r="J998" s="3">
        <f>'[01_Entry.xlsx]Book'!P998</f>
        <v/>
      </c>
      <c r="K998" s="3">
        <f>'[01_Entry.xlsx]Book'!F998</f>
        <v/>
      </c>
      <c r="L998" s="3">
        <f>'[01_Entry.xlsx]Book'!G998</f>
        <v/>
      </c>
      <c r="M998" s="3">
        <f>'[01_Entry.xlsx]Book'!I998</f>
        <v/>
      </c>
      <c r="N998" s="2">
        <f>IF($A998="","",MID($A998,6,2))</f>
        <v>0</v>
      </c>
      <c r="O998" s="2">
        <f>IF(OR($C998="",$C998&lt;&gt;'Inv'!$D$12),"",N(O$997)+1)</f>
        <v>0</v>
      </c>
    </row>
    <row r="999" spans="1:15">
      <c r="A999" s="2">
        <f>'[01_Entry.xlsx]Book'!A999</f>
        <v/>
      </c>
      <c r="B999" s="2">
        <f>'[01_Entry.xlsx]Book'!B999</f>
        <v/>
      </c>
      <c r="C999" s="2">
        <f>'[01_Entry.xlsx]Book'!D999</f>
        <v/>
      </c>
      <c r="D999" s="2">
        <f>'[01_Entry.xlsx]Book'!E999</f>
        <v/>
      </c>
      <c r="E999" s="2">
        <f>'[01_Entry.xlsx]Book'!O999</f>
        <v/>
      </c>
      <c r="F999" s="2">
        <f>'[01_Entry.xlsx]Book'!N999</f>
        <v/>
      </c>
      <c r="G999" s="3">
        <f>'[01_Entry.xlsx]Book'!L999</f>
        <v/>
      </c>
      <c r="H999" s="3">
        <f>'[01_Entry.xlsx]Book'!M999</f>
        <v/>
      </c>
      <c r="I999" s="3">
        <f>'[01_Entry.xlsx]Book'!K999</f>
        <v/>
      </c>
      <c r="J999" s="3">
        <f>'[01_Entry.xlsx]Book'!P999</f>
        <v/>
      </c>
      <c r="K999" s="3">
        <f>'[01_Entry.xlsx]Book'!F999</f>
        <v/>
      </c>
      <c r="L999" s="3">
        <f>'[01_Entry.xlsx]Book'!G999</f>
        <v/>
      </c>
      <c r="M999" s="3">
        <f>'[01_Entry.xlsx]Book'!I999</f>
        <v/>
      </c>
      <c r="N999" s="2">
        <f>IF($A999="","",MID($A999,6,2))</f>
        <v>0</v>
      </c>
      <c r="O999" s="2">
        <f>IF(OR($C999="",$C999&lt;&gt;'Inv'!$D$12),"",N(O$998)+1)</f>
        <v>0</v>
      </c>
    </row>
    <row r="1000" spans="1:15">
      <c r="A1000" s="2">
        <f>'[01_Entry.xlsx]Book'!A1000</f>
        <v/>
      </c>
      <c r="B1000" s="2">
        <f>'[01_Entry.xlsx]Book'!B1000</f>
        <v/>
      </c>
      <c r="C1000" s="2">
        <f>'[01_Entry.xlsx]Book'!D1000</f>
        <v/>
      </c>
      <c r="D1000" s="2">
        <f>'[01_Entry.xlsx]Book'!E1000</f>
        <v/>
      </c>
      <c r="E1000" s="2">
        <f>'[01_Entry.xlsx]Book'!O1000</f>
        <v/>
      </c>
      <c r="F1000" s="2">
        <f>'[01_Entry.xlsx]Book'!N1000</f>
        <v/>
      </c>
      <c r="G1000" s="3">
        <f>'[01_Entry.xlsx]Book'!L1000</f>
        <v/>
      </c>
      <c r="H1000" s="3">
        <f>'[01_Entry.xlsx]Book'!M1000</f>
        <v/>
      </c>
      <c r="I1000" s="3">
        <f>'[01_Entry.xlsx]Book'!K1000</f>
        <v/>
      </c>
      <c r="J1000" s="3">
        <f>'[01_Entry.xlsx]Book'!P1000</f>
        <v/>
      </c>
      <c r="K1000" s="3">
        <f>'[01_Entry.xlsx]Book'!F1000</f>
        <v/>
      </c>
      <c r="L1000" s="3">
        <f>'[01_Entry.xlsx]Book'!G1000</f>
        <v/>
      </c>
      <c r="M1000" s="3">
        <f>'[01_Entry.xlsx]Book'!I1000</f>
        <v/>
      </c>
      <c r="N1000" s="2">
        <f>IF($A1000="","",MID($A1000,6,2))</f>
        <v>0</v>
      </c>
      <c r="O1000" s="2">
        <f>IF(OR($C1000="",$C1000&lt;&gt;'Inv'!$D$12),"",N(O$999)+1)</f>
        <v>0</v>
      </c>
    </row>
    <row r="1001" spans="1:15">
      <c r="A1001" s="2">
        <f>'[01_Entry.xlsx]Book'!A1001</f>
        <v/>
      </c>
      <c r="B1001" s="2">
        <f>'[01_Entry.xlsx]Book'!B1001</f>
        <v/>
      </c>
      <c r="C1001" s="2">
        <f>'[01_Entry.xlsx]Book'!D1001</f>
        <v/>
      </c>
      <c r="D1001" s="2">
        <f>'[01_Entry.xlsx]Book'!E1001</f>
        <v/>
      </c>
      <c r="E1001" s="2">
        <f>'[01_Entry.xlsx]Book'!O1001</f>
        <v/>
      </c>
      <c r="F1001" s="2">
        <f>'[01_Entry.xlsx]Book'!N1001</f>
        <v/>
      </c>
      <c r="G1001" s="3">
        <f>'[01_Entry.xlsx]Book'!L1001</f>
        <v/>
      </c>
      <c r="H1001" s="3">
        <f>'[01_Entry.xlsx]Book'!M1001</f>
        <v/>
      </c>
      <c r="I1001" s="3">
        <f>'[01_Entry.xlsx]Book'!K1001</f>
        <v/>
      </c>
      <c r="J1001" s="3">
        <f>'[01_Entry.xlsx]Book'!P1001</f>
        <v/>
      </c>
      <c r="K1001" s="3">
        <f>'[01_Entry.xlsx]Book'!F1001</f>
        <v/>
      </c>
      <c r="L1001" s="3">
        <f>'[01_Entry.xlsx]Book'!G1001</f>
        <v/>
      </c>
      <c r="M1001" s="3">
        <f>'[01_Entry.xlsx]Book'!I1001</f>
        <v/>
      </c>
      <c r="N1001" s="2">
        <f>IF($A1001="","",MID($A1001,6,2))</f>
        <v>0</v>
      </c>
      <c r="O1001" s="2">
        <f>IF(OR($C1001="",$C1001&lt;&gt;'Inv'!$D$12),"",N(O$1000)+1)</f>
        <v>0</v>
      </c>
    </row>
    <row r="1002" spans="1:15">
      <c r="A1002" s="2">
        <f>'[01_Entry.xlsx]Book'!A1002</f>
        <v/>
      </c>
      <c r="B1002" s="2">
        <f>'[01_Entry.xlsx]Book'!B1002</f>
        <v/>
      </c>
      <c r="C1002" s="2">
        <f>'[01_Entry.xlsx]Book'!D1002</f>
        <v/>
      </c>
      <c r="D1002" s="2">
        <f>'[01_Entry.xlsx]Book'!E1002</f>
        <v/>
      </c>
      <c r="E1002" s="2">
        <f>'[01_Entry.xlsx]Book'!O1002</f>
        <v/>
      </c>
      <c r="F1002" s="2">
        <f>'[01_Entry.xlsx]Book'!N1002</f>
        <v/>
      </c>
      <c r="G1002" s="3">
        <f>'[01_Entry.xlsx]Book'!L1002</f>
        <v/>
      </c>
      <c r="H1002" s="3">
        <f>'[01_Entry.xlsx]Book'!M1002</f>
        <v/>
      </c>
      <c r="I1002" s="3">
        <f>'[01_Entry.xlsx]Book'!K1002</f>
        <v/>
      </c>
      <c r="J1002" s="3">
        <f>'[01_Entry.xlsx]Book'!P1002</f>
        <v/>
      </c>
      <c r="K1002" s="3">
        <f>'[01_Entry.xlsx]Book'!F1002</f>
        <v/>
      </c>
      <c r="L1002" s="3">
        <f>'[01_Entry.xlsx]Book'!G1002</f>
        <v/>
      </c>
      <c r="M1002" s="3">
        <f>'[01_Entry.xlsx]Book'!I1002</f>
        <v/>
      </c>
      <c r="N1002" s="2">
        <f>IF($A1002="","",MID($A1002,6,2))</f>
        <v>0</v>
      </c>
      <c r="O1002" s="2">
        <f>IF(OR($C1002="",$C1002&lt;&gt;'Inv'!$D$12),"",N(O$1001)+1)</f>
        <v>0</v>
      </c>
    </row>
    <row r="1003" spans="1:15">
      <c r="A1003" s="2">
        <f>'[01_Entry.xlsx]Book'!A1003</f>
        <v/>
      </c>
      <c r="B1003" s="2">
        <f>'[01_Entry.xlsx]Book'!B1003</f>
        <v/>
      </c>
      <c r="C1003" s="2">
        <f>'[01_Entry.xlsx]Book'!D1003</f>
        <v/>
      </c>
      <c r="D1003" s="2">
        <f>'[01_Entry.xlsx]Book'!E1003</f>
        <v/>
      </c>
      <c r="E1003" s="2">
        <f>'[01_Entry.xlsx]Book'!O1003</f>
        <v/>
      </c>
      <c r="F1003" s="2">
        <f>'[01_Entry.xlsx]Book'!N1003</f>
        <v/>
      </c>
      <c r="G1003" s="3">
        <f>'[01_Entry.xlsx]Book'!L1003</f>
        <v/>
      </c>
      <c r="H1003" s="3">
        <f>'[01_Entry.xlsx]Book'!M1003</f>
        <v/>
      </c>
      <c r="I1003" s="3">
        <f>'[01_Entry.xlsx]Book'!K1003</f>
        <v/>
      </c>
      <c r="J1003" s="3">
        <f>'[01_Entry.xlsx]Book'!P1003</f>
        <v/>
      </c>
      <c r="K1003" s="3">
        <f>'[01_Entry.xlsx]Book'!F1003</f>
        <v/>
      </c>
      <c r="L1003" s="3">
        <f>'[01_Entry.xlsx]Book'!G1003</f>
        <v/>
      </c>
      <c r="M1003" s="3">
        <f>'[01_Entry.xlsx]Book'!I1003</f>
        <v/>
      </c>
      <c r="N1003" s="2">
        <f>IF($A1003="","",MID($A1003,6,2))</f>
        <v>0</v>
      </c>
      <c r="O1003" s="2">
        <f>IF(OR($C1003="",$C1003&lt;&gt;'Inv'!$D$12),"",N(O$1002)+1)</f>
        <v>0</v>
      </c>
    </row>
    <row r="1004" spans="1:15">
      <c r="A1004" s="2">
        <f>'[01_Entry.xlsx]Book'!A1004</f>
        <v/>
      </c>
      <c r="B1004" s="2">
        <f>'[01_Entry.xlsx]Book'!B1004</f>
        <v/>
      </c>
      <c r="C1004" s="2">
        <f>'[01_Entry.xlsx]Book'!D1004</f>
        <v/>
      </c>
      <c r="D1004" s="2">
        <f>'[01_Entry.xlsx]Book'!E1004</f>
        <v/>
      </c>
      <c r="E1004" s="2">
        <f>'[01_Entry.xlsx]Book'!O1004</f>
        <v/>
      </c>
      <c r="F1004" s="2">
        <f>'[01_Entry.xlsx]Book'!N1004</f>
        <v/>
      </c>
      <c r="G1004" s="3">
        <f>'[01_Entry.xlsx]Book'!L1004</f>
        <v/>
      </c>
      <c r="H1004" s="3">
        <f>'[01_Entry.xlsx]Book'!M1004</f>
        <v/>
      </c>
      <c r="I1004" s="3">
        <f>'[01_Entry.xlsx]Book'!K1004</f>
        <v/>
      </c>
      <c r="J1004" s="3">
        <f>'[01_Entry.xlsx]Book'!P1004</f>
        <v/>
      </c>
      <c r="K1004" s="3">
        <f>'[01_Entry.xlsx]Book'!F1004</f>
        <v/>
      </c>
      <c r="L1004" s="3">
        <f>'[01_Entry.xlsx]Book'!G1004</f>
        <v/>
      </c>
      <c r="M1004" s="3">
        <f>'[01_Entry.xlsx]Book'!I1004</f>
        <v/>
      </c>
      <c r="N1004" s="2">
        <f>IF($A1004="","",MID($A1004,6,2))</f>
        <v>0</v>
      </c>
      <c r="O1004" s="2">
        <f>IF(OR($C1004="",$C1004&lt;&gt;'Inv'!$D$12),"",N(O$1003)+1)</f>
        <v>0</v>
      </c>
    </row>
    <row r="1005" spans="1:15">
      <c r="A1005" s="2">
        <f>'[01_Entry.xlsx]Book'!A1005</f>
        <v/>
      </c>
      <c r="B1005" s="2">
        <f>'[01_Entry.xlsx]Book'!B1005</f>
        <v/>
      </c>
      <c r="C1005" s="2">
        <f>'[01_Entry.xlsx]Book'!D1005</f>
        <v/>
      </c>
      <c r="D1005" s="2">
        <f>'[01_Entry.xlsx]Book'!E1005</f>
        <v/>
      </c>
      <c r="E1005" s="2">
        <f>'[01_Entry.xlsx]Book'!O1005</f>
        <v/>
      </c>
      <c r="F1005" s="2">
        <f>'[01_Entry.xlsx]Book'!N1005</f>
        <v/>
      </c>
      <c r="G1005" s="3">
        <f>'[01_Entry.xlsx]Book'!L1005</f>
        <v/>
      </c>
      <c r="H1005" s="3">
        <f>'[01_Entry.xlsx]Book'!M1005</f>
        <v/>
      </c>
      <c r="I1005" s="3">
        <f>'[01_Entry.xlsx]Book'!K1005</f>
        <v/>
      </c>
      <c r="J1005" s="3">
        <f>'[01_Entry.xlsx]Book'!P1005</f>
        <v/>
      </c>
      <c r="K1005" s="3">
        <f>'[01_Entry.xlsx]Book'!F1005</f>
        <v/>
      </c>
      <c r="L1005" s="3">
        <f>'[01_Entry.xlsx]Book'!G1005</f>
        <v/>
      </c>
      <c r="M1005" s="3">
        <f>'[01_Entry.xlsx]Book'!I1005</f>
        <v/>
      </c>
      <c r="N1005" s="2">
        <f>IF($A1005="","",MID($A1005,6,2))</f>
        <v>0</v>
      </c>
      <c r="O1005" s="2">
        <f>IF(OR($C1005="",$C1005&lt;&gt;'Inv'!$D$12),"",N(O$1004)+1)</f>
        <v>0</v>
      </c>
    </row>
    <row r="1006" spans="1:15">
      <c r="A1006" s="2">
        <f>'[01_Entry.xlsx]Book'!A1006</f>
        <v/>
      </c>
      <c r="B1006" s="2">
        <f>'[01_Entry.xlsx]Book'!B1006</f>
        <v/>
      </c>
      <c r="C1006" s="2">
        <f>'[01_Entry.xlsx]Book'!D1006</f>
        <v/>
      </c>
      <c r="D1006" s="2">
        <f>'[01_Entry.xlsx]Book'!E1006</f>
        <v/>
      </c>
      <c r="E1006" s="2">
        <f>'[01_Entry.xlsx]Book'!O1006</f>
        <v/>
      </c>
      <c r="F1006" s="2">
        <f>'[01_Entry.xlsx]Book'!N1006</f>
        <v/>
      </c>
      <c r="G1006" s="3">
        <f>'[01_Entry.xlsx]Book'!L1006</f>
        <v/>
      </c>
      <c r="H1006" s="3">
        <f>'[01_Entry.xlsx]Book'!M1006</f>
        <v/>
      </c>
      <c r="I1006" s="3">
        <f>'[01_Entry.xlsx]Book'!K1006</f>
        <v/>
      </c>
      <c r="J1006" s="3">
        <f>'[01_Entry.xlsx]Book'!P1006</f>
        <v/>
      </c>
      <c r="K1006" s="3">
        <f>'[01_Entry.xlsx]Book'!F1006</f>
        <v/>
      </c>
      <c r="L1006" s="3">
        <f>'[01_Entry.xlsx]Book'!G1006</f>
        <v/>
      </c>
      <c r="M1006" s="3">
        <f>'[01_Entry.xlsx]Book'!I1006</f>
        <v/>
      </c>
      <c r="N1006" s="2">
        <f>IF($A1006="","",MID($A1006,6,2))</f>
        <v>0</v>
      </c>
      <c r="O1006" s="2">
        <f>IF(OR($C1006="",$C1006&lt;&gt;'Inv'!$D$12),"",N(O$1005)+1)</f>
        <v>0</v>
      </c>
    </row>
    <row r="1007" spans="1:15">
      <c r="A1007" s="2">
        <f>'[01_Entry.xlsx]Book'!A1007</f>
        <v/>
      </c>
      <c r="B1007" s="2">
        <f>'[01_Entry.xlsx]Book'!B1007</f>
        <v/>
      </c>
      <c r="C1007" s="2">
        <f>'[01_Entry.xlsx]Book'!D1007</f>
        <v/>
      </c>
      <c r="D1007" s="2">
        <f>'[01_Entry.xlsx]Book'!E1007</f>
        <v/>
      </c>
      <c r="E1007" s="2">
        <f>'[01_Entry.xlsx]Book'!O1007</f>
        <v/>
      </c>
      <c r="F1007" s="2">
        <f>'[01_Entry.xlsx]Book'!N1007</f>
        <v/>
      </c>
      <c r="G1007" s="3">
        <f>'[01_Entry.xlsx]Book'!L1007</f>
        <v/>
      </c>
      <c r="H1007" s="3">
        <f>'[01_Entry.xlsx]Book'!M1007</f>
        <v/>
      </c>
      <c r="I1007" s="3">
        <f>'[01_Entry.xlsx]Book'!K1007</f>
        <v/>
      </c>
      <c r="J1007" s="3">
        <f>'[01_Entry.xlsx]Book'!P1007</f>
        <v/>
      </c>
      <c r="K1007" s="3">
        <f>'[01_Entry.xlsx]Book'!F1007</f>
        <v/>
      </c>
      <c r="L1007" s="3">
        <f>'[01_Entry.xlsx]Book'!G1007</f>
        <v/>
      </c>
      <c r="M1007" s="3">
        <f>'[01_Entry.xlsx]Book'!I1007</f>
        <v/>
      </c>
      <c r="N1007" s="2">
        <f>IF($A1007="","",MID($A1007,6,2))</f>
        <v>0</v>
      </c>
      <c r="O1007" s="2">
        <f>IF(OR($C1007="",$C1007&lt;&gt;'Inv'!$D$12),"",N(O$1006)+1)</f>
        <v>0</v>
      </c>
    </row>
    <row r="1008" spans="1:15">
      <c r="A1008" s="2">
        <f>'[01_Entry.xlsx]Book'!A1008</f>
        <v/>
      </c>
      <c r="B1008" s="2">
        <f>'[01_Entry.xlsx]Book'!B1008</f>
        <v/>
      </c>
      <c r="C1008" s="2">
        <f>'[01_Entry.xlsx]Book'!D1008</f>
        <v/>
      </c>
      <c r="D1008" s="2">
        <f>'[01_Entry.xlsx]Book'!E1008</f>
        <v/>
      </c>
      <c r="E1008" s="2">
        <f>'[01_Entry.xlsx]Book'!O1008</f>
        <v/>
      </c>
      <c r="F1008" s="2">
        <f>'[01_Entry.xlsx]Book'!N1008</f>
        <v/>
      </c>
      <c r="G1008" s="3">
        <f>'[01_Entry.xlsx]Book'!L1008</f>
        <v/>
      </c>
      <c r="H1008" s="3">
        <f>'[01_Entry.xlsx]Book'!M1008</f>
        <v/>
      </c>
      <c r="I1008" s="3">
        <f>'[01_Entry.xlsx]Book'!K1008</f>
        <v/>
      </c>
      <c r="J1008" s="3">
        <f>'[01_Entry.xlsx]Book'!P1008</f>
        <v/>
      </c>
      <c r="K1008" s="3">
        <f>'[01_Entry.xlsx]Book'!F1008</f>
        <v/>
      </c>
      <c r="L1008" s="3">
        <f>'[01_Entry.xlsx]Book'!G1008</f>
        <v/>
      </c>
      <c r="M1008" s="3">
        <f>'[01_Entry.xlsx]Book'!I1008</f>
        <v/>
      </c>
      <c r="N1008" s="2">
        <f>IF($A1008="","",MID($A1008,6,2))</f>
        <v>0</v>
      </c>
      <c r="O1008" s="2">
        <f>IF(OR($C1008="",$C1008&lt;&gt;'Inv'!$D$12),"",N(O$1007)+1)</f>
        <v>0</v>
      </c>
    </row>
    <row r="1009" spans="1:15">
      <c r="A1009" s="2">
        <f>'[01_Entry.xlsx]Book'!A1009</f>
        <v/>
      </c>
      <c r="B1009" s="2">
        <f>'[01_Entry.xlsx]Book'!B1009</f>
        <v/>
      </c>
      <c r="C1009" s="2">
        <f>'[01_Entry.xlsx]Book'!D1009</f>
        <v/>
      </c>
      <c r="D1009" s="2">
        <f>'[01_Entry.xlsx]Book'!E1009</f>
        <v/>
      </c>
      <c r="E1009" s="2">
        <f>'[01_Entry.xlsx]Book'!O1009</f>
        <v/>
      </c>
      <c r="F1009" s="2">
        <f>'[01_Entry.xlsx]Book'!N1009</f>
        <v/>
      </c>
      <c r="G1009" s="3">
        <f>'[01_Entry.xlsx]Book'!L1009</f>
        <v/>
      </c>
      <c r="H1009" s="3">
        <f>'[01_Entry.xlsx]Book'!M1009</f>
        <v/>
      </c>
      <c r="I1009" s="3">
        <f>'[01_Entry.xlsx]Book'!K1009</f>
        <v/>
      </c>
      <c r="J1009" s="3">
        <f>'[01_Entry.xlsx]Book'!P1009</f>
        <v/>
      </c>
      <c r="K1009" s="3">
        <f>'[01_Entry.xlsx]Book'!F1009</f>
        <v/>
      </c>
      <c r="L1009" s="3">
        <f>'[01_Entry.xlsx]Book'!G1009</f>
        <v/>
      </c>
      <c r="M1009" s="3">
        <f>'[01_Entry.xlsx]Book'!I1009</f>
        <v/>
      </c>
      <c r="N1009" s="2">
        <f>IF($A1009="","",MID($A1009,6,2))</f>
        <v>0</v>
      </c>
      <c r="O1009" s="2">
        <f>IF(OR($C1009="",$C1009&lt;&gt;'Inv'!$D$12),"",N(O$1008)+1)</f>
        <v>0</v>
      </c>
    </row>
    <row r="1010" spans="1:15">
      <c r="A1010" s="2">
        <f>'[01_Entry.xlsx]Book'!A1010</f>
        <v/>
      </c>
      <c r="B1010" s="2">
        <f>'[01_Entry.xlsx]Book'!B1010</f>
        <v/>
      </c>
      <c r="C1010" s="2">
        <f>'[01_Entry.xlsx]Book'!D1010</f>
        <v/>
      </c>
      <c r="D1010" s="2">
        <f>'[01_Entry.xlsx]Book'!E1010</f>
        <v/>
      </c>
      <c r="E1010" s="2">
        <f>'[01_Entry.xlsx]Book'!O1010</f>
        <v/>
      </c>
      <c r="F1010" s="2">
        <f>'[01_Entry.xlsx]Book'!N1010</f>
        <v/>
      </c>
      <c r="G1010" s="3">
        <f>'[01_Entry.xlsx]Book'!L1010</f>
        <v/>
      </c>
      <c r="H1010" s="3">
        <f>'[01_Entry.xlsx]Book'!M1010</f>
        <v/>
      </c>
      <c r="I1010" s="3">
        <f>'[01_Entry.xlsx]Book'!K1010</f>
        <v/>
      </c>
      <c r="J1010" s="3">
        <f>'[01_Entry.xlsx]Book'!P1010</f>
        <v/>
      </c>
      <c r="K1010" s="3">
        <f>'[01_Entry.xlsx]Book'!F1010</f>
        <v/>
      </c>
      <c r="L1010" s="3">
        <f>'[01_Entry.xlsx]Book'!G1010</f>
        <v/>
      </c>
      <c r="M1010" s="3">
        <f>'[01_Entry.xlsx]Book'!I1010</f>
        <v/>
      </c>
      <c r="N1010" s="2">
        <f>IF($A1010="","",MID($A1010,6,2))</f>
        <v>0</v>
      </c>
      <c r="O1010" s="2">
        <f>IF(OR($C1010="",$C1010&lt;&gt;'Inv'!$D$12),"",N(O$1009)+1)</f>
        <v>0</v>
      </c>
    </row>
    <row r="1011" spans="1:15">
      <c r="A1011" s="2">
        <f>'[01_Entry.xlsx]Book'!A1011</f>
        <v/>
      </c>
      <c r="B1011" s="2">
        <f>'[01_Entry.xlsx]Book'!B1011</f>
        <v/>
      </c>
      <c r="C1011" s="2">
        <f>'[01_Entry.xlsx]Book'!D1011</f>
        <v/>
      </c>
      <c r="D1011" s="2">
        <f>'[01_Entry.xlsx]Book'!E1011</f>
        <v/>
      </c>
      <c r="E1011" s="2">
        <f>'[01_Entry.xlsx]Book'!O1011</f>
        <v/>
      </c>
      <c r="F1011" s="2">
        <f>'[01_Entry.xlsx]Book'!N1011</f>
        <v/>
      </c>
      <c r="G1011" s="3">
        <f>'[01_Entry.xlsx]Book'!L1011</f>
        <v/>
      </c>
      <c r="H1011" s="3">
        <f>'[01_Entry.xlsx]Book'!M1011</f>
        <v/>
      </c>
      <c r="I1011" s="3">
        <f>'[01_Entry.xlsx]Book'!K1011</f>
        <v/>
      </c>
      <c r="J1011" s="3">
        <f>'[01_Entry.xlsx]Book'!P1011</f>
        <v/>
      </c>
      <c r="K1011" s="3">
        <f>'[01_Entry.xlsx]Book'!F1011</f>
        <v/>
      </c>
      <c r="L1011" s="3">
        <f>'[01_Entry.xlsx]Book'!G1011</f>
        <v/>
      </c>
      <c r="M1011" s="3">
        <f>'[01_Entry.xlsx]Book'!I1011</f>
        <v/>
      </c>
      <c r="N1011" s="2">
        <f>IF($A1011="","",MID($A1011,6,2))</f>
        <v>0</v>
      </c>
      <c r="O1011" s="2">
        <f>IF(OR($C1011="",$C1011&lt;&gt;'Inv'!$D$12),"",N(O$1010)+1)</f>
        <v>0</v>
      </c>
    </row>
    <row r="1012" spans="1:15">
      <c r="A1012" s="2">
        <f>'[01_Entry.xlsx]Book'!A1012</f>
        <v/>
      </c>
      <c r="B1012" s="2">
        <f>'[01_Entry.xlsx]Book'!B1012</f>
        <v/>
      </c>
      <c r="C1012" s="2">
        <f>'[01_Entry.xlsx]Book'!D1012</f>
        <v/>
      </c>
      <c r="D1012" s="2">
        <f>'[01_Entry.xlsx]Book'!E1012</f>
        <v/>
      </c>
      <c r="E1012" s="2">
        <f>'[01_Entry.xlsx]Book'!O1012</f>
        <v/>
      </c>
      <c r="F1012" s="2">
        <f>'[01_Entry.xlsx]Book'!N1012</f>
        <v/>
      </c>
      <c r="G1012" s="3">
        <f>'[01_Entry.xlsx]Book'!L1012</f>
        <v/>
      </c>
      <c r="H1012" s="3">
        <f>'[01_Entry.xlsx]Book'!M1012</f>
        <v/>
      </c>
      <c r="I1012" s="3">
        <f>'[01_Entry.xlsx]Book'!K1012</f>
        <v/>
      </c>
      <c r="J1012" s="3">
        <f>'[01_Entry.xlsx]Book'!P1012</f>
        <v/>
      </c>
      <c r="K1012" s="3">
        <f>'[01_Entry.xlsx]Book'!F1012</f>
        <v/>
      </c>
      <c r="L1012" s="3">
        <f>'[01_Entry.xlsx]Book'!G1012</f>
        <v/>
      </c>
      <c r="M1012" s="3">
        <f>'[01_Entry.xlsx]Book'!I1012</f>
        <v/>
      </c>
      <c r="N1012" s="2">
        <f>IF($A1012="","",MID($A1012,6,2))</f>
        <v>0</v>
      </c>
      <c r="O1012" s="2">
        <f>IF(OR($C1012="",$C1012&lt;&gt;'Inv'!$D$12),"",N(O$1011)+1)</f>
        <v>0</v>
      </c>
    </row>
    <row r="1013" spans="1:15">
      <c r="A1013" s="2">
        <f>'[01_Entry.xlsx]Book'!A1013</f>
        <v/>
      </c>
      <c r="B1013" s="2">
        <f>'[01_Entry.xlsx]Book'!B1013</f>
        <v/>
      </c>
      <c r="C1013" s="2">
        <f>'[01_Entry.xlsx]Book'!D1013</f>
        <v/>
      </c>
      <c r="D1013" s="2">
        <f>'[01_Entry.xlsx]Book'!E1013</f>
        <v/>
      </c>
      <c r="E1013" s="2">
        <f>'[01_Entry.xlsx]Book'!O1013</f>
        <v/>
      </c>
      <c r="F1013" s="2">
        <f>'[01_Entry.xlsx]Book'!N1013</f>
        <v/>
      </c>
      <c r="G1013" s="3">
        <f>'[01_Entry.xlsx]Book'!L1013</f>
        <v/>
      </c>
      <c r="H1013" s="3">
        <f>'[01_Entry.xlsx]Book'!M1013</f>
        <v/>
      </c>
      <c r="I1013" s="3">
        <f>'[01_Entry.xlsx]Book'!K1013</f>
        <v/>
      </c>
      <c r="J1013" s="3">
        <f>'[01_Entry.xlsx]Book'!P1013</f>
        <v/>
      </c>
      <c r="K1013" s="3">
        <f>'[01_Entry.xlsx]Book'!F1013</f>
        <v/>
      </c>
      <c r="L1013" s="3">
        <f>'[01_Entry.xlsx]Book'!G1013</f>
        <v/>
      </c>
      <c r="M1013" s="3">
        <f>'[01_Entry.xlsx]Book'!I1013</f>
        <v/>
      </c>
      <c r="N1013" s="2">
        <f>IF($A1013="","",MID($A1013,6,2))</f>
        <v>0</v>
      </c>
      <c r="O1013" s="2">
        <f>IF(OR($C1013="",$C1013&lt;&gt;'Inv'!$D$12),"",N(O$1012)+1)</f>
        <v>0</v>
      </c>
    </row>
    <row r="1014" spans="1:15">
      <c r="A1014" s="2">
        <f>'[01_Entry.xlsx]Book'!A1014</f>
        <v/>
      </c>
      <c r="B1014" s="2">
        <f>'[01_Entry.xlsx]Book'!B1014</f>
        <v/>
      </c>
      <c r="C1014" s="2">
        <f>'[01_Entry.xlsx]Book'!D1014</f>
        <v/>
      </c>
      <c r="D1014" s="2">
        <f>'[01_Entry.xlsx]Book'!E1014</f>
        <v/>
      </c>
      <c r="E1014" s="2">
        <f>'[01_Entry.xlsx]Book'!O1014</f>
        <v/>
      </c>
      <c r="F1014" s="2">
        <f>'[01_Entry.xlsx]Book'!N1014</f>
        <v/>
      </c>
      <c r="G1014" s="3">
        <f>'[01_Entry.xlsx]Book'!L1014</f>
        <v/>
      </c>
      <c r="H1014" s="3">
        <f>'[01_Entry.xlsx]Book'!M1014</f>
        <v/>
      </c>
      <c r="I1014" s="3">
        <f>'[01_Entry.xlsx]Book'!K1014</f>
        <v/>
      </c>
      <c r="J1014" s="3">
        <f>'[01_Entry.xlsx]Book'!P1014</f>
        <v/>
      </c>
      <c r="K1014" s="3">
        <f>'[01_Entry.xlsx]Book'!F1014</f>
        <v/>
      </c>
      <c r="L1014" s="3">
        <f>'[01_Entry.xlsx]Book'!G1014</f>
        <v/>
      </c>
      <c r="M1014" s="3">
        <f>'[01_Entry.xlsx]Book'!I1014</f>
        <v/>
      </c>
      <c r="N1014" s="2">
        <f>IF($A1014="","",MID($A1014,6,2))</f>
        <v>0</v>
      </c>
      <c r="O1014" s="2">
        <f>IF(OR($C1014="",$C1014&lt;&gt;'Inv'!$D$12),"",N(O$1013)+1)</f>
        <v>0</v>
      </c>
    </row>
    <row r="1015" spans="1:15">
      <c r="A1015" s="2">
        <f>'[01_Entry.xlsx]Book'!A1015</f>
        <v/>
      </c>
      <c r="B1015" s="2">
        <f>'[01_Entry.xlsx]Book'!B1015</f>
        <v/>
      </c>
      <c r="C1015" s="2">
        <f>'[01_Entry.xlsx]Book'!D1015</f>
        <v/>
      </c>
      <c r="D1015" s="2">
        <f>'[01_Entry.xlsx]Book'!E1015</f>
        <v/>
      </c>
      <c r="E1015" s="2">
        <f>'[01_Entry.xlsx]Book'!O1015</f>
        <v/>
      </c>
      <c r="F1015" s="2">
        <f>'[01_Entry.xlsx]Book'!N1015</f>
        <v/>
      </c>
      <c r="G1015" s="3">
        <f>'[01_Entry.xlsx]Book'!L1015</f>
        <v/>
      </c>
      <c r="H1015" s="3">
        <f>'[01_Entry.xlsx]Book'!M1015</f>
        <v/>
      </c>
      <c r="I1015" s="3">
        <f>'[01_Entry.xlsx]Book'!K1015</f>
        <v/>
      </c>
      <c r="J1015" s="3">
        <f>'[01_Entry.xlsx]Book'!P1015</f>
        <v/>
      </c>
      <c r="K1015" s="3">
        <f>'[01_Entry.xlsx]Book'!F1015</f>
        <v/>
      </c>
      <c r="L1015" s="3">
        <f>'[01_Entry.xlsx]Book'!G1015</f>
        <v/>
      </c>
      <c r="M1015" s="3">
        <f>'[01_Entry.xlsx]Book'!I1015</f>
        <v/>
      </c>
      <c r="N1015" s="2">
        <f>IF($A1015="","",MID($A1015,6,2))</f>
        <v>0</v>
      </c>
      <c r="O1015" s="2">
        <f>IF(OR($C1015="",$C1015&lt;&gt;'Inv'!$D$12),"",N(O$1014)+1)</f>
        <v>0</v>
      </c>
    </row>
    <row r="1016" spans="1:15">
      <c r="A1016" s="2">
        <f>'[01_Entry.xlsx]Book'!A1016</f>
        <v/>
      </c>
      <c r="B1016" s="2">
        <f>'[01_Entry.xlsx]Book'!B1016</f>
        <v/>
      </c>
      <c r="C1016" s="2">
        <f>'[01_Entry.xlsx]Book'!D1016</f>
        <v/>
      </c>
      <c r="D1016" s="2">
        <f>'[01_Entry.xlsx]Book'!E1016</f>
        <v/>
      </c>
      <c r="E1016" s="2">
        <f>'[01_Entry.xlsx]Book'!O1016</f>
        <v/>
      </c>
      <c r="F1016" s="2">
        <f>'[01_Entry.xlsx]Book'!N1016</f>
        <v/>
      </c>
      <c r="G1016" s="3">
        <f>'[01_Entry.xlsx]Book'!L1016</f>
        <v/>
      </c>
      <c r="H1016" s="3">
        <f>'[01_Entry.xlsx]Book'!M1016</f>
        <v/>
      </c>
      <c r="I1016" s="3">
        <f>'[01_Entry.xlsx]Book'!K1016</f>
        <v/>
      </c>
      <c r="J1016" s="3">
        <f>'[01_Entry.xlsx]Book'!P1016</f>
        <v/>
      </c>
      <c r="K1016" s="3">
        <f>'[01_Entry.xlsx]Book'!F1016</f>
        <v/>
      </c>
      <c r="L1016" s="3">
        <f>'[01_Entry.xlsx]Book'!G1016</f>
        <v/>
      </c>
      <c r="M1016" s="3">
        <f>'[01_Entry.xlsx]Book'!I1016</f>
        <v/>
      </c>
      <c r="N1016" s="2">
        <f>IF($A1016="","",MID($A1016,6,2))</f>
        <v>0</v>
      </c>
      <c r="O1016" s="2">
        <f>IF(OR($C1016="",$C1016&lt;&gt;'Inv'!$D$12),"",N(O$1015)+1)</f>
        <v>0</v>
      </c>
    </row>
    <row r="1017" spans="1:15">
      <c r="A1017" s="2">
        <f>'[01_Entry.xlsx]Book'!A1017</f>
        <v/>
      </c>
      <c r="B1017" s="2">
        <f>'[01_Entry.xlsx]Book'!B1017</f>
        <v/>
      </c>
      <c r="C1017" s="2">
        <f>'[01_Entry.xlsx]Book'!D1017</f>
        <v/>
      </c>
      <c r="D1017" s="2">
        <f>'[01_Entry.xlsx]Book'!E1017</f>
        <v/>
      </c>
      <c r="E1017" s="2">
        <f>'[01_Entry.xlsx]Book'!O1017</f>
        <v/>
      </c>
      <c r="F1017" s="2">
        <f>'[01_Entry.xlsx]Book'!N1017</f>
        <v/>
      </c>
      <c r="G1017" s="3">
        <f>'[01_Entry.xlsx]Book'!L1017</f>
        <v/>
      </c>
      <c r="H1017" s="3">
        <f>'[01_Entry.xlsx]Book'!M1017</f>
        <v/>
      </c>
      <c r="I1017" s="3">
        <f>'[01_Entry.xlsx]Book'!K1017</f>
        <v/>
      </c>
      <c r="J1017" s="3">
        <f>'[01_Entry.xlsx]Book'!P1017</f>
        <v/>
      </c>
      <c r="K1017" s="3">
        <f>'[01_Entry.xlsx]Book'!F1017</f>
        <v/>
      </c>
      <c r="L1017" s="3">
        <f>'[01_Entry.xlsx]Book'!G1017</f>
        <v/>
      </c>
      <c r="M1017" s="3">
        <f>'[01_Entry.xlsx]Book'!I1017</f>
        <v/>
      </c>
      <c r="N1017" s="2">
        <f>IF($A1017="","",MID($A1017,6,2))</f>
        <v>0</v>
      </c>
      <c r="O1017" s="2">
        <f>IF(OR($C1017="",$C1017&lt;&gt;'Inv'!$D$12),"",N(O$1016)+1)</f>
        <v>0</v>
      </c>
    </row>
    <row r="1018" spans="1:15">
      <c r="A1018" s="2">
        <f>'[01_Entry.xlsx]Book'!A1018</f>
        <v/>
      </c>
      <c r="B1018" s="2">
        <f>'[01_Entry.xlsx]Book'!B1018</f>
        <v/>
      </c>
      <c r="C1018" s="2">
        <f>'[01_Entry.xlsx]Book'!D1018</f>
        <v/>
      </c>
      <c r="D1018" s="2">
        <f>'[01_Entry.xlsx]Book'!E1018</f>
        <v/>
      </c>
      <c r="E1018" s="2">
        <f>'[01_Entry.xlsx]Book'!O1018</f>
        <v/>
      </c>
      <c r="F1018" s="2">
        <f>'[01_Entry.xlsx]Book'!N1018</f>
        <v/>
      </c>
      <c r="G1018" s="3">
        <f>'[01_Entry.xlsx]Book'!L1018</f>
        <v/>
      </c>
      <c r="H1018" s="3">
        <f>'[01_Entry.xlsx]Book'!M1018</f>
        <v/>
      </c>
      <c r="I1018" s="3">
        <f>'[01_Entry.xlsx]Book'!K1018</f>
        <v/>
      </c>
      <c r="J1018" s="3">
        <f>'[01_Entry.xlsx]Book'!P1018</f>
        <v/>
      </c>
      <c r="K1018" s="3">
        <f>'[01_Entry.xlsx]Book'!F1018</f>
        <v/>
      </c>
      <c r="L1018" s="3">
        <f>'[01_Entry.xlsx]Book'!G1018</f>
        <v/>
      </c>
      <c r="M1018" s="3">
        <f>'[01_Entry.xlsx]Book'!I1018</f>
        <v/>
      </c>
      <c r="N1018" s="2">
        <f>IF($A1018="","",MID($A1018,6,2))</f>
        <v>0</v>
      </c>
      <c r="O1018" s="2">
        <f>IF(OR($C1018="",$C1018&lt;&gt;'Inv'!$D$12),"",N(O$1017)+1)</f>
        <v>0</v>
      </c>
    </row>
    <row r="1019" spans="1:15">
      <c r="A1019" s="2">
        <f>'[01_Entry.xlsx]Book'!A1019</f>
        <v/>
      </c>
      <c r="B1019" s="2">
        <f>'[01_Entry.xlsx]Book'!B1019</f>
        <v/>
      </c>
      <c r="C1019" s="2">
        <f>'[01_Entry.xlsx]Book'!D1019</f>
        <v/>
      </c>
      <c r="D1019" s="2">
        <f>'[01_Entry.xlsx]Book'!E1019</f>
        <v/>
      </c>
      <c r="E1019" s="2">
        <f>'[01_Entry.xlsx]Book'!O1019</f>
        <v/>
      </c>
      <c r="F1019" s="2">
        <f>'[01_Entry.xlsx]Book'!N1019</f>
        <v/>
      </c>
      <c r="G1019" s="3">
        <f>'[01_Entry.xlsx]Book'!L1019</f>
        <v/>
      </c>
      <c r="H1019" s="3">
        <f>'[01_Entry.xlsx]Book'!M1019</f>
        <v/>
      </c>
      <c r="I1019" s="3">
        <f>'[01_Entry.xlsx]Book'!K1019</f>
        <v/>
      </c>
      <c r="J1019" s="3">
        <f>'[01_Entry.xlsx]Book'!P1019</f>
        <v/>
      </c>
      <c r="K1019" s="3">
        <f>'[01_Entry.xlsx]Book'!F1019</f>
        <v/>
      </c>
      <c r="L1019" s="3">
        <f>'[01_Entry.xlsx]Book'!G1019</f>
        <v/>
      </c>
      <c r="M1019" s="3">
        <f>'[01_Entry.xlsx]Book'!I1019</f>
        <v/>
      </c>
      <c r="N1019" s="2">
        <f>IF($A1019="","",MID($A1019,6,2))</f>
        <v>0</v>
      </c>
      <c r="O1019" s="2">
        <f>IF(OR($C1019="",$C1019&lt;&gt;'Inv'!$D$12),"",N(O$1018)+1)</f>
        <v>0</v>
      </c>
    </row>
    <row r="1020" spans="1:15">
      <c r="A1020" s="2">
        <f>'[01_Entry.xlsx]Book'!A1020</f>
        <v/>
      </c>
      <c r="B1020" s="2">
        <f>'[01_Entry.xlsx]Book'!B1020</f>
        <v/>
      </c>
      <c r="C1020" s="2">
        <f>'[01_Entry.xlsx]Book'!D1020</f>
        <v/>
      </c>
      <c r="D1020" s="2">
        <f>'[01_Entry.xlsx]Book'!E1020</f>
        <v/>
      </c>
      <c r="E1020" s="2">
        <f>'[01_Entry.xlsx]Book'!O1020</f>
        <v/>
      </c>
      <c r="F1020" s="2">
        <f>'[01_Entry.xlsx]Book'!N1020</f>
        <v/>
      </c>
      <c r="G1020" s="3">
        <f>'[01_Entry.xlsx]Book'!L1020</f>
        <v/>
      </c>
      <c r="H1020" s="3">
        <f>'[01_Entry.xlsx]Book'!M1020</f>
        <v/>
      </c>
      <c r="I1020" s="3">
        <f>'[01_Entry.xlsx]Book'!K1020</f>
        <v/>
      </c>
      <c r="J1020" s="3">
        <f>'[01_Entry.xlsx]Book'!P1020</f>
        <v/>
      </c>
      <c r="K1020" s="3">
        <f>'[01_Entry.xlsx]Book'!F1020</f>
        <v/>
      </c>
      <c r="L1020" s="3">
        <f>'[01_Entry.xlsx]Book'!G1020</f>
        <v/>
      </c>
      <c r="M1020" s="3">
        <f>'[01_Entry.xlsx]Book'!I1020</f>
        <v/>
      </c>
      <c r="N1020" s="2">
        <f>IF($A1020="","",MID($A1020,6,2))</f>
        <v>0</v>
      </c>
      <c r="O1020" s="2">
        <f>IF(OR($C1020="",$C1020&lt;&gt;'Inv'!$D$12),"",N(O$1019)+1)</f>
        <v>0</v>
      </c>
    </row>
    <row r="1021" spans="1:15">
      <c r="A1021" s="2">
        <f>'[01_Entry.xlsx]Book'!A1021</f>
        <v/>
      </c>
      <c r="B1021" s="2">
        <f>'[01_Entry.xlsx]Book'!B1021</f>
        <v/>
      </c>
      <c r="C1021" s="2">
        <f>'[01_Entry.xlsx]Book'!D1021</f>
        <v/>
      </c>
      <c r="D1021" s="2">
        <f>'[01_Entry.xlsx]Book'!E1021</f>
        <v/>
      </c>
      <c r="E1021" s="2">
        <f>'[01_Entry.xlsx]Book'!O1021</f>
        <v/>
      </c>
      <c r="F1021" s="2">
        <f>'[01_Entry.xlsx]Book'!N1021</f>
        <v/>
      </c>
      <c r="G1021" s="3">
        <f>'[01_Entry.xlsx]Book'!L1021</f>
        <v/>
      </c>
      <c r="H1021" s="3">
        <f>'[01_Entry.xlsx]Book'!M1021</f>
        <v/>
      </c>
      <c r="I1021" s="3">
        <f>'[01_Entry.xlsx]Book'!K1021</f>
        <v/>
      </c>
      <c r="J1021" s="3">
        <f>'[01_Entry.xlsx]Book'!P1021</f>
        <v/>
      </c>
      <c r="K1021" s="3">
        <f>'[01_Entry.xlsx]Book'!F1021</f>
        <v/>
      </c>
      <c r="L1021" s="3">
        <f>'[01_Entry.xlsx]Book'!G1021</f>
        <v/>
      </c>
      <c r="M1021" s="3">
        <f>'[01_Entry.xlsx]Book'!I1021</f>
        <v/>
      </c>
      <c r="N1021" s="2">
        <f>IF($A1021="","",MID($A1021,6,2))</f>
        <v>0</v>
      </c>
      <c r="O1021" s="2">
        <f>IF(OR($C1021="",$C1021&lt;&gt;'Inv'!$D$12),"",N(O$1020)+1)</f>
        <v>0</v>
      </c>
    </row>
    <row r="1022" spans="1:15">
      <c r="A1022" s="2">
        <f>'[01_Entry.xlsx]Book'!A1022</f>
        <v/>
      </c>
      <c r="B1022" s="2">
        <f>'[01_Entry.xlsx]Book'!B1022</f>
        <v/>
      </c>
      <c r="C1022" s="2">
        <f>'[01_Entry.xlsx]Book'!D1022</f>
        <v/>
      </c>
      <c r="D1022" s="2">
        <f>'[01_Entry.xlsx]Book'!E1022</f>
        <v/>
      </c>
      <c r="E1022" s="2">
        <f>'[01_Entry.xlsx]Book'!O1022</f>
        <v/>
      </c>
      <c r="F1022" s="2">
        <f>'[01_Entry.xlsx]Book'!N1022</f>
        <v/>
      </c>
      <c r="G1022" s="3">
        <f>'[01_Entry.xlsx]Book'!L1022</f>
        <v/>
      </c>
      <c r="H1022" s="3">
        <f>'[01_Entry.xlsx]Book'!M1022</f>
        <v/>
      </c>
      <c r="I1022" s="3">
        <f>'[01_Entry.xlsx]Book'!K1022</f>
        <v/>
      </c>
      <c r="J1022" s="3">
        <f>'[01_Entry.xlsx]Book'!P1022</f>
        <v/>
      </c>
      <c r="K1022" s="3">
        <f>'[01_Entry.xlsx]Book'!F1022</f>
        <v/>
      </c>
      <c r="L1022" s="3">
        <f>'[01_Entry.xlsx]Book'!G1022</f>
        <v/>
      </c>
      <c r="M1022" s="3">
        <f>'[01_Entry.xlsx]Book'!I1022</f>
        <v/>
      </c>
      <c r="N1022" s="2">
        <f>IF($A1022="","",MID($A1022,6,2))</f>
        <v>0</v>
      </c>
      <c r="O1022" s="2">
        <f>IF(OR($C1022="",$C1022&lt;&gt;'Inv'!$D$12),"",N(O$1021)+1)</f>
        <v>0</v>
      </c>
    </row>
    <row r="1023" spans="1:15">
      <c r="A1023" s="2">
        <f>'[01_Entry.xlsx]Book'!A1023</f>
        <v/>
      </c>
      <c r="B1023" s="2">
        <f>'[01_Entry.xlsx]Book'!B1023</f>
        <v/>
      </c>
      <c r="C1023" s="2">
        <f>'[01_Entry.xlsx]Book'!D1023</f>
        <v/>
      </c>
      <c r="D1023" s="2">
        <f>'[01_Entry.xlsx]Book'!E1023</f>
        <v/>
      </c>
      <c r="E1023" s="2">
        <f>'[01_Entry.xlsx]Book'!O1023</f>
        <v/>
      </c>
      <c r="F1023" s="2">
        <f>'[01_Entry.xlsx]Book'!N1023</f>
        <v/>
      </c>
      <c r="G1023" s="3">
        <f>'[01_Entry.xlsx]Book'!L1023</f>
        <v/>
      </c>
      <c r="H1023" s="3">
        <f>'[01_Entry.xlsx]Book'!M1023</f>
        <v/>
      </c>
      <c r="I1023" s="3">
        <f>'[01_Entry.xlsx]Book'!K1023</f>
        <v/>
      </c>
      <c r="J1023" s="3">
        <f>'[01_Entry.xlsx]Book'!P1023</f>
        <v/>
      </c>
      <c r="K1023" s="3">
        <f>'[01_Entry.xlsx]Book'!F1023</f>
        <v/>
      </c>
      <c r="L1023" s="3">
        <f>'[01_Entry.xlsx]Book'!G1023</f>
        <v/>
      </c>
      <c r="M1023" s="3">
        <f>'[01_Entry.xlsx]Book'!I1023</f>
        <v/>
      </c>
      <c r="N1023" s="2">
        <f>IF($A1023="","",MID($A1023,6,2))</f>
        <v>0</v>
      </c>
      <c r="O1023" s="2">
        <f>IF(OR($C1023="",$C1023&lt;&gt;'Inv'!$D$12),"",N(O$1022)+1)</f>
        <v>0</v>
      </c>
    </row>
    <row r="1024" spans="1:15">
      <c r="A1024" s="2">
        <f>'[01_Entry.xlsx]Book'!A1024</f>
        <v/>
      </c>
      <c r="B1024" s="2">
        <f>'[01_Entry.xlsx]Book'!B1024</f>
        <v/>
      </c>
      <c r="C1024" s="2">
        <f>'[01_Entry.xlsx]Book'!D1024</f>
        <v/>
      </c>
      <c r="D1024" s="2">
        <f>'[01_Entry.xlsx]Book'!E1024</f>
        <v/>
      </c>
      <c r="E1024" s="2">
        <f>'[01_Entry.xlsx]Book'!O1024</f>
        <v/>
      </c>
      <c r="F1024" s="2">
        <f>'[01_Entry.xlsx]Book'!N1024</f>
        <v/>
      </c>
      <c r="G1024" s="3">
        <f>'[01_Entry.xlsx]Book'!L1024</f>
        <v/>
      </c>
      <c r="H1024" s="3">
        <f>'[01_Entry.xlsx]Book'!M1024</f>
        <v/>
      </c>
      <c r="I1024" s="3">
        <f>'[01_Entry.xlsx]Book'!K1024</f>
        <v/>
      </c>
      <c r="J1024" s="3">
        <f>'[01_Entry.xlsx]Book'!P1024</f>
        <v/>
      </c>
      <c r="K1024" s="3">
        <f>'[01_Entry.xlsx]Book'!F1024</f>
        <v/>
      </c>
      <c r="L1024" s="3">
        <f>'[01_Entry.xlsx]Book'!G1024</f>
        <v/>
      </c>
      <c r="M1024" s="3">
        <f>'[01_Entry.xlsx]Book'!I1024</f>
        <v/>
      </c>
      <c r="N1024" s="2">
        <f>IF($A1024="","",MID($A1024,6,2))</f>
        <v>0</v>
      </c>
      <c r="O1024" s="2">
        <f>IF(OR($C1024="",$C1024&lt;&gt;'Inv'!$D$12),"",N(O$1023)+1)</f>
        <v>0</v>
      </c>
    </row>
    <row r="1025" spans="1:15">
      <c r="A1025" s="2">
        <f>'[01_Entry.xlsx]Book'!A1025</f>
        <v/>
      </c>
      <c r="B1025" s="2">
        <f>'[01_Entry.xlsx]Book'!B1025</f>
        <v/>
      </c>
      <c r="C1025" s="2">
        <f>'[01_Entry.xlsx]Book'!D1025</f>
        <v/>
      </c>
      <c r="D1025" s="2">
        <f>'[01_Entry.xlsx]Book'!E1025</f>
        <v/>
      </c>
      <c r="E1025" s="2">
        <f>'[01_Entry.xlsx]Book'!O1025</f>
        <v/>
      </c>
      <c r="F1025" s="2">
        <f>'[01_Entry.xlsx]Book'!N1025</f>
        <v/>
      </c>
      <c r="G1025" s="3">
        <f>'[01_Entry.xlsx]Book'!L1025</f>
        <v/>
      </c>
      <c r="H1025" s="3">
        <f>'[01_Entry.xlsx]Book'!M1025</f>
        <v/>
      </c>
      <c r="I1025" s="3">
        <f>'[01_Entry.xlsx]Book'!K1025</f>
        <v/>
      </c>
      <c r="J1025" s="3">
        <f>'[01_Entry.xlsx]Book'!P1025</f>
        <v/>
      </c>
      <c r="K1025" s="3">
        <f>'[01_Entry.xlsx]Book'!F1025</f>
        <v/>
      </c>
      <c r="L1025" s="3">
        <f>'[01_Entry.xlsx]Book'!G1025</f>
        <v/>
      </c>
      <c r="M1025" s="3">
        <f>'[01_Entry.xlsx]Book'!I1025</f>
        <v/>
      </c>
      <c r="N1025" s="2">
        <f>IF($A1025="","",MID($A1025,6,2))</f>
        <v>0</v>
      </c>
      <c r="O1025" s="2">
        <f>IF(OR($C1025="",$C1025&lt;&gt;'Inv'!$D$12),"",N(O$1024)+1)</f>
        <v>0</v>
      </c>
    </row>
    <row r="1026" spans="1:15">
      <c r="A1026" s="2">
        <f>'[01_Entry.xlsx]Book'!A1026</f>
        <v/>
      </c>
      <c r="B1026" s="2">
        <f>'[01_Entry.xlsx]Book'!B1026</f>
        <v/>
      </c>
      <c r="C1026" s="2">
        <f>'[01_Entry.xlsx]Book'!D1026</f>
        <v/>
      </c>
      <c r="D1026" s="2">
        <f>'[01_Entry.xlsx]Book'!E1026</f>
        <v/>
      </c>
      <c r="E1026" s="2">
        <f>'[01_Entry.xlsx]Book'!O1026</f>
        <v/>
      </c>
      <c r="F1026" s="2">
        <f>'[01_Entry.xlsx]Book'!N1026</f>
        <v/>
      </c>
      <c r="G1026" s="3">
        <f>'[01_Entry.xlsx]Book'!L1026</f>
        <v/>
      </c>
      <c r="H1026" s="3">
        <f>'[01_Entry.xlsx]Book'!M1026</f>
        <v/>
      </c>
      <c r="I1026" s="3">
        <f>'[01_Entry.xlsx]Book'!K1026</f>
        <v/>
      </c>
      <c r="J1026" s="3">
        <f>'[01_Entry.xlsx]Book'!P1026</f>
        <v/>
      </c>
      <c r="K1026" s="3">
        <f>'[01_Entry.xlsx]Book'!F1026</f>
        <v/>
      </c>
      <c r="L1026" s="3">
        <f>'[01_Entry.xlsx]Book'!G1026</f>
        <v/>
      </c>
      <c r="M1026" s="3">
        <f>'[01_Entry.xlsx]Book'!I1026</f>
        <v/>
      </c>
      <c r="N1026" s="2">
        <f>IF($A1026="","",MID($A1026,6,2))</f>
        <v>0</v>
      </c>
      <c r="O1026" s="2">
        <f>IF(OR($C1026="",$C1026&lt;&gt;'Inv'!$D$12),"",N(O$1025)+1)</f>
        <v>0</v>
      </c>
    </row>
    <row r="1027" spans="1:15">
      <c r="A1027" s="2">
        <f>'[01_Entry.xlsx]Book'!A1027</f>
        <v/>
      </c>
      <c r="B1027" s="2">
        <f>'[01_Entry.xlsx]Book'!B1027</f>
        <v/>
      </c>
      <c r="C1027" s="2">
        <f>'[01_Entry.xlsx]Book'!D1027</f>
        <v/>
      </c>
      <c r="D1027" s="2">
        <f>'[01_Entry.xlsx]Book'!E1027</f>
        <v/>
      </c>
      <c r="E1027" s="2">
        <f>'[01_Entry.xlsx]Book'!O1027</f>
        <v/>
      </c>
      <c r="F1027" s="2">
        <f>'[01_Entry.xlsx]Book'!N1027</f>
        <v/>
      </c>
      <c r="G1027" s="3">
        <f>'[01_Entry.xlsx]Book'!L1027</f>
        <v/>
      </c>
      <c r="H1027" s="3">
        <f>'[01_Entry.xlsx]Book'!M1027</f>
        <v/>
      </c>
      <c r="I1027" s="3">
        <f>'[01_Entry.xlsx]Book'!K1027</f>
        <v/>
      </c>
      <c r="J1027" s="3">
        <f>'[01_Entry.xlsx]Book'!P1027</f>
        <v/>
      </c>
      <c r="K1027" s="3">
        <f>'[01_Entry.xlsx]Book'!F1027</f>
        <v/>
      </c>
      <c r="L1027" s="3">
        <f>'[01_Entry.xlsx]Book'!G1027</f>
        <v/>
      </c>
      <c r="M1027" s="3">
        <f>'[01_Entry.xlsx]Book'!I1027</f>
        <v/>
      </c>
      <c r="N1027" s="2">
        <f>IF($A1027="","",MID($A1027,6,2))</f>
        <v>0</v>
      </c>
      <c r="O1027" s="2">
        <f>IF(OR($C1027="",$C1027&lt;&gt;'Inv'!$D$12),"",N(O$1026)+1)</f>
        <v>0</v>
      </c>
    </row>
    <row r="1028" spans="1:15">
      <c r="A1028" s="2">
        <f>'[01_Entry.xlsx]Book'!A1028</f>
        <v/>
      </c>
      <c r="B1028" s="2">
        <f>'[01_Entry.xlsx]Book'!B1028</f>
        <v/>
      </c>
      <c r="C1028" s="2">
        <f>'[01_Entry.xlsx]Book'!D1028</f>
        <v/>
      </c>
      <c r="D1028" s="2">
        <f>'[01_Entry.xlsx]Book'!E1028</f>
        <v/>
      </c>
      <c r="E1028" s="2">
        <f>'[01_Entry.xlsx]Book'!O1028</f>
        <v/>
      </c>
      <c r="F1028" s="2">
        <f>'[01_Entry.xlsx]Book'!N1028</f>
        <v/>
      </c>
      <c r="G1028" s="3">
        <f>'[01_Entry.xlsx]Book'!L1028</f>
        <v/>
      </c>
      <c r="H1028" s="3">
        <f>'[01_Entry.xlsx]Book'!M1028</f>
        <v/>
      </c>
      <c r="I1028" s="3">
        <f>'[01_Entry.xlsx]Book'!K1028</f>
        <v/>
      </c>
      <c r="J1028" s="3">
        <f>'[01_Entry.xlsx]Book'!P1028</f>
        <v/>
      </c>
      <c r="K1028" s="3">
        <f>'[01_Entry.xlsx]Book'!F1028</f>
        <v/>
      </c>
      <c r="L1028" s="3">
        <f>'[01_Entry.xlsx]Book'!G1028</f>
        <v/>
      </c>
      <c r="M1028" s="3">
        <f>'[01_Entry.xlsx]Book'!I1028</f>
        <v/>
      </c>
      <c r="N1028" s="2">
        <f>IF($A1028="","",MID($A1028,6,2))</f>
        <v>0</v>
      </c>
      <c r="O1028" s="2">
        <f>IF(OR($C1028="",$C1028&lt;&gt;'Inv'!$D$12),"",N(O$1027)+1)</f>
        <v>0</v>
      </c>
    </row>
    <row r="1029" spans="1:15">
      <c r="A1029" s="2">
        <f>'[01_Entry.xlsx]Book'!A1029</f>
        <v/>
      </c>
      <c r="B1029" s="2">
        <f>'[01_Entry.xlsx]Book'!B1029</f>
        <v/>
      </c>
      <c r="C1029" s="2">
        <f>'[01_Entry.xlsx]Book'!D1029</f>
        <v/>
      </c>
      <c r="D1029" s="2">
        <f>'[01_Entry.xlsx]Book'!E1029</f>
        <v/>
      </c>
      <c r="E1029" s="2">
        <f>'[01_Entry.xlsx]Book'!O1029</f>
        <v/>
      </c>
      <c r="F1029" s="2">
        <f>'[01_Entry.xlsx]Book'!N1029</f>
        <v/>
      </c>
      <c r="G1029" s="3">
        <f>'[01_Entry.xlsx]Book'!L1029</f>
        <v/>
      </c>
      <c r="H1029" s="3">
        <f>'[01_Entry.xlsx]Book'!M1029</f>
        <v/>
      </c>
      <c r="I1029" s="3">
        <f>'[01_Entry.xlsx]Book'!K1029</f>
        <v/>
      </c>
      <c r="J1029" s="3">
        <f>'[01_Entry.xlsx]Book'!P1029</f>
        <v/>
      </c>
      <c r="K1029" s="3">
        <f>'[01_Entry.xlsx]Book'!F1029</f>
        <v/>
      </c>
      <c r="L1029" s="3">
        <f>'[01_Entry.xlsx]Book'!G1029</f>
        <v/>
      </c>
      <c r="M1029" s="3">
        <f>'[01_Entry.xlsx]Book'!I1029</f>
        <v/>
      </c>
      <c r="N1029" s="2">
        <f>IF($A1029="","",MID($A1029,6,2))</f>
        <v>0</v>
      </c>
      <c r="O1029" s="2">
        <f>IF(OR($C1029="",$C1029&lt;&gt;'Inv'!$D$12),"",N(O$1028)+1)</f>
        <v>0</v>
      </c>
    </row>
    <row r="1030" spans="1:15">
      <c r="A1030" s="2">
        <f>'[01_Entry.xlsx]Book'!A1030</f>
        <v/>
      </c>
      <c r="B1030" s="2">
        <f>'[01_Entry.xlsx]Book'!B1030</f>
        <v/>
      </c>
      <c r="C1030" s="2">
        <f>'[01_Entry.xlsx]Book'!D1030</f>
        <v/>
      </c>
      <c r="D1030" s="2">
        <f>'[01_Entry.xlsx]Book'!E1030</f>
        <v/>
      </c>
      <c r="E1030" s="2">
        <f>'[01_Entry.xlsx]Book'!O1030</f>
        <v/>
      </c>
      <c r="F1030" s="2">
        <f>'[01_Entry.xlsx]Book'!N1030</f>
        <v/>
      </c>
      <c r="G1030" s="3">
        <f>'[01_Entry.xlsx]Book'!L1030</f>
        <v/>
      </c>
      <c r="H1030" s="3">
        <f>'[01_Entry.xlsx]Book'!M1030</f>
        <v/>
      </c>
      <c r="I1030" s="3">
        <f>'[01_Entry.xlsx]Book'!K1030</f>
        <v/>
      </c>
      <c r="J1030" s="3">
        <f>'[01_Entry.xlsx]Book'!P1030</f>
        <v/>
      </c>
      <c r="K1030" s="3">
        <f>'[01_Entry.xlsx]Book'!F1030</f>
        <v/>
      </c>
      <c r="L1030" s="3">
        <f>'[01_Entry.xlsx]Book'!G1030</f>
        <v/>
      </c>
      <c r="M1030" s="3">
        <f>'[01_Entry.xlsx]Book'!I1030</f>
        <v/>
      </c>
      <c r="N1030" s="2">
        <f>IF($A1030="","",MID($A1030,6,2))</f>
        <v>0</v>
      </c>
      <c r="O1030" s="2">
        <f>IF(OR($C1030="",$C1030&lt;&gt;'Inv'!$D$12),"",N(O$1029)+1)</f>
        <v>0</v>
      </c>
    </row>
    <row r="1031" spans="1:15">
      <c r="A1031" s="2">
        <f>'[01_Entry.xlsx]Book'!A1031</f>
        <v/>
      </c>
      <c r="B1031" s="2">
        <f>'[01_Entry.xlsx]Book'!B1031</f>
        <v/>
      </c>
      <c r="C1031" s="2">
        <f>'[01_Entry.xlsx]Book'!D1031</f>
        <v/>
      </c>
      <c r="D1031" s="2">
        <f>'[01_Entry.xlsx]Book'!E1031</f>
        <v/>
      </c>
      <c r="E1031" s="2">
        <f>'[01_Entry.xlsx]Book'!O1031</f>
        <v/>
      </c>
      <c r="F1031" s="2">
        <f>'[01_Entry.xlsx]Book'!N1031</f>
        <v/>
      </c>
      <c r="G1031" s="3">
        <f>'[01_Entry.xlsx]Book'!L1031</f>
        <v/>
      </c>
      <c r="H1031" s="3">
        <f>'[01_Entry.xlsx]Book'!M1031</f>
        <v/>
      </c>
      <c r="I1031" s="3">
        <f>'[01_Entry.xlsx]Book'!K1031</f>
        <v/>
      </c>
      <c r="J1031" s="3">
        <f>'[01_Entry.xlsx]Book'!P1031</f>
        <v/>
      </c>
      <c r="K1031" s="3">
        <f>'[01_Entry.xlsx]Book'!F1031</f>
        <v/>
      </c>
      <c r="L1031" s="3">
        <f>'[01_Entry.xlsx]Book'!G1031</f>
        <v/>
      </c>
      <c r="M1031" s="3">
        <f>'[01_Entry.xlsx]Book'!I1031</f>
        <v/>
      </c>
      <c r="N1031" s="2">
        <f>IF($A1031="","",MID($A1031,6,2))</f>
        <v>0</v>
      </c>
      <c r="O1031" s="2">
        <f>IF(OR($C1031="",$C1031&lt;&gt;'Inv'!$D$12),"",N(O$1030)+1)</f>
        <v>0</v>
      </c>
    </row>
    <row r="1032" spans="1:15">
      <c r="A1032" s="2">
        <f>'[01_Entry.xlsx]Book'!A1032</f>
        <v/>
      </c>
      <c r="B1032" s="2">
        <f>'[01_Entry.xlsx]Book'!B1032</f>
        <v/>
      </c>
      <c r="C1032" s="2">
        <f>'[01_Entry.xlsx]Book'!D1032</f>
        <v/>
      </c>
      <c r="D1032" s="2">
        <f>'[01_Entry.xlsx]Book'!E1032</f>
        <v/>
      </c>
      <c r="E1032" s="2">
        <f>'[01_Entry.xlsx]Book'!O1032</f>
        <v/>
      </c>
      <c r="F1032" s="2">
        <f>'[01_Entry.xlsx]Book'!N1032</f>
        <v/>
      </c>
      <c r="G1032" s="3">
        <f>'[01_Entry.xlsx]Book'!L1032</f>
        <v/>
      </c>
      <c r="H1032" s="3">
        <f>'[01_Entry.xlsx]Book'!M1032</f>
        <v/>
      </c>
      <c r="I1032" s="3">
        <f>'[01_Entry.xlsx]Book'!K1032</f>
        <v/>
      </c>
      <c r="J1032" s="3">
        <f>'[01_Entry.xlsx]Book'!P1032</f>
        <v/>
      </c>
      <c r="K1032" s="3">
        <f>'[01_Entry.xlsx]Book'!F1032</f>
        <v/>
      </c>
      <c r="L1032" s="3">
        <f>'[01_Entry.xlsx]Book'!G1032</f>
        <v/>
      </c>
      <c r="M1032" s="3">
        <f>'[01_Entry.xlsx]Book'!I1032</f>
        <v/>
      </c>
      <c r="N1032" s="2">
        <f>IF($A1032="","",MID($A1032,6,2))</f>
        <v>0</v>
      </c>
      <c r="O1032" s="2">
        <f>IF(OR($C1032="",$C1032&lt;&gt;'Inv'!$D$12),"",N(O$1031)+1)</f>
        <v>0</v>
      </c>
    </row>
    <row r="1033" spans="1:15">
      <c r="A1033" s="2">
        <f>'[01_Entry.xlsx]Book'!A1033</f>
        <v/>
      </c>
      <c r="B1033" s="2">
        <f>'[01_Entry.xlsx]Book'!B1033</f>
        <v/>
      </c>
      <c r="C1033" s="2">
        <f>'[01_Entry.xlsx]Book'!D1033</f>
        <v/>
      </c>
      <c r="D1033" s="2">
        <f>'[01_Entry.xlsx]Book'!E1033</f>
        <v/>
      </c>
      <c r="E1033" s="2">
        <f>'[01_Entry.xlsx]Book'!O1033</f>
        <v/>
      </c>
      <c r="F1033" s="2">
        <f>'[01_Entry.xlsx]Book'!N1033</f>
        <v/>
      </c>
      <c r="G1033" s="3">
        <f>'[01_Entry.xlsx]Book'!L1033</f>
        <v/>
      </c>
      <c r="H1033" s="3">
        <f>'[01_Entry.xlsx]Book'!M1033</f>
        <v/>
      </c>
      <c r="I1033" s="3">
        <f>'[01_Entry.xlsx]Book'!K1033</f>
        <v/>
      </c>
      <c r="J1033" s="3">
        <f>'[01_Entry.xlsx]Book'!P1033</f>
        <v/>
      </c>
      <c r="K1033" s="3">
        <f>'[01_Entry.xlsx]Book'!F1033</f>
        <v/>
      </c>
      <c r="L1033" s="3">
        <f>'[01_Entry.xlsx]Book'!G1033</f>
        <v/>
      </c>
      <c r="M1033" s="3">
        <f>'[01_Entry.xlsx]Book'!I1033</f>
        <v/>
      </c>
      <c r="N1033" s="2">
        <f>IF($A1033="","",MID($A1033,6,2))</f>
        <v>0</v>
      </c>
      <c r="O1033" s="2">
        <f>IF(OR($C1033="",$C1033&lt;&gt;'Inv'!$D$12),"",N(O$1032)+1)</f>
        <v>0</v>
      </c>
    </row>
    <row r="1034" spans="1:15">
      <c r="A1034" s="2">
        <f>'[01_Entry.xlsx]Book'!A1034</f>
        <v/>
      </c>
      <c r="B1034" s="2">
        <f>'[01_Entry.xlsx]Book'!B1034</f>
        <v/>
      </c>
      <c r="C1034" s="2">
        <f>'[01_Entry.xlsx]Book'!D1034</f>
        <v/>
      </c>
      <c r="D1034" s="2">
        <f>'[01_Entry.xlsx]Book'!E1034</f>
        <v/>
      </c>
      <c r="E1034" s="2">
        <f>'[01_Entry.xlsx]Book'!O1034</f>
        <v/>
      </c>
      <c r="F1034" s="2">
        <f>'[01_Entry.xlsx]Book'!N1034</f>
        <v/>
      </c>
      <c r="G1034" s="3">
        <f>'[01_Entry.xlsx]Book'!L1034</f>
        <v/>
      </c>
      <c r="H1034" s="3">
        <f>'[01_Entry.xlsx]Book'!M1034</f>
        <v/>
      </c>
      <c r="I1034" s="3">
        <f>'[01_Entry.xlsx]Book'!K1034</f>
        <v/>
      </c>
      <c r="J1034" s="3">
        <f>'[01_Entry.xlsx]Book'!P1034</f>
        <v/>
      </c>
      <c r="K1034" s="3">
        <f>'[01_Entry.xlsx]Book'!F1034</f>
        <v/>
      </c>
      <c r="L1034" s="3">
        <f>'[01_Entry.xlsx]Book'!G1034</f>
        <v/>
      </c>
      <c r="M1034" s="3">
        <f>'[01_Entry.xlsx]Book'!I1034</f>
        <v/>
      </c>
      <c r="N1034" s="2">
        <f>IF($A1034="","",MID($A1034,6,2))</f>
        <v>0</v>
      </c>
      <c r="O1034" s="2">
        <f>IF(OR($C1034="",$C1034&lt;&gt;'Inv'!$D$12),"",N(O$1033)+1)</f>
        <v>0</v>
      </c>
    </row>
    <row r="1035" spans="1:15">
      <c r="A1035" s="2">
        <f>'[01_Entry.xlsx]Book'!A1035</f>
        <v/>
      </c>
      <c r="B1035" s="2">
        <f>'[01_Entry.xlsx]Book'!B1035</f>
        <v/>
      </c>
      <c r="C1035" s="2">
        <f>'[01_Entry.xlsx]Book'!D1035</f>
        <v/>
      </c>
      <c r="D1035" s="2">
        <f>'[01_Entry.xlsx]Book'!E1035</f>
        <v/>
      </c>
      <c r="E1035" s="2">
        <f>'[01_Entry.xlsx]Book'!O1035</f>
        <v/>
      </c>
      <c r="F1035" s="2">
        <f>'[01_Entry.xlsx]Book'!N1035</f>
        <v/>
      </c>
      <c r="G1035" s="3">
        <f>'[01_Entry.xlsx]Book'!L1035</f>
        <v/>
      </c>
      <c r="H1035" s="3">
        <f>'[01_Entry.xlsx]Book'!M1035</f>
        <v/>
      </c>
      <c r="I1035" s="3">
        <f>'[01_Entry.xlsx]Book'!K1035</f>
        <v/>
      </c>
      <c r="J1035" s="3">
        <f>'[01_Entry.xlsx]Book'!P1035</f>
        <v/>
      </c>
      <c r="K1035" s="3">
        <f>'[01_Entry.xlsx]Book'!F1035</f>
        <v/>
      </c>
      <c r="L1035" s="3">
        <f>'[01_Entry.xlsx]Book'!G1035</f>
        <v/>
      </c>
      <c r="M1035" s="3">
        <f>'[01_Entry.xlsx]Book'!I1035</f>
        <v/>
      </c>
      <c r="N1035" s="2">
        <f>IF($A1035="","",MID($A1035,6,2))</f>
        <v>0</v>
      </c>
      <c r="O1035" s="2">
        <f>IF(OR($C1035="",$C1035&lt;&gt;'Inv'!$D$12),"",N(O$1034)+1)</f>
        <v>0</v>
      </c>
    </row>
    <row r="1036" spans="1:15">
      <c r="A1036" s="2">
        <f>'[01_Entry.xlsx]Book'!A1036</f>
        <v/>
      </c>
      <c r="B1036" s="2">
        <f>'[01_Entry.xlsx]Book'!B1036</f>
        <v/>
      </c>
      <c r="C1036" s="2">
        <f>'[01_Entry.xlsx]Book'!D1036</f>
        <v/>
      </c>
      <c r="D1036" s="2">
        <f>'[01_Entry.xlsx]Book'!E1036</f>
        <v/>
      </c>
      <c r="E1036" s="2">
        <f>'[01_Entry.xlsx]Book'!O1036</f>
        <v/>
      </c>
      <c r="F1036" s="2">
        <f>'[01_Entry.xlsx]Book'!N1036</f>
        <v/>
      </c>
      <c r="G1036" s="3">
        <f>'[01_Entry.xlsx]Book'!L1036</f>
        <v/>
      </c>
      <c r="H1036" s="3">
        <f>'[01_Entry.xlsx]Book'!M1036</f>
        <v/>
      </c>
      <c r="I1036" s="3">
        <f>'[01_Entry.xlsx]Book'!K1036</f>
        <v/>
      </c>
      <c r="J1036" s="3">
        <f>'[01_Entry.xlsx]Book'!P1036</f>
        <v/>
      </c>
      <c r="K1036" s="3">
        <f>'[01_Entry.xlsx]Book'!F1036</f>
        <v/>
      </c>
      <c r="L1036" s="3">
        <f>'[01_Entry.xlsx]Book'!G1036</f>
        <v/>
      </c>
      <c r="M1036" s="3">
        <f>'[01_Entry.xlsx]Book'!I1036</f>
        <v/>
      </c>
      <c r="N1036" s="2">
        <f>IF($A1036="","",MID($A1036,6,2))</f>
        <v>0</v>
      </c>
      <c r="O1036" s="2">
        <f>IF(OR($C1036="",$C1036&lt;&gt;'Inv'!$D$12),"",N(O$1035)+1)</f>
        <v>0</v>
      </c>
    </row>
    <row r="1037" spans="1:15">
      <c r="A1037" s="2">
        <f>'[01_Entry.xlsx]Book'!A1037</f>
        <v/>
      </c>
      <c r="B1037" s="2">
        <f>'[01_Entry.xlsx]Book'!B1037</f>
        <v/>
      </c>
      <c r="C1037" s="2">
        <f>'[01_Entry.xlsx]Book'!D1037</f>
        <v/>
      </c>
      <c r="D1037" s="2">
        <f>'[01_Entry.xlsx]Book'!E1037</f>
        <v/>
      </c>
      <c r="E1037" s="2">
        <f>'[01_Entry.xlsx]Book'!O1037</f>
        <v/>
      </c>
      <c r="F1037" s="2">
        <f>'[01_Entry.xlsx]Book'!N1037</f>
        <v/>
      </c>
      <c r="G1037" s="3">
        <f>'[01_Entry.xlsx]Book'!L1037</f>
        <v/>
      </c>
      <c r="H1037" s="3">
        <f>'[01_Entry.xlsx]Book'!M1037</f>
        <v/>
      </c>
      <c r="I1037" s="3">
        <f>'[01_Entry.xlsx]Book'!K1037</f>
        <v/>
      </c>
      <c r="J1037" s="3">
        <f>'[01_Entry.xlsx]Book'!P1037</f>
        <v/>
      </c>
      <c r="K1037" s="3">
        <f>'[01_Entry.xlsx]Book'!F1037</f>
        <v/>
      </c>
      <c r="L1037" s="3">
        <f>'[01_Entry.xlsx]Book'!G1037</f>
        <v/>
      </c>
      <c r="M1037" s="3">
        <f>'[01_Entry.xlsx]Book'!I1037</f>
        <v/>
      </c>
      <c r="N1037" s="2">
        <f>IF($A1037="","",MID($A1037,6,2))</f>
        <v>0</v>
      </c>
      <c r="O1037" s="2">
        <f>IF(OR($C1037="",$C1037&lt;&gt;'Inv'!$D$12),"",N(O$1036)+1)</f>
        <v>0</v>
      </c>
    </row>
    <row r="1038" spans="1:15">
      <c r="A1038" s="2">
        <f>'[01_Entry.xlsx]Book'!A1038</f>
        <v/>
      </c>
      <c r="B1038" s="2">
        <f>'[01_Entry.xlsx]Book'!B1038</f>
        <v/>
      </c>
      <c r="C1038" s="2">
        <f>'[01_Entry.xlsx]Book'!D1038</f>
        <v/>
      </c>
      <c r="D1038" s="2">
        <f>'[01_Entry.xlsx]Book'!E1038</f>
        <v/>
      </c>
      <c r="E1038" s="2">
        <f>'[01_Entry.xlsx]Book'!O1038</f>
        <v/>
      </c>
      <c r="F1038" s="2">
        <f>'[01_Entry.xlsx]Book'!N1038</f>
        <v/>
      </c>
      <c r="G1038" s="3">
        <f>'[01_Entry.xlsx]Book'!L1038</f>
        <v/>
      </c>
      <c r="H1038" s="3">
        <f>'[01_Entry.xlsx]Book'!M1038</f>
        <v/>
      </c>
      <c r="I1038" s="3">
        <f>'[01_Entry.xlsx]Book'!K1038</f>
        <v/>
      </c>
      <c r="J1038" s="3">
        <f>'[01_Entry.xlsx]Book'!P1038</f>
        <v/>
      </c>
      <c r="K1038" s="3">
        <f>'[01_Entry.xlsx]Book'!F1038</f>
        <v/>
      </c>
      <c r="L1038" s="3">
        <f>'[01_Entry.xlsx]Book'!G1038</f>
        <v/>
      </c>
      <c r="M1038" s="3">
        <f>'[01_Entry.xlsx]Book'!I1038</f>
        <v/>
      </c>
      <c r="N1038" s="2">
        <f>IF($A1038="","",MID($A1038,6,2))</f>
        <v>0</v>
      </c>
      <c r="O1038" s="2">
        <f>IF(OR($C1038="",$C1038&lt;&gt;'Inv'!$D$12),"",N(O$1037)+1)</f>
        <v>0</v>
      </c>
    </row>
    <row r="1039" spans="1:15">
      <c r="A1039" s="2">
        <f>'[01_Entry.xlsx]Book'!A1039</f>
        <v/>
      </c>
      <c r="B1039" s="2">
        <f>'[01_Entry.xlsx]Book'!B1039</f>
        <v/>
      </c>
      <c r="C1039" s="2">
        <f>'[01_Entry.xlsx]Book'!D1039</f>
        <v/>
      </c>
      <c r="D1039" s="2">
        <f>'[01_Entry.xlsx]Book'!E1039</f>
        <v/>
      </c>
      <c r="E1039" s="2">
        <f>'[01_Entry.xlsx]Book'!O1039</f>
        <v/>
      </c>
      <c r="F1039" s="2">
        <f>'[01_Entry.xlsx]Book'!N1039</f>
        <v/>
      </c>
      <c r="G1039" s="3">
        <f>'[01_Entry.xlsx]Book'!L1039</f>
        <v/>
      </c>
      <c r="H1039" s="3">
        <f>'[01_Entry.xlsx]Book'!M1039</f>
        <v/>
      </c>
      <c r="I1039" s="3">
        <f>'[01_Entry.xlsx]Book'!K1039</f>
        <v/>
      </c>
      <c r="J1039" s="3">
        <f>'[01_Entry.xlsx]Book'!P1039</f>
        <v/>
      </c>
      <c r="K1039" s="3">
        <f>'[01_Entry.xlsx]Book'!F1039</f>
        <v/>
      </c>
      <c r="L1039" s="3">
        <f>'[01_Entry.xlsx]Book'!G1039</f>
        <v/>
      </c>
      <c r="M1039" s="3">
        <f>'[01_Entry.xlsx]Book'!I1039</f>
        <v/>
      </c>
      <c r="N1039" s="2">
        <f>IF($A1039="","",MID($A1039,6,2))</f>
        <v>0</v>
      </c>
      <c r="O1039" s="2">
        <f>IF(OR($C1039="",$C1039&lt;&gt;'Inv'!$D$12),"",N(O$1038)+1)</f>
        <v>0</v>
      </c>
    </row>
    <row r="1040" spans="1:15">
      <c r="A1040" s="2">
        <f>'[01_Entry.xlsx]Book'!A1040</f>
        <v/>
      </c>
      <c r="B1040" s="2">
        <f>'[01_Entry.xlsx]Book'!B1040</f>
        <v/>
      </c>
      <c r="C1040" s="2">
        <f>'[01_Entry.xlsx]Book'!D1040</f>
        <v/>
      </c>
      <c r="D1040" s="2">
        <f>'[01_Entry.xlsx]Book'!E1040</f>
        <v/>
      </c>
      <c r="E1040" s="2">
        <f>'[01_Entry.xlsx]Book'!O1040</f>
        <v/>
      </c>
      <c r="F1040" s="2">
        <f>'[01_Entry.xlsx]Book'!N1040</f>
        <v/>
      </c>
      <c r="G1040" s="3">
        <f>'[01_Entry.xlsx]Book'!L1040</f>
        <v/>
      </c>
      <c r="H1040" s="3">
        <f>'[01_Entry.xlsx]Book'!M1040</f>
        <v/>
      </c>
      <c r="I1040" s="3">
        <f>'[01_Entry.xlsx]Book'!K1040</f>
        <v/>
      </c>
      <c r="J1040" s="3">
        <f>'[01_Entry.xlsx]Book'!P1040</f>
        <v/>
      </c>
      <c r="K1040" s="3">
        <f>'[01_Entry.xlsx]Book'!F1040</f>
        <v/>
      </c>
      <c r="L1040" s="3">
        <f>'[01_Entry.xlsx]Book'!G1040</f>
        <v/>
      </c>
      <c r="M1040" s="3">
        <f>'[01_Entry.xlsx]Book'!I1040</f>
        <v/>
      </c>
      <c r="N1040" s="2">
        <f>IF($A1040="","",MID($A1040,6,2))</f>
        <v>0</v>
      </c>
      <c r="O1040" s="2">
        <f>IF(OR($C1040="",$C1040&lt;&gt;'Inv'!$D$12),"",N(O$1039)+1)</f>
        <v>0</v>
      </c>
    </row>
    <row r="1041" spans="1:15">
      <c r="A1041" s="2">
        <f>'[01_Entry.xlsx]Book'!A1041</f>
        <v/>
      </c>
      <c r="B1041" s="2">
        <f>'[01_Entry.xlsx]Book'!B1041</f>
        <v/>
      </c>
      <c r="C1041" s="2">
        <f>'[01_Entry.xlsx]Book'!D1041</f>
        <v/>
      </c>
      <c r="D1041" s="2">
        <f>'[01_Entry.xlsx]Book'!E1041</f>
        <v/>
      </c>
      <c r="E1041" s="2">
        <f>'[01_Entry.xlsx]Book'!O1041</f>
        <v/>
      </c>
      <c r="F1041" s="2">
        <f>'[01_Entry.xlsx]Book'!N1041</f>
        <v/>
      </c>
      <c r="G1041" s="3">
        <f>'[01_Entry.xlsx]Book'!L1041</f>
        <v/>
      </c>
      <c r="H1041" s="3">
        <f>'[01_Entry.xlsx]Book'!M1041</f>
        <v/>
      </c>
      <c r="I1041" s="3">
        <f>'[01_Entry.xlsx]Book'!K1041</f>
        <v/>
      </c>
      <c r="J1041" s="3">
        <f>'[01_Entry.xlsx]Book'!P1041</f>
        <v/>
      </c>
      <c r="K1041" s="3">
        <f>'[01_Entry.xlsx]Book'!F1041</f>
        <v/>
      </c>
      <c r="L1041" s="3">
        <f>'[01_Entry.xlsx]Book'!G1041</f>
        <v/>
      </c>
      <c r="M1041" s="3">
        <f>'[01_Entry.xlsx]Book'!I1041</f>
        <v/>
      </c>
      <c r="N1041" s="2">
        <f>IF($A1041="","",MID($A1041,6,2))</f>
        <v>0</v>
      </c>
      <c r="O1041" s="2">
        <f>IF(OR($C1041="",$C1041&lt;&gt;'Inv'!$D$12),"",N(O$1040)+1)</f>
        <v>0</v>
      </c>
    </row>
    <row r="1042" spans="1:15">
      <c r="A1042" s="2">
        <f>'[01_Entry.xlsx]Book'!A1042</f>
        <v/>
      </c>
      <c r="B1042" s="2">
        <f>'[01_Entry.xlsx]Book'!B1042</f>
        <v/>
      </c>
      <c r="C1042" s="2">
        <f>'[01_Entry.xlsx]Book'!D1042</f>
        <v/>
      </c>
      <c r="D1042" s="2">
        <f>'[01_Entry.xlsx]Book'!E1042</f>
        <v/>
      </c>
      <c r="E1042" s="2">
        <f>'[01_Entry.xlsx]Book'!O1042</f>
        <v/>
      </c>
      <c r="F1042" s="2">
        <f>'[01_Entry.xlsx]Book'!N1042</f>
        <v/>
      </c>
      <c r="G1042" s="3">
        <f>'[01_Entry.xlsx]Book'!L1042</f>
        <v/>
      </c>
      <c r="H1042" s="3">
        <f>'[01_Entry.xlsx]Book'!M1042</f>
        <v/>
      </c>
      <c r="I1042" s="3">
        <f>'[01_Entry.xlsx]Book'!K1042</f>
        <v/>
      </c>
      <c r="J1042" s="3">
        <f>'[01_Entry.xlsx]Book'!P1042</f>
        <v/>
      </c>
      <c r="K1042" s="3">
        <f>'[01_Entry.xlsx]Book'!F1042</f>
        <v/>
      </c>
      <c r="L1042" s="3">
        <f>'[01_Entry.xlsx]Book'!G1042</f>
        <v/>
      </c>
      <c r="M1042" s="3">
        <f>'[01_Entry.xlsx]Book'!I1042</f>
        <v/>
      </c>
      <c r="N1042" s="2">
        <f>IF($A1042="","",MID($A1042,6,2))</f>
        <v>0</v>
      </c>
      <c r="O1042" s="2">
        <f>IF(OR($C1042="",$C1042&lt;&gt;'Inv'!$D$12),"",N(O$1041)+1)</f>
        <v>0</v>
      </c>
    </row>
    <row r="1043" spans="1:15">
      <c r="A1043" s="2">
        <f>'[01_Entry.xlsx]Book'!A1043</f>
        <v/>
      </c>
      <c r="B1043" s="2">
        <f>'[01_Entry.xlsx]Book'!B1043</f>
        <v/>
      </c>
      <c r="C1043" s="2">
        <f>'[01_Entry.xlsx]Book'!D1043</f>
        <v/>
      </c>
      <c r="D1043" s="2">
        <f>'[01_Entry.xlsx]Book'!E1043</f>
        <v/>
      </c>
      <c r="E1043" s="2">
        <f>'[01_Entry.xlsx]Book'!O1043</f>
        <v/>
      </c>
      <c r="F1043" s="2">
        <f>'[01_Entry.xlsx]Book'!N1043</f>
        <v/>
      </c>
      <c r="G1043" s="3">
        <f>'[01_Entry.xlsx]Book'!L1043</f>
        <v/>
      </c>
      <c r="H1043" s="3">
        <f>'[01_Entry.xlsx]Book'!M1043</f>
        <v/>
      </c>
      <c r="I1043" s="3">
        <f>'[01_Entry.xlsx]Book'!K1043</f>
        <v/>
      </c>
      <c r="J1043" s="3">
        <f>'[01_Entry.xlsx]Book'!P1043</f>
        <v/>
      </c>
      <c r="K1043" s="3">
        <f>'[01_Entry.xlsx]Book'!F1043</f>
        <v/>
      </c>
      <c r="L1043" s="3">
        <f>'[01_Entry.xlsx]Book'!G1043</f>
        <v/>
      </c>
      <c r="M1043" s="3">
        <f>'[01_Entry.xlsx]Book'!I1043</f>
        <v/>
      </c>
      <c r="N1043" s="2">
        <f>IF($A1043="","",MID($A1043,6,2))</f>
        <v>0</v>
      </c>
      <c r="O1043" s="2">
        <f>IF(OR($C1043="",$C1043&lt;&gt;'Inv'!$D$12),"",N(O$1042)+1)</f>
        <v>0</v>
      </c>
    </row>
    <row r="1044" spans="1:15">
      <c r="A1044" s="2">
        <f>'[01_Entry.xlsx]Book'!A1044</f>
        <v/>
      </c>
      <c r="B1044" s="2">
        <f>'[01_Entry.xlsx]Book'!B1044</f>
        <v/>
      </c>
      <c r="C1044" s="2">
        <f>'[01_Entry.xlsx]Book'!D1044</f>
        <v/>
      </c>
      <c r="D1044" s="2">
        <f>'[01_Entry.xlsx]Book'!E1044</f>
        <v/>
      </c>
      <c r="E1044" s="2">
        <f>'[01_Entry.xlsx]Book'!O1044</f>
        <v/>
      </c>
      <c r="F1044" s="2">
        <f>'[01_Entry.xlsx]Book'!N1044</f>
        <v/>
      </c>
      <c r="G1044" s="3">
        <f>'[01_Entry.xlsx]Book'!L1044</f>
        <v/>
      </c>
      <c r="H1044" s="3">
        <f>'[01_Entry.xlsx]Book'!M1044</f>
        <v/>
      </c>
      <c r="I1044" s="3">
        <f>'[01_Entry.xlsx]Book'!K1044</f>
        <v/>
      </c>
      <c r="J1044" s="3">
        <f>'[01_Entry.xlsx]Book'!P1044</f>
        <v/>
      </c>
      <c r="K1044" s="3">
        <f>'[01_Entry.xlsx]Book'!F1044</f>
        <v/>
      </c>
      <c r="L1044" s="3">
        <f>'[01_Entry.xlsx]Book'!G1044</f>
        <v/>
      </c>
      <c r="M1044" s="3">
        <f>'[01_Entry.xlsx]Book'!I1044</f>
        <v/>
      </c>
      <c r="N1044" s="2">
        <f>IF($A1044="","",MID($A1044,6,2))</f>
        <v>0</v>
      </c>
      <c r="O1044" s="2">
        <f>IF(OR($C1044="",$C1044&lt;&gt;'Inv'!$D$12),"",N(O$1043)+1)</f>
        <v>0</v>
      </c>
    </row>
    <row r="1045" spans="1:15">
      <c r="A1045" s="2">
        <f>'[01_Entry.xlsx]Book'!A1045</f>
        <v/>
      </c>
      <c r="B1045" s="2">
        <f>'[01_Entry.xlsx]Book'!B1045</f>
        <v/>
      </c>
      <c r="C1045" s="2">
        <f>'[01_Entry.xlsx]Book'!D1045</f>
        <v/>
      </c>
      <c r="D1045" s="2">
        <f>'[01_Entry.xlsx]Book'!E1045</f>
        <v/>
      </c>
      <c r="E1045" s="2">
        <f>'[01_Entry.xlsx]Book'!O1045</f>
        <v/>
      </c>
      <c r="F1045" s="2">
        <f>'[01_Entry.xlsx]Book'!N1045</f>
        <v/>
      </c>
      <c r="G1045" s="3">
        <f>'[01_Entry.xlsx]Book'!L1045</f>
        <v/>
      </c>
      <c r="H1045" s="3">
        <f>'[01_Entry.xlsx]Book'!M1045</f>
        <v/>
      </c>
      <c r="I1045" s="3">
        <f>'[01_Entry.xlsx]Book'!K1045</f>
        <v/>
      </c>
      <c r="J1045" s="3">
        <f>'[01_Entry.xlsx]Book'!P1045</f>
        <v/>
      </c>
      <c r="K1045" s="3">
        <f>'[01_Entry.xlsx]Book'!F1045</f>
        <v/>
      </c>
      <c r="L1045" s="3">
        <f>'[01_Entry.xlsx]Book'!G1045</f>
        <v/>
      </c>
      <c r="M1045" s="3">
        <f>'[01_Entry.xlsx]Book'!I1045</f>
        <v/>
      </c>
      <c r="N1045" s="2">
        <f>IF($A1045="","",MID($A1045,6,2))</f>
        <v>0</v>
      </c>
      <c r="O1045" s="2">
        <f>IF(OR($C1045="",$C1045&lt;&gt;'Inv'!$D$12),"",N(O$1044)+1)</f>
        <v>0</v>
      </c>
    </row>
    <row r="1046" spans="1:15">
      <c r="A1046" s="2">
        <f>'[01_Entry.xlsx]Book'!A1046</f>
        <v/>
      </c>
      <c r="B1046" s="2">
        <f>'[01_Entry.xlsx]Book'!B1046</f>
        <v/>
      </c>
      <c r="C1046" s="2">
        <f>'[01_Entry.xlsx]Book'!D1046</f>
        <v/>
      </c>
      <c r="D1046" s="2">
        <f>'[01_Entry.xlsx]Book'!E1046</f>
        <v/>
      </c>
      <c r="E1046" s="2">
        <f>'[01_Entry.xlsx]Book'!O1046</f>
        <v/>
      </c>
      <c r="F1046" s="2">
        <f>'[01_Entry.xlsx]Book'!N1046</f>
        <v/>
      </c>
      <c r="G1046" s="3">
        <f>'[01_Entry.xlsx]Book'!L1046</f>
        <v/>
      </c>
      <c r="H1046" s="3">
        <f>'[01_Entry.xlsx]Book'!M1046</f>
        <v/>
      </c>
      <c r="I1046" s="3">
        <f>'[01_Entry.xlsx]Book'!K1046</f>
        <v/>
      </c>
      <c r="J1046" s="3">
        <f>'[01_Entry.xlsx]Book'!P1046</f>
        <v/>
      </c>
      <c r="K1046" s="3">
        <f>'[01_Entry.xlsx]Book'!F1046</f>
        <v/>
      </c>
      <c r="L1046" s="3">
        <f>'[01_Entry.xlsx]Book'!G1046</f>
        <v/>
      </c>
      <c r="M1046" s="3">
        <f>'[01_Entry.xlsx]Book'!I1046</f>
        <v/>
      </c>
      <c r="N1046" s="2">
        <f>IF($A1046="","",MID($A1046,6,2))</f>
        <v>0</v>
      </c>
      <c r="O1046" s="2">
        <f>IF(OR($C1046="",$C1046&lt;&gt;'Inv'!$D$12),"",N(O$1045)+1)</f>
        <v>0</v>
      </c>
    </row>
    <row r="1047" spans="1:15">
      <c r="A1047" s="2">
        <f>'[01_Entry.xlsx]Book'!A1047</f>
        <v/>
      </c>
      <c r="B1047" s="2">
        <f>'[01_Entry.xlsx]Book'!B1047</f>
        <v/>
      </c>
      <c r="C1047" s="2">
        <f>'[01_Entry.xlsx]Book'!D1047</f>
        <v/>
      </c>
      <c r="D1047" s="2">
        <f>'[01_Entry.xlsx]Book'!E1047</f>
        <v/>
      </c>
      <c r="E1047" s="2">
        <f>'[01_Entry.xlsx]Book'!O1047</f>
        <v/>
      </c>
      <c r="F1047" s="2">
        <f>'[01_Entry.xlsx]Book'!N1047</f>
        <v/>
      </c>
      <c r="G1047" s="3">
        <f>'[01_Entry.xlsx]Book'!L1047</f>
        <v/>
      </c>
      <c r="H1047" s="3">
        <f>'[01_Entry.xlsx]Book'!M1047</f>
        <v/>
      </c>
      <c r="I1047" s="3">
        <f>'[01_Entry.xlsx]Book'!K1047</f>
        <v/>
      </c>
      <c r="J1047" s="3">
        <f>'[01_Entry.xlsx]Book'!P1047</f>
        <v/>
      </c>
      <c r="K1047" s="3">
        <f>'[01_Entry.xlsx]Book'!F1047</f>
        <v/>
      </c>
      <c r="L1047" s="3">
        <f>'[01_Entry.xlsx]Book'!G1047</f>
        <v/>
      </c>
      <c r="M1047" s="3">
        <f>'[01_Entry.xlsx]Book'!I1047</f>
        <v/>
      </c>
      <c r="N1047" s="2">
        <f>IF($A1047="","",MID($A1047,6,2))</f>
        <v>0</v>
      </c>
      <c r="O1047" s="2">
        <f>IF(OR($C1047="",$C1047&lt;&gt;'Inv'!$D$12),"",N(O$1046)+1)</f>
        <v>0</v>
      </c>
    </row>
    <row r="1048" spans="1:15">
      <c r="A1048" s="2">
        <f>'[01_Entry.xlsx]Book'!A1048</f>
        <v/>
      </c>
      <c r="B1048" s="2">
        <f>'[01_Entry.xlsx]Book'!B1048</f>
        <v/>
      </c>
      <c r="C1048" s="2">
        <f>'[01_Entry.xlsx]Book'!D1048</f>
        <v/>
      </c>
      <c r="D1048" s="2">
        <f>'[01_Entry.xlsx]Book'!E1048</f>
        <v/>
      </c>
      <c r="E1048" s="2">
        <f>'[01_Entry.xlsx]Book'!O1048</f>
        <v/>
      </c>
      <c r="F1048" s="2">
        <f>'[01_Entry.xlsx]Book'!N1048</f>
        <v/>
      </c>
      <c r="G1048" s="3">
        <f>'[01_Entry.xlsx]Book'!L1048</f>
        <v/>
      </c>
      <c r="H1048" s="3">
        <f>'[01_Entry.xlsx]Book'!M1048</f>
        <v/>
      </c>
      <c r="I1048" s="3">
        <f>'[01_Entry.xlsx]Book'!K1048</f>
        <v/>
      </c>
      <c r="J1048" s="3">
        <f>'[01_Entry.xlsx]Book'!P1048</f>
        <v/>
      </c>
      <c r="K1048" s="3">
        <f>'[01_Entry.xlsx]Book'!F1048</f>
        <v/>
      </c>
      <c r="L1048" s="3">
        <f>'[01_Entry.xlsx]Book'!G1048</f>
        <v/>
      </c>
      <c r="M1048" s="3">
        <f>'[01_Entry.xlsx]Book'!I1048</f>
        <v/>
      </c>
      <c r="N1048" s="2">
        <f>IF($A1048="","",MID($A1048,6,2))</f>
        <v>0</v>
      </c>
      <c r="O1048" s="2">
        <f>IF(OR($C1048="",$C1048&lt;&gt;'Inv'!$D$12),"",N(O$1047)+1)</f>
        <v>0</v>
      </c>
    </row>
    <row r="1049" spans="1:15">
      <c r="A1049" s="2">
        <f>'[01_Entry.xlsx]Book'!A1049</f>
        <v/>
      </c>
      <c r="B1049" s="2">
        <f>'[01_Entry.xlsx]Book'!B1049</f>
        <v/>
      </c>
      <c r="C1049" s="2">
        <f>'[01_Entry.xlsx]Book'!D1049</f>
        <v/>
      </c>
      <c r="D1049" s="2">
        <f>'[01_Entry.xlsx]Book'!E1049</f>
        <v/>
      </c>
      <c r="E1049" s="2">
        <f>'[01_Entry.xlsx]Book'!O1049</f>
        <v/>
      </c>
      <c r="F1049" s="2">
        <f>'[01_Entry.xlsx]Book'!N1049</f>
        <v/>
      </c>
      <c r="G1049" s="3">
        <f>'[01_Entry.xlsx]Book'!L1049</f>
        <v/>
      </c>
      <c r="H1049" s="3">
        <f>'[01_Entry.xlsx]Book'!M1049</f>
        <v/>
      </c>
      <c r="I1049" s="3">
        <f>'[01_Entry.xlsx]Book'!K1049</f>
        <v/>
      </c>
      <c r="J1049" s="3">
        <f>'[01_Entry.xlsx]Book'!P1049</f>
        <v/>
      </c>
      <c r="K1049" s="3">
        <f>'[01_Entry.xlsx]Book'!F1049</f>
        <v/>
      </c>
      <c r="L1049" s="3">
        <f>'[01_Entry.xlsx]Book'!G1049</f>
        <v/>
      </c>
      <c r="M1049" s="3">
        <f>'[01_Entry.xlsx]Book'!I1049</f>
        <v/>
      </c>
      <c r="N1049" s="2">
        <f>IF($A1049="","",MID($A1049,6,2))</f>
        <v>0</v>
      </c>
      <c r="O1049" s="2">
        <f>IF(OR($C1049="",$C1049&lt;&gt;'Inv'!$D$12),"",N(O$1048)+1)</f>
        <v>0</v>
      </c>
    </row>
    <row r="1050" spans="1:15">
      <c r="A1050" s="2">
        <f>'[01_Entry.xlsx]Book'!A1050</f>
        <v/>
      </c>
      <c r="B1050" s="2">
        <f>'[01_Entry.xlsx]Book'!B1050</f>
        <v/>
      </c>
      <c r="C1050" s="2">
        <f>'[01_Entry.xlsx]Book'!D1050</f>
        <v/>
      </c>
      <c r="D1050" s="2">
        <f>'[01_Entry.xlsx]Book'!E1050</f>
        <v/>
      </c>
      <c r="E1050" s="2">
        <f>'[01_Entry.xlsx]Book'!O1050</f>
        <v/>
      </c>
      <c r="F1050" s="2">
        <f>'[01_Entry.xlsx]Book'!N1050</f>
        <v/>
      </c>
      <c r="G1050" s="3">
        <f>'[01_Entry.xlsx]Book'!L1050</f>
        <v/>
      </c>
      <c r="H1050" s="3">
        <f>'[01_Entry.xlsx]Book'!M1050</f>
        <v/>
      </c>
      <c r="I1050" s="3">
        <f>'[01_Entry.xlsx]Book'!K1050</f>
        <v/>
      </c>
      <c r="J1050" s="3">
        <f>'[01_Entry.xlsx]Book'!P1050</f>
        <v/>
      </c>
      <c r="K1050" s="3">
        <f>'[01_Entry.xlsx]Book'!F1050</f>
        <v/>
      </c>
      <c r="L1050" s="3">
        <f>'[01_Entry.xlsx]Book'!G1050</f>
        <v/>
      </c>
      <c r="M1050" s="3">
        <f>'[01_Entry.xlsx]Book'!I1050</f>
        <v/>
      </c>
      <c r="N1050" s="2">
        <f>IF($A1050="","",MID($A1050,6,2))</f>
        <v>0</v>
      </c>
      <c r="O1050" s="2">
        <f>IF(OR($C1050="",$C1050&lt;&gt;'Inv'!$D$12),"",N(O$1049)+1)</f>
        <v>0</v>
      </c>
    </row>
    <row r="1051" spans="1:15">
      <c r="A1051" s="2">
        <f>'[01_Entry.xlsx]Book'!A1051</f>
        <v/>
      </c>
      <c r="B1051" s="2">
        <f>'[01_Entry.xlsx]Book'!B1051</f>
        <v/>
      </c>
      <c r="C1051" s="2">
        <f>'[01_Entry.xlsx]Book'!D1051</f>
        <v/>
      </c>
      <c r="D1051" s="2">
        <f>'[01_Entry.xlsx]Book'!E1051</f>
        <v/>
      </c>
      <c r="E1051" s="2">
        <f>'[01_Entry.xlsx]Book'!O1051</f>
        <v/>
      </c>
      <c r="F1051" s="2">
        <f>'[01_Entry.xlsx]Book'!N1051</f>
        <v/>
      </c>
      <c r="G1051" s="3">
        <f>'[01_Entry.xlsx]Book'!L1051</f>
        <v/>
      </c>
      <c r="H1051" s="3">
        <f>'[01_Entry.xlsx]Book'!M1051</f>
        <v/>
      </c>
      <c r="I1051" s="3">
        <f>'[01_Entry.xlsx]Book'!K1051</f>
        <v/>
      </c>
      <c r="J1051" s="3">
        <f>'[01_Entry.xlsx]Book'!P1051</f>
        <v/>
      </c>
      <c r="K1051" s="3">
        <f>'[01_Entry.xlsx]Book'!F1051</f>
        <v/>
      </c>
      <c r="L1051" s="3">
        <f>'[01_Entry.xlsx]Book'!G1051</f>
        <v/>
      </c>
      <c r="M1051" s="3">
        <f>'[01_Entry.xlsx]Book'!I1051</f>
        <v/>
      </c>
      <c r="N1051" s="2">
        <f>IF($A1051="","",MID($A1051,6,2))</f>
        <v>0</v>
      </c>
      <c r="O1051" s="2">
        <f>IF(OR($C1051="",$C1051&lt;&gt;'Inv'!$D$12),"",N(O$1050)+1)</f>
        <v>0</v>
      </c>
    </row>
    <row r="1052" spans="1:15">
      <c r="A1052" s="2">
        <f>'[01_Entry.xlsx]Book'!A1052</f>
        <v/>
      </c>
      <c r="B1052" s="2">
        <f>'[01_Entry.xlsx]Book'!B1052</f>
        <v/>
      </c>
      <c r="C1052" s="2">
        <f>'[01_Entry.xlsx]Book'!D1052</f>
        <v/>
      </c>
      <c r="D1052" s="2">
        <f>'[01_Entry.xlsx]Book'!E1052</f>
        <v/>
      </c>
      <c r="E1052" s="2">
        <f>'[01_Entry.xlsx]Book'!O1052</f>
        <v/>
      </c>
      <c r="F1052" s="2">
        <f>'[01_Entry.xlsx]Book'!N1052</f>
        <v/>
      </c>
      <c r="G1052" s="3">
        <f>'[01_Entry.xlsx]Book'!L1052</f>
        <v/>
      </c>
      <c r="H1052" s="3">
        <f>'[01_Entry.xlsx]Book'!M1052</f>
        <v/>
      </c>
      <c r="I1052" s="3">
        <f>'[01_Entry.xlsx]Book'!K1052</f>
        <v/>
      </c>
      <c r="J1052" s="3">
        <f>'[01_Entry.xlsx]Book'!P1052</f>
        <v/>
      </c>
      <c r="K1052" s="3">
        <f>'[01_Entry.xlsx]Book'!F1052</f>
        <v/>
      </c>
      <c r="L1052" s="3">
        <f>'[01_Entry.xlsx]Book'!G1052</f>
        <v/>
      </c>
      <c r="M1052" s="3">
        <f>'[01_Entry.xlsx]Book'!I1052</f>
        <v/>
      </c>
      <c r="N1052" s="2">
        <f>IF($A1052="","",MID($A1052,6,2))</f>
        <v>0</v>
      </c>
      <c r="O1052" s="2">
        <f>IF(OR($C1052="",$C1052&lt;&gt;'Inv'!$D$12),"",N(O$1051)+1)</f>
        <v>0</v>
      </c>
    </row>
    <row r="1053" spans="1:15">
      <c r="A1053" s="2">
        <f>'[01_Entry.xlsx]Book'!A1053</f>
        <v/>
      </c>
      <c r="B1053" s="2">
        <f>'[01_Entry.xlsx]Book'!B1053</f>
        <v/>
      </c>
      <c r="C1053" s="2">
        <f>'[01_Entry.xlsx]Book'!D1053</f>
        <v/>
      </c>
      <c r="D1053" s="2">
        <f>'[01_Entry.xlsx]Book'!E1053</f>
        <v/>
      </c>
      <c r="E1053" s="2">
        <f>'[01_Entry.xlsx]Book'!O1053</f>
        <v/>
      </c>
      <c r="F1053" s="2">
        <f>'[01_Entry.xlsx]Book'!N1053</f>
        <v/>
      </c>
      <c r="G1053" s="3">
        <f>'[01_Entry.xlsx]Book'!L1053</f>
        <v/>
      </c>
      <c r="H1053" s="3">
        <f>'[01_Entry.xlsx]Book'!M1053</f>
        <v/>
      </c>
      <c r="I1053" s="3">
        <f>'[01_Entry.xlsx]Book'!K1053</f>
        <v/>
      </c>
      <c r="J1053" s="3">
        <f>'[01_Entry.xlsx]Book'!P1053</f>
        <v/>
      </c>
      <c r="K1053" s="3">
        <f>'[01_Entry.xlsx]Book'!F1053</f>
        <v/>
      </c>
      <c r="L1053" s="3">
        <f>'[01_Entry.xlsx]Book'!G1053</f>
        <v/>
      </c>
      <c r="M1053" s="3">
        <f>'[01_Entry.xlsx]Book'!I1053</f>
        <v/>
      </c>
      <c r="N1053" s="2">
        <f>IF($A1053="","",MID($A1053,6,2))</f>
        <v>0</v>
      </c>
      <c r="O1053" s="2">
        <f>IF(OR($C1053="",$C1053&lt;&gt;'Inv'!$D$12),"",N(O$1052)+1)</f>
        <v>0</v>
      </c>
    </row>
    <row r="1054" spans="1:15">
      <c r="A1054" s="2">
        <f>'[01_Entry.xlsx]Book'!A1054</f>
        <v/>
      </c>
      <c r="B1054" s="2">
        <f>'[01_Entry.xlsx]Book'!B1054</f>
        <v/>
      </c>
      <c r="C1054" s="2">
        <f>'[01_Entry.xlsx]Book'!D1054</f>
        <v/>
      </c>
      <c r="D1054" s="2">
        <f>'[01_Entry.xlsx]Book'!E1054</f>
        <v/>
      </c>
      <c r="E1054" s="2">
        <f>'[01_Entry.xlsx]Book'!O1054</f>
        <v/>
      </c>
      <c r="F1054" s="2">
        <f>'[01_Entry.xlsx]Book'!N1054</f>
        <v/>
      </c>
      <c r="G1054" s="3">
        <f>'[01_Entry.xlsx]Book'!L1054</f>
        <v/>
      </c>
      <c r="H1054" s="3">
        <f>'[01_Entry.xlsx]Book'!M1054</f>
        <v/>
      </c>
      <c r="I1054" s="3">
        <f>'[01_Entry.xlsx]Book'!K1054</f>
        <v/>
      </c>
      <c r="J1054" s="3">
        <f>'[01_Entry.xlsx]Book'!P1054</f>
        <v/>
      </c>
      <c r="K1054" s="3">
        <f>'[01_Entry.xlsx]Book'!F1054</f>
        <v/>
      </c>
      <c r="L1054" s="3">
        <f>'[01_Entry.xlsx]Book'!G1054</f>
        <v/>
      </c>
      <c r="M1054" s="3">
        <f>'[01_Entry.xlsx]Book'!I1054</f>
        <v/>
      </c>
      <c r="N1054" s="2">
        <f>IF($A1054="","",MID($A1054,6,2))</f>
        <v>0</v>
      </c>
      <c r="O1054" s="2">
        <f>IF(OR($C1054="",$C1054&lt;&gt;'Inv'!$D$12),"",N(O$1053)+1)</f>
        <v>0</v>
      </c>
    </row>
    <row r="1055" spans="1:15">
      <c r="A1055" s="2">
        <f>'[01_Entry.xlsx]Book'!A1055</f>
        <v/>
      </c>
      <c r="B1055" s="2">
        <f>'[01_Entry.xlsx]Book'!B1055</f>
        <v/>
      </c>
      <c r="C1055" s="2">
        <f>'[01_Entry.xlsx]Book'!D1055</f>
        <v/>
      </c>
      <c r="D1055" s="2">
        <f>'[01_Entry.xlsx]Book'!E1055</f>
        <v/>
      </c>
      <c r="E1055" s="2">
        <f>'[01_Entry.xlsx]Book'!O1055</f>
        <v/>
      </c>
      <c r="F1055" s="2">
        <f>'[01_Entry.xlsx]Book'!N1055</f>
        <v/>
      </c>
      <c r="G1055" s="3">
        <f>'[01_Entry.xlsx]Book'!L1055</f>
        <v/>
      </c>
      <c r="H1055" s="3">
        <f>'[01_Entry.xlsx]Book'!M1055</f>
        <v/>
      </c>
      <c r="I1055" s="3">
        <f>'[01_Entry.xlsx]Book'!K1055</f>
        <v/>
      </c>
      <c r="J1055" s="3">
        <f>'[01_Entry.xlsx]Book'!P1055</f>
        <v/>
      </c>
      <c r="K1055" s="3">
        <f>'[01_Entry.xlsx]Book'!F1055</f>
        <v/>
      </c>
      <c r="L1055" s="3">
        <f>'[01_Entry.xlsx]Book'!G1055</f>
        <v/>
      </c>
      <c r="M1055" s="3">
        <f>'[01_Entry.xlsx]Book'!I1055</f>
        <v/>
      </c>
      <c r="N1055" s="2">
        <f>IF($A1055="","",MID($A1055,6,2))</f>
        <v>0</v>
      </c>
      <c r="O1055" s="2">
        <f>IF(OR($C1055="",$C1055&lt;&gt;'Inv'!$D$12),"",N(O$1054)+1)</f>
        <v>0</v>
      </c>
    </row>
    <row r="1056" spans="1:15">
      <c r="A1056" s="2">
        <f>'[01_Entry.xlsx]Book'!A1056</f>
        <v/>
      </c>
      <c r="B1056" s="2">
        <f>'[01_Entry.xlsx]Book'!B1056</f>
        <v/>
      </c>
      <c r="C1056" s="2">
        <f>'[01_Entry.xlsx]Book'!D1056</f>
        <v/>
      </c>
      <c r="D1056" s="2">
        <f>'[01_Entry.xlsx]Book'!E1056</f>
        <v/>
      </c>
      <c r="E1056" s="2">
        <f>'[01_Entry.xlsx]Book'!O1056</f>
        <v/>
      </c>
      <c r="F1056" s="2">
        <f>'[01_Entry.xlsx]Book'!N1056</f>
        <v/>
      </c>
      <c r="G1056" s="3">
        <f>'[01_Entry.xlsx]Book'!L1056</f>
        <v/>
      </c>
      <c r="H1056" s="3">
        <f>'[01_Entry.xlsx]Book'!M1056</f>
        <v/>
      </c>
      <c r="I1056" s="3">
        <f>'[01_Entry.xlsx]Book'!K1056</f>
        <v/>
      </c>
      <c r="J1056" s="3">
        <f>'[01_Entry.xlsx]Book'!P1056</f>
        <v/>
      </c>
      <c r="K1056" s="3">
        <f>'[01_Entry.xlsx]Book'!F1056</f>
        <v/>
      </c>
      <c r="L1056" s="3">
        <f>'[01_Entry.xlsx]Book'!G1056</f>
        <v/>
      </c>
      <c r="M1056" s="3">
        <f>'[01_Entry.xlsx]Book'!I1056</f>
        <v/>
      </c>
      <c r="N1056" s="2">
        <f>IF($A1056="","",MID($A1056,6,2))</f>
        <v>0</v>
      </c>
      <c r="O1056" s="2">
        <f>IF(OR($C1056="",$C1056&lt;&gt;'Inv'!$D$12),"",N(O$1055)+1)</f>
        <v>0</v>
      </c>
    </row>
    <row r="1057" spans="1:15">
      <c r="A1057" s="2">
        <f>'[01_Entry.xlsx]Book'!A1057</f>
        <v/>
      </c>
      <c r="B1057" s="2">
        <f>'[01_Entry.xlsx]Book'!B1057</f>
        <v/>
      </c>
      <c r="C1057" s="2">
        <f>'[01_Entry.xlsx]Book'!D1057</f>
        <v/>
      </c>
      <c r="D1057" s="2">
        <f>'[01_Entry.xlsx]Book'!E1057</f>
        <v/>
      </c>
      <c r="E1057" s="2">
        <f>'[01_Entry.xlsx]Book'!O1057</f>
        <v/>
      </c>
      <c r="F1057" s="2">
        <f>'[01_Entry.xlsx]Book'!N1057</f>
        <v/>
      </c>
      <c r="G1057" s="3">
        <f>'[01_Entry.xlsx]Book'!L1057</f>
        <v/>
      </c>
      <c r="H1057" s="3">
        <f>'[01_Entry.xlsx]Book'!M1057</f>
        <v/>
      </c>
      <c r="I1057" s="3">
        <f>'[01_Entry.xlsx]Book'!K1057</f>
        <v/>
      </c>
      <c r="J1057" s="3">
        <f>'[01_Entry.xlsx]Book'!P1057</f>
        <v/>
      </c>
      <c r="K1057" s="3">
        <f>'[01_Entry.xlsx]Book'!F1057</f>
        <v/>
      </c>
      <c r="L1057" s="3">
        <f>'[01_Entry.xlsx]Book'!G1057</f>
        <v/>
      </c>
      <c r="M1057" s="3">
        <f>'[01_Entry.xlsx]Book'!I1057</f>
        <v/>
      </c>
      <c r="N1057" s="2">
        <f>IF($A1057="","",MID($A1057,6,2))</f>
        <v>0</v>
      </c>
      <c r="O1057" s="2">
        <f>IF(OR($C1057="",$C1057&lt;&gt;'Inv'!$D$12),"",N(O$1056)+1)</f>
        <v>0</v>
      </c>
    </row>
    <row r="1058" spans="1:15">
      <c r="A1058" s="2">
        <f>'[01_Entry.xlsx]Book'!A1058</f>
        <v/>
      </c>
      <c r="B1058" s="2">
        <f>'[01_Entry.xlsx]Book'!B1058</f>
        <v/>
      </c>
      <c r="C1058" s="2">
        <f>'[01_Entry.xlsx]Book'!D1058</f>
        <v/>
      </c>
      <c r="D1058" s="2">
        <f>'[01_Entry.xlsx]Book'!E1058</f>
        <v/>
      </c>
      <c r="E1058" s="2">
        <f>'[01_Entry.xlsx]Book'!O1058</f>
        <v/>
      </c>
      <c r="F1058" s="2">
        <f>'[01_Entry.xlsx]Book'!N1058</f>
        <v/>
      </c>
      <c r="G1058" s="3">
        <f>'[01_Entry.xlsx]Book'!L1058</f>
        <v/>
      </c>
      <c r="H1058" s="3">
        <f>'[01_Entry.xlsx]Book'!M1058</f>
        <v/>
      </c>
      <c r="I1058" s="3">
        <f>'[01_Entry.xlsx]Book'!K1058</f>
        <v/>
      </c>
      <c r="J1058" s="3">
        <f>'[01_Entry.xlsx]Book'!P1058</f>
        <v/>
      </c>
      <c r="K1058" s="3">
        <f>'[01_Entry.xlsx]Book'!F1058</f>
        <v/>
      </c>
      <c r="L1058" s="3">
        <f>'[01_Entry.xlsx]Book'!G1058</f>
        <v/>
      </c>
      <c r="M1058" s="3">
        <f>'[01_Entry.xlsx]Book'!I1058</f>
        <v/>
      </c>
      <c r="N1058" s="2">
        <f>IF($A1058="","",MID($A1058,6,2))</f>
        <v>0</v>
      </c>
      <c r="O1058" s="2">
        <f>IF(OR($C1058="",$C1058&lt;&gt;'Inv'!$D$12),"",N(O$1057)+1)</f>
        <v>0</v>
      </c>
    </row>
    <row r="1059" spans="1:15">
      <c r="A1059" s="2">
        <f>'[01_Entry.xlsx]Book'!A1059</f>
        <v/>
      </c>
      <c r="B1059" s="2">
        <f>'[01_Entry.xlsx]Book'!B1059</f>
        <v/>
      </c>
      <c r="C1059" s="2">
        <f>'[01_Entry.xlsx]Book'!D1059</f>
        <v/>
      </c>
      <c r="D1059" s="2">
        <f>'[01_Entry.xlsx]Book'!E1059</f>
        <v/>
      </c>
      <c r="E1059" s="2">
        <f>'[01_Entry.xlsx]Book'!O1059</f>
        <v/>
      </c>
      <c r="F1059" s="2">
        <f>'[01_Entry.xlsx]Book'!N1059</f>
        <v/>
      </c>
      <c r="G1059" s="3">
        <f>'[01_Entry.xlsx]Book'!L1059</f>
        <v/>
      </c>
      <c r="H1059" s="3">
        <f>'[01_Entry.xlsx]Book'!M1059</f>
        <v/>
      </c>
      <c r="I1059" s="3">
        <f>'[01_Entry.xlsx]Book'!K1059</f>
        <v/>
      </c>
      <c r="J1059" s="3">
        <f>'[01_Entry.xlsx]Book'!P1059</f>
        <v/>
      </c>
      <c r="K1059" s="3">
        <f>'[01_Entry.xlsx]Book'!F1059</f>
        <v/>
      </c>
      <c r="L1059" s="3">
        <f>'[01_Entry.xlsx]Book'!G1059</f>
        <v/>
      </c>
      <c r="M1059" s="3">
        <f>'[01_Entry.xlsx]Book'!I1059</f>
        <v/>
      </c>
      <c r="N1059" s="2">
        <f>IF($A1059="","",MID($A1059,6,2))</f>
        <v>0</v>
      </c>
      <c r="O1059" s="2">
        <f>IF(OR($C1059="",$C1059&lt;&gt;'Inv'!$D$12),"",N(O$1058)+1)</f>
        <v>0</v>
      </c>
    </row>
    <row r="1060" spans="1:15">
      <c r="A1060" s="2">
        <f>'[01_Entry.xlsx]Book'!A1060</f>
        <v/>
      </c>
      <c r="B1060" s="2">
        <f>'[01_Entry.xlsx]Book'!B1060</f>
        <v/>
      </c>
      <c r="C1060" s="2">
        <f>'[01_Entry.xlsx]Book'!D1060</f>
        <v/>
      </c>
      <c r="D1060" s="2">
        <f>'[01_Entry.xlsx]Book'!E1060</f>
        <v/>
      </c>
      <c r="E1060" s="2">
        <f>'[01_Entry.xlsx]Book'!O1060</f>
        <v/>
      </c>
      <c r="F1060" s="2">
        <f>'[01_Entry.xlsx]Book'!N1060</f>
        <v/>
      </c>
      <c r="G1060" s="3">
        <f>'[01_Entry.xlsx]Book'!L1060</f>
        <v/>
      </c>
      <c r="H1060" s="3">
        <f>'[01_Entry.xlsx]Book'!M1060</f>
        <v/>
      </c>
      <c r="I1060" s="3">
        <f>'[01_Entry.xlsx]Book'!K1060</f>
        <v/>
      </c>
      <c r="J1060" s="3">
        <f>'[01_Entry.xlsx]Book'!P1060</f>
        <v/>
      </c>
      <c r="K1060" s="3">
        <f>'[01_Entry.xlsx]Book'!F1060</f>
        <v/>
      </c>
      <c r="L1060" s="3">
        <f>'[01_Entry.xlsx]Book'!G1060</f>
        <v/>
      </c>
      <c r="M1060" s="3">
        <f>'[01_Entry.xlsx]Book'!I1060</f>
        <v/>
      </c>
      <c r="N1060" s="2">
        <f>IF($A1060="","",MID($A1060,6,2))</f>
        <v>0</v>
      </c>
      <c r="O1060" s="2">
        <f>IF(OR($C1060="",$C1060&lt;&gt;'Inv'!$D$12),"",N(O$1059)+1)</f>
        <v>0</v>
      </c>
    </row>
    <row r="1061" spans="1:15">
      <c r="A1061" s="2">
        <f>'[01_Entry.xlsx]Book'!A1061</f>
        <v/>
      </c>
      <c r="B1061" s="2">
        <f>'[01_Entry.xlsx]Book'!B1061</f>
        <v/>
      </c>
      <c r="C1061" s="2">
        <f>'[01_Entry.xlsx]Book'!D1061</f>
        <v/>
      </c>
      <c r="D1061" s="2">
        <f>'[01_Entry.xlsx]Book'!E1061</f>
        <v/>
      </c>
      <c r="E1061" s="2">
        <f>'[01_Entry.xlsx]Book'!O1061</f>
        <v/>
      </c>
      <c r="F1061" s="2">
        <f>'[01_Entry.xlsx]Book'!N1061</f>
        <v/>
      </c>
      <c r="G1061" s="3">
        <f>'[01_Entry.xlsx]Book'!L1061</f>
        <v/>
      </c>
      <c r="H1061" s="3">
        <f>'[01_Entry.xlsx]Book'!M1061</f>
        <v/>
      </c>
      <c r="I1061" s="3">
        <f>'[01_Entry.xlsx]Book'!K1061</f>
        <v/>
      </c>
      <c r="J1061" s="3">
        <f>'[01_Entry.xlsx]Book'!P1061</f>
        <v/>
      </c>
      <c r="K1061" s="3">
        <f>'[01_Entry.xlsx]Book'!F1061</f>
        <v/>
      </c>
      <c r="L1061" s="3">
        <f>'[01_Entry.xlsx]Book'!G1061</f>
        <v/>
      </c>
      <c r="M1061" s="3">
        <f>'[01_Entry.xlsx]Book'!I1061</f>
        <v/>
      </c>
      <c r="N1061" s="2">
        <f>IF($A1061="","",MID($A1061,6,2))</f>
        <v>0</v>
      </c>
      <c r="O1061" s="2">
        <f>IF(OR($C1061="",$C1061&lt;&gt;'Inv'!$D$12),"",N(O$1060)+1)</f>
        <v>0</v>
      </c>
    </row>
    <row r="1062" spans="1:15">
      <c r="A1062" s="2">
        <f>'[01_Entry.xlsx]Book'!A1062</f>
        <v/>
      </c>
      <c r="B1062" s="2">
        <f>'[01_Entry.xlsx]Book'!B1062</f>
        <v/>
      </c>
      <c r="C1062" s="2">
        <f>'[01_Entry.xlsx]Book'!D1062</f>
        <v/>
      </c>
      <c r="D1062" s="2">
        <f>'[01_Entry.xlsx]Book'!E1062</f>
        <v/>
      </c>
      <c r="E1062" s="2">
        <f>'[01_Entry.xlsx]Book'!O1062</f>
        <v/>
      </c>
      <c r="F1062" s="2">
        <f>'[01_Entry.xlsx]Book'!N1062</f>
        <v/>
      </c>
      <c r="G1062" s="3">
        <f>'[01_Entry.xlsx]Book'!L1062</f>
        <v/>
      </c>
      <c r="H1062" s="3">
        <f>'[01_Entry.xlsx]Book'!M1062</f>
        <v/>
      </c>
      <c r="I1062" s="3">
        <f>'[01_Entry.xlsx]Book'!K1062</f>
        <v/>
      </c>
      <c r="J1062" s="3">
        <f>'[01_Entry.xlsx]Book'!P1062</f>
        <v/>
      </c>
      <c r="K1062" s="3">
        <f>'[01_Entry.xlsx]Book'!F1062</f>
        <v/>
      </c>
      <c r="L1062" s="3">
        <f>'[01_Entry.xlsx]Book'!G1062</f>
        <v/>
      </c>
      <c r="M1062" s="3">
        <f>'[01_Entry.xlsx]Book'!I1062</f>
        <v/>
      </c>
      <c r="N1062" s="2">
        <f>IF($A1062="","",MID($A1062,6,2))</f>
        <v>0</v>
      </c>
      <c r="O1062" s="2">
        <f>IF(OR($C1062="",$C1062&lt;&gt;'Inv'!$D$12),"",N(O$1061)+1)</f>
        <v>0</v>
      </c>
    </row>
    <row r="1063" spans="1:15">
      <c r="A1063" s="2">
        <f>'[01_Entry.xlsx]Book'!A1063</f>
        <v/>
      </c>
      <c r="B1063" s="2">
        <f>'[01_Entry.xlsx]Book'!B1063</f>
        <v/>
      </c>
      <c r="C1063" s="2">
        <f>'[01_Entry.xlsx]Book'!D1063</f>
        <v/>
      </c>
      <c r="D1063" s="2">
        <f>'[01_Entry.xlsx]Book'!E1063</f>
        <v/>
      </c>
      <c r="E1063" s="2">
        <f>'[01_Entry.xlsx]Book'!O1063</f>
        <v/>
      </c>
      <c r="F1063" s="2">
        <f>'[01_Entry.xlsx]Book'!N1063</f>
        <v/>
      </c>
      <c r="G1063" s="3">
        <f>'[01_Entry.xlsx]Book'!L1063</f>
        <v/>
      </c>
      <c r="H1063" s="3">
        <f>'[01_Entry.xlsx]Book'!M1063</f>
        <v/>
      </c>
      <c r="I1063" s="3">
        <f>'[01_Entry.xlsx]Book'!K1063</f>
        <v/>
      </c>
      <c r="J1063" s="3">
        <f>'[01_Entry.xlsx]Book'!P1063</f>
        <v/>
      </c>
      <c r="K1063" s="3">
        <f>'[01_Entry.xlsx]Book'!F1063</f>
        <v/>
      </c>
      <c r="L1063" s="3">
        <f>'[01_Entry.xlsx]Book'!G1063</f>
        <v/>
      </c>
      <c r="M1063" s="3">
        <f>'[01_Entry.xlsx]Book'!I1063</f>
        <v/>
      </c>
      <c r="N1063" s="2">
        <f>IF($A1063="","",MID($A1063,6,2))</f>
        <v>0</v>
      </c>
      <c r="O1063" s="2">
        <f>IF(OR($C1063="",$C1063&lt;&gt;'Inv'!$D$12),"",N(O$1062)+1)</f>
        <v>0</v>
      </c>
    </row>
    <row r="1064" spans="1:15">
      <c r="A1064" s="2">
        <f>'[01_Entry.xlsx]Book'!A1064</f>
        <v/>
      </c>
      <c r="B1064" s="2">
        <f>'[01_Entry.xlsx]Book'!B1064</f>
        <v/>
      </c>
      <c r="C1064" s="2">
        <f>'[01_Entry.xlsx]Book'!D1064</f>
        <v/>
      </c>
      <c r="D1064" s="2">
        <f>'[01_Entry.xlsx]Book'!E1064</f>
        <v/>
      </c>
      <c r="E1064" s="2">
        <f>'[01_Entry.xlsx]Book'!O1064</f>
        <v/>
      </c>
      <c r="F1064" s="2">
        <f>'[01_Entry.xlsx]Book'!N1064</f>
        <v/>
      </c>
      <c r="G1064" s="3">
        <f>'[01_Entry.xlsx]Book'!L1064</f>
        <v/>
      </c>
      <c r="H1064" s="3">
        <f>'[01_Entry.xlsx]Book'!M1064</f>
        <v/>
      </c>
      <c r="I1064" s="3">
        <f>'[01_Entry.xlsx]Book'!K1064</f>
        <v/>
      </c>
      <c r="J1064" s="3">
        <f>'[01_Entry.xlsx]Book'!P1064</f>
        <v/>
      </c>
      <c r="K1064" s="3">
        <f>'[01_Entry.xlsx]Book'!F1064</f>
        <v/>
      </c>
      <c r="L1064" s="3">
        <f>'[01_Entry.xlsx]Book'!G1064</f>
        <v/>
      </c>
      <c r="M1064" s="3">
        <f>'[01_Entry.xlsx]Book'!I1064</f>
        <v/>
      </c>
      <c r="N1064" s="2">
        <f>IF($A1064="","",MID($A1064,6,2))</f>
        <v>0</v>
      </c>
      <c r="O1064" s="2">
        <f>IF(OR($C1064="",$C1064&lt;&gt;'Inv'!$D$12),"",N(O$1063)+1)</f>
        <v>0</v>
      </c>
    </row>
    <row r="1065" spans="1:15">
      <c r="A1065" s="2">
        <f>'[01_Entry.xlsx]Book'!A1065</f>
        <v/>
      </c>
      <c r="B1065" s="2">
        <f>'[01_Entry.xlsx]Book'!B1065</f>
        <v/>
      </c>
      <c r="C1065" s="2">
        <f>'[01_Entry.xlsx]Book'!D1065</f>
        <v/>
      </c>
      <c r="D1065" s="2">
        <f>'[01_Entry.xlsx]Book'!E1065</f>
        <v/>
      </c>
      <c r="E1065" s="2">
        <f>'[01_Entry.xlsx]Book'!O1065</f>
        <v/>
      </c>
      <c r="F1065" s="2">
        <f>'[01_Entry.xlsx]Book'!N1065</f>
        <v/>
      </c>
      <c r="G1065" s="3">
        <f>'[01_Entry.xlsx]Book'!L1065</f>
        <v/>
      </c>
      <c r="H1065" s="3">
        <f>'[01_Entry.xlsx]Book'!M1065</f>
        <v/>
      </c>
      <c r="I1065" s="3">
        <f>'[01_Entry.xlsx]Book'!K1065</f>
        <v/>
      </c>
      <c r="J1065" s="3">
        <f>'[01_Entry.xlsx]Book'!P1065</f>
        <v/>
      </c>
      <c r="K1065" s="3">
        <f>'[01_Entry.xlsx]Book'!F1065</f>
        <v/>
      </c>
      <c r="L1065" s="3">
        <f>'[01_Entry.xlsx]Book'!G1065</f>
        <v/>
      </c>
      <c r="M1065" s="3">
        <f>'[01_Entry.xlsx]Book'!I1065</f>
        <v/>
      </c>
      <c r="N1065" s="2">
        <f>IF($A1065="","",MID($A1065,6,2))</f>
        <v>0</v>
      </c>
      <c r="O1065" s="2">
        <f>IF(OR($C1065="",$C1065&lt;&gt;'Inv'!$D$12),"",N(O$1064)+1)</f>
        <v>0</v>
      </c>
    </row>
    <row r="1066" spans="1:15">
      <c r="A1066" s="2">
        <f>'[01_Entry.xlsx]Book'!A1066</f>
        <v/>
      </c>
      <c r="B1066" s="2">
        <f>'[01_Entry.xlsx]Book'!B1066</f>
        <v/>
      </c>
      <c r="C1066" s="2">
        <f>'[01_Entry.xlsx]Book'!D1066</f>
        <v/>
      </c>
      <c r="D1066" s="2">
        <f>'[01_Entry.xlsx]Book'!E1066</f>
        <v/>
      </c>
      <c r="E1066" s="2">
        <f>'[01_Entry.xlsx]Book'!O1066</f>
        <v/>
      </c>
      <c r="F1066" s="2">
        <f>'[01_Entry.xlsx]Book'!N1066</f>
        <v/>
      </c>
      <c r="G1066" s="3">
        <f>'[01_Entry.xlsx]Book'!L1066</f>
        <v/>
      </c>
      <c r="H1066" s="3">
        <f>'[01_Entry.xlsx]Book'!M1066</f>
        <v/>
      </c>
      <c r="I1066" s="3">
        <f>'[01_Entry.xlsx]Book'!K1066</f>
        <v/>
      </c>
      <c r="J1066" s="3">
        <f>'[01_Entry.xlsx]Book'!P1066</f>
        <v/>
      </c>
      <c r="K1066" s="3">
        <f>'[01_Entry.xlsx]Book'!F1066</f>
        <v/>
      </c>
      <c r="L1066" s="3">
        <f>'[01_Entry.xlsx]Book'!G1066</f>
        <v/>
      </c>
      <c r="M1066" s="3">
        <f>'[01_Entry.xlsx]Book'!I1066</f>
        <v/>
      </c>
      <c r="N1066" s="2">
        <f>IF($A1066="","",MID($A1066,6,2))</f>
        <v>0</v>
      </c>
      <c r="O1066" s="2">
        <f>IF(OR($C1066="",$C1066&lt;&gt;'Inv'!$D$12),"",N(O$1065)+1)</f>
        <v>0</v>
      </c>
    </row>
    <row r="1067" spans="1:15">
      <c r="A1067" s="2">
        <f>'[01_Entry.xlsx]Book'!A1067</f>
        <v/>
      </c>
      <c r="B1067" s="2">
        <f>'[01_Entry.xlsx]Book'!B1067</f>
        <v/>
      </c>
      <c r="C1067" s="2">
        <f>'[01_Entry.xlsx]Book'!D1067</f>
        <v/>
      </c>
      <c r="D1067" s="2">
        <f>'[01_Entry.xlsx]Book'!E1067</f>
        <v/>
      </c>
      <c r="E1067" s="2">
        <f>'[01_Entry.xlsx]Book'!O1067</f>
        <v/>
      </c>
      <c r="F1067" s="2">
        <f>'[01_Entry.xlsx]Book'!N1067</f>
        <v/>
      </c>
      <c r="G1067" s="3">
        <f>'[01_Entry.xlsx]Book'!L1067</f>
        <v/>
      </c>
      <c r="H1067" s="3">
        <f>'[01_Entry.xlsx]Book'!M1067</f>
        <v/>
      </c>
      <c r="I1067" s="3">
        <f>'[01_Entry.xlsx]Book'!K1067</f>
        <v/>
      </c>
      <c r="J1067" s="3">
        <f>'[01_Entry.xlsx]Book'!P1067</f>
        <v/>
      </c>
      <c r="K1067" s="3">
        <f>'[01_Entry.xlsx]Book'!F1067</f>
        <v/>
      </c>
      <c r="L1067" s="3">
        <f>'[01_Entry.xlsx]Book'!G1067</f>
        <v/>
      </c>
      <c r="M1067" s="3">
        <f>'[01_Entry.xlsx]Book'!I1067</f>
        <v/>
      </c>
      <c r="N1067" s="2">
        <f>IF($A1067="","",MID($A1067,6,2))</f>
        <v>0</v>
      </c>
      <c r="O1067" s="2">
        <f>IF(OR($C1067="",$C1067&lt;&gt;'Inv'!$D$12),"",N(O$1066)+1)</f>
        <v>0</v>
      </c>
    </row>
    <row r="1068" spans="1:15">
      <c r="A1068" s="2">
        <f>'[01_Entry.xlsx]Book'!A1068</f>
        <v/>
      </c>
      <c r="B1068" s="2">
        <f>'[01_Entry.xlsx]Book'!B1068</f>
        <v/>
      </c>
      <c r="C1068" s="2">
        <f>'[01_Entry.xlsx]Book'!D1068</f>
        <v/>
      </c>
      <c r="D1068" s="2">
        <f>'[01_Entry.xlsx]Book'!E1068</f>
        <v/>
      </c>
      <c r="E1068" s="2">
        <f>'[01_Entry.xlsx]Book'!O1068</f>
        <v/>
      </c>
      <c r="F1068" s="2">
        <f>'[01_Entry.xlsx]Book'!N1068</f>
        <v/>
      </c>
      <c r="G1068" s="3">
        <f>'[01_Entry.xlsx]Book'!L1068</f>
        <v/>
      </c>
      <c r="H1068" s="3">
        <f>'[01_Entry.xlsx]Book'!M1068</f>
        <v/>
      </c>
      <c r="I1068" s="3">
        <f>'[01_Entry.xlsx]Book'!K1068</f>
        <v/>
      </c>
      <c r="J1068" s="3">
        <f>'[01_Entry.xlsx]Book'!P1068</f>
        <v/>
      </c>
      <c r="K1068" s="3">
        <f>'[01_Entry.xlsx]Book'!F1068</f>
        <v/>
      </c>
      <c r="L1068" s="3">
        <f>'[01_Entry.xlsx]Book'!G1068</f>
        <v/>
      </c>
      <c r="M1068" s="3">
        <f>'[01_Entry.xlsx]Book'!I1068</f>
        <v/>
      </c>
      <c r="N1068" s="2">
        <f>IF($A1068="","",MID($A1068,6,2))</f>
        <v>0</v>
      </c>
      <c r="O1068" s="2">
        <f>IF(OR($C1068="",$C1068&lt;&gt;'Inv'!$D$12),"",N(O$1067)+1)</f>
        <v>0</v>
      </c>
    </row>
    <row r="1069" spans="1:15">
      <c r="A1069" s="2">
        <f>'[01_Entry.xlsx]Book'!A1069</f>
        <v/>
      </c>
      <c r="B1069" s="2">
        <f>'[01_Entry.xlsx]Book'!B1069</f>
        <v/>
      </c>
      <c r="C1069" s="2">
        <f>'[01_Entry.xlsx]Book'!D1069</f>
        <v/>
      </c>
      <c r="D1069" s="2">
        <f>'[01_Entry.xlsx]Book'!E1069</f>
        <v/>
      </c>
      <c r="E1069" s="2">
        <f>'[01_Entry.xlsx]Book'!O1069</f>
        <v/>
      </c>
      <c r="F1069" s="2">
        <f>'[01_Entry.xlsx]Book'!N1069</f>
        <v/>
      </c>
      <c r="G1069" s="3">
        <f>'[01_Entry.xlsx]Book'!L1069</f>
        <v/>
      </c>
      <c r="H1069" s="3">
        <f>'[01_Entry.xlsx]Book'!M1069</f>
        <v/>
      </c>
      <c r="I1069" s="3">
        <f>'[01_Entry.xlsx]Book'!K1069</f>
        <v/>
      </c>
      <c r="J1069" s="3">
        <f>'[01_Entry.xlsx]Book'!P1069</f>
        <v/>
      </c>
      <c r="K1069" s="3">
        <f>'[01_Entry.xlsx]Book'!F1069</f>
        <v/>
      </c>
      <c r="L1069" s="3">
        <f>'[01_Entry.xlsx]Book'!G1069</f>
        <v/>
      </c>
      <c r="M1069" s="3">
        <f>'[01_Entry.xlsx]Book'!I1069</f>
        <v/>
      </c>
      <c r="N1069" s="2">
        <f>IF($A1069="","",MID($A1069,6,2))</f>
        <v>0</v>
      </c>
      <c r="O1069" s="2">
        <f>IF(OR($C1069="",$C1069&lt;&gt;'Inv'!$D$12),"",N(O$1068)+1)</f>
        <v>0</v>
      </c>
    </row>
    <row r="1070" spans="1:15">
      <c r="A1070" s="2">
        <f>'[01_Entry.xlsx]Book'!A1070</f>
        <v/>
      </c>
      <c r="B1070" s="2">
        <f>'[01_Entry.xlsx]Book'!B1070</f>
        <v/>
      </c>
      <c r="C1070" s="2">
        <f>'[01_Entry.xlsx]Book'!D1070</f>
        <v/>
      </c>
      <c r="D1070" s="2">
        <f>'[01_Entry.xlsx]Book'!E1070</f>
        <v/>
      </c>
      <c r="E1070" s="2">
        <f>'[01_Entry.xlsx]Book'!O1070</f>
        <v/>
      </c>
      <c r="F1070" s="2">
        <f>'[01_Entry.xlsx]Book'!N1070</f>
        <v/>
      </c>
      <c r="G1070" s="3">
        <f>'[01_Entry.xlsx]Book'!L1070</f>
        <v/>
      </c>
      <c r="H1070" s="3">
        <f>'[01_Entry.xlsx]Book'!M1070</f>
        <v/>
      </c>
      <c r="I1070" s="3">
        <f>'[01_Entry.xlsx]Book'!K1070</f>
        <v/>
      </c>
      <c r="J1070" s="3">
        <f>'[01_Entry.xlsx]Book'!P1070</f>
        <v/>
      </c>
      <c r="K1070" s="3">
        <f>'[01_Entry.xlsx]Book'!F1070</f>
        <v/>
      </c>
      <c r="L1070" s="3">
        <f>'[01_Entry.xlsx]Book'!G1070</f>
        <v/>
      </c>
      <c r="M1070" s="3">
        <f>'[01_Entry.xlsx]Book'!I1070</f>
        <v/>
      </c>
      <c r="N1070" s="2">
        <f>IF($A1070="","",MID($A1070,6,2))</f>
        <v>0</v>
      </c>
      <c r="O1070" s="2">
        <f>IF(OR($C1070="",$C1070&lt;&gt;'Inv'!$D$12),"",N(O$1069)+1)</f>
        <v>0</v>
      </c>
    </row>
    <row r="1071" spans="1:15">
      <c r="A1071" s="2">
        <f>'[01_Entry.xlsx]Book'!A1071</f>
        <v/>
      </c>
      <c r="B1071" s="2">
        <f>'[01_Entry.xlsx]Book'!B1071</f>
        <v/>
      </c>
      <c r="C1071" s="2">
        <f>'[01_Entry.xlsx]Book'!D1071</f>
        <v/>
      </c>
      <c r="D1071" s="2">
        <f>'[01_Entry.xlsx]Book'!E1071</f>
        <v/>
      </c>
      <c r="E1071" s="2">
        <f>'[01_Entry.xlsx]Book'!O1071</f>
        <v/>
      </c>
      <c r="F1071" s="2">
        <f>'[01_Entry.xlsx]Book'!N1071</f>
        <v/>
      </c>
      <c r="G1071" s="3">
        <f>'[01_Entry.xlsx]Book'!L1071</f>
        <v/>
      </c>
      <c r="H1071" s="3">
        <f>'[01_Entry.xlsx]Book'!M1071</f>
        <v/>
      </c>
      <c r="I1071" s="3">
        <f>'[01_Entry.xlsx]Book'!K1071</f>
        <v/>
      </c>
      <c r="J1071" s="3">
        <f>'[01_Entry.xlsx]Book'!P1071</f>
        <v/>
      </c>
      <c r="K1071" s="3">
        <f>'[01_Entry.xlsx]Book'!F1071</f>
        <v/>
      </c>
      <c r="L1071" s="3">
        <f>'[01_Entry.xlsx]Book'!G1071</f>
        <v/>
      </c>
      <c r="M1071" s="3">
        <f>'[01_Entry.xlsx]Book'!I1071</f>
        <v/>
      </c>
      <c r="N1071" s="2">
        <f>IF($A1071="","",MID($A1071,6,2))</f>
        <v>0</v>
      </c>
      <c r="O1071" s="2">
        <f>IF(OR($C1071="",$C1071&lt;&gt;'Inv'!$D$12),"",N(O$1070)+1)</f>
        <v>0</v>
      </c>
    </row>
    <row r="1072" spans="1:15">
      <c r="A1072" s="2">
        <f>'[01_Entry.xlsx]Book'!A1072</f>
        <v/>
      </c>
      <c r="B1072" s="2">
        <f>'[01_Entry.xlsx]Book'!B1072</f>
        <v/>
      </c>
      <c r="C1072" s="2">
        <f>'[01_Entry.xlsx]Book'!D1072</f>
        <v/>
      </c>
      <c r="D1072" s="2">
        <f>'[01_Entry.xlsx]Book'!E1072</f>
        <v/>
      </c>
      <c r="E1072" s="2">
        <f>'[01_Entry.xlsx]Book'!O1072</f>
        <v/>
      </c>
      <c r="F1072" s="2">
        <f>'[01_Entry.xlsx]Book'!N1072</f>
        <v/>
      </c>
      <c r="G1072" s="3">
        <f>'[01_Entry.xlsx]Book'!L1072</f>
        <v/>
      </c>
      <c r="H1072" s="3">
        <f>'[01_Entry.xlsx]Book'!M1072</f>
        <v/>
      </c>
      <c r="I1072" s="3">
        <f>'[01_Entry.xlsx]Book'!K1072</f>
        <v/>
      </c>
      <c r="J1072" s="3">
        <f>'[01_Entry.xlsx]Book'!P1072</f>
        <v/>
      </c>
      <c r="K1072" s="3">
        <f>'[01_Entry.xlsx]Book'!F1072</f>
        <v/>
      </c>
      <c r="L1072" s="3">
        <f>'[01_Entry.xlsx]Book'!G1072</f>
        <v/>
      </c>
      <c r="M1072" s="3">
        <f>'[01_Entry.xlsx]Book'!I1072</f>
        <v/>
      </c>
      <c r="N1072" s="2">
        <f>IF($A1072="","",MID($A1072,6,2))</f>
        <v>0</v>
      </c>
      <c r="O1072" s="2">
        <f>IF(OR($C1072="",$C1072&lt;&gt;'Inv'!$D$12),"",N(O$1071)+1)</f>
        <v>0</v>
      </c>
    </row>
    <row r="1073" spans="1:15">
      <c r="A1073" s="2">
        <f>'[01_Entry.xlsx]Book'!A1073</f>
        <v/>
      </c>
      <c r="B1073" s="2">
        <f>'[01_Entry.xlsx]Book'!B1073</f>
        <v/>
      </c>
      <c r="C1073" s="2">
        <f>'[01_Entry.xlsx]Book'!D1073</f>
        <v/>
      </c>
      <c r="D1073" s="2">
        <f>'[01_Entry.xlsx]Book'!E1073</f>
        <v/>
      </c>
      <c r="E1073" s="2">
        <f>'[01_Entry.xlsx]Book'!O1073</f>
        <v/>
      </c>
      <c r="F1073" s="2">
        <f>'[01_Entry.xlsx]Book'!N1073</f>
        <v/>
      </c>
      <c r="G1073" s="3">
        <f>'[01_Entry.xlsx]Book'!L1073</f>
        <v/>
      </c>
      <c r="H1073" s="3">
        <f>'[01_Entry.xlsx]Book'!M1073</f>
        <v/>
      </c>
      <c r="I1073" s="3">
        <f>'[01_Entry.xlsx]Book'!K1073</f>
        <v/>
      </c>
      <c r="J1073" s="3">
        <f>'[01_Entry.xlsx]Book'!P1073</f>
        <v/>
      </c>
      <c r="K1073" s="3">
        <f>'[01_Entry.xlsx]Book'!F1073</f>
        <v/>
      </c>
      <c r="L1073" s="3">
        <f>'[01_Entry.xlsx]Book'!G1073</f>
        <v/>
      </c>
      <c r="M1073" s="3">
        <f>'[01_Entry.xlsx]Book'!I1073</f>
        <v/>
      </c>
      <c r="N1073" s="2">
        <f>IF($A1073="","",MID($A1073,6,2))</f>
        <v>0</v>
      </c>
      <c r="O1073" s="2">
        <f>IF(OR($C1073="",$C1073&lt;&gt;'Inv'!$D$12),"",N(O$1072)+1)</f>
        <v>0</v>
      </c>
    </row>
    <row r="1074" spans="1:15">
      <c r="A1074" s="2">
        <f>'[01_Entry.xlsx]Book'!A1074</f>
        <v/>
      </c>
      <c r="B1074" s="2">
        <f>'[01_Entry.xlsx]Book'!B1074</f>
        <v/>
      </c>
      <c r="C1074" s="2">
        <f>'[01_Entry.xlsx]Book'!D1074</f>
        <v/>
      </c>
      <c r="D1074" s="2">
        <f>'[01_Entry.xlsx]Book'!E1074</f>
        <v/>
      </c>
      <c r="E1074" s="2">
        <f>'[01_Entry.xlsx]Book'!O1074</f>
        <v/>
      </c>
      <c r="F1074" s="2">
        <f>'[01_Entry.xlsx]Book'!N1074</f>
        <v/>
      </c>
      <c r="G1074" s="3">
        <f>'[01_Entry.xlsx]Book'!L1074</f>
        <v/>
      </c>
      <c r="H1074" s="3">
        <f>'[01_Entry.xlsx]Book'!M1074</f>
        <v/>
      </c>
      <c r="I1074" s="3">
        <f>'[01_Entry.xlsx]Book'!K1074</f>
        <v/>
      </c>
      <c r="J1074" s="3">
        <f>'[01_Entry.xlsx]Book'!P1074</f>
        <v/>
      </c>
      <c r="K1074" s="3">
        <f>'[01_Entry.xlsx]Book'!F1074</f>
        <v/>
      </c>
      <c r="L1074" s="3">
        <f>'[01_Entry.xlsx]Book'!G1074</f>
        <v/>
      </c>
      <c r="M1074" s="3">
        <f>'[01_Entry.xlsx]Book'!I1074</f>
        <v/>
      </c>
      <c r="N1074" s="2">
        <f>IF($A1074="","",MID($A1074,6,2))</f>
        <v>0</v>
      </c>
      <c r="O1074" s="2">
        <f>IF(OR($C1074="",$C1074&lt;&gt;'Inv'!$D$12),"",N(O$1073)+1)</f>
        <v>0</v>
      </c>
    </row>
    <row r="1075" spans="1:15">
      <c r="A1075" s="2">
        <f>'[01_Entry.xlsx]Book'!A1075</f>
        <v/>
      </c>
      <c r="B1075" s="2">
        <f>'[01_Entry.xlsx]Book'!B1075</f>
        <v/>
      </c>
      <c r="C1075" s="2">
        <f>'[01_Entry.xlsx]Book'!D1075</f>
        <v/>
      </c>
      <c r="D1075" s="2">
        <f>'[01_Entry.xlsx]Book'!E1075</f>
        <v/>
      </c>
      <c r="E1075" s="2">
        <f>'[01_Entry.xlsx]Book'!O1075</f>
        <v/>
      </c>
      <c r="F1075" s="2">
        <f>'[01_Entry.xlsx]Book'!N1075</f>
        <v/>
      </c>
      <c r="G1075" s="3">
        <f>'[01_Entry.xlsx]Book'!L1075</f>
        <v/>
      </c>
      <c r="H1075" s="3">
        <f>'[01_Entry.xlsx]Book'!M1075</f>
        <v/>
      </c>
      <c r="I1075" s="3">
        <f>'[01_Entry.xlsx]Book'!K1075</f>
        <v/>
      </c>
      <c r="J1075" s="3">
        <f>'[01_Entry.xlsx]Book'!P1075</f>
        <v/>
      </c>
      <c r="K1075" s="3">
        <f>'[01_Entry.xlsx]Book'!F1075</f>
        <v/>
      </c>
      <c r="L1075" s="3">
        <f>'[01_Entry.xlsx]Book'!G1075</f>
        <v/>
      </c>
      <c r="M1075" s="3">
        <f>'[01_Entry.xlsx]Book'!I1075</f>
        <v/>
      </c>
      <c r="N1075" s="2">
        <f>IF($A1075="","",MID($A1075,6,2))</f>
        <v>0</v>
      </c>
      <c r="O1075" s="2">
        <f>IF(OR($C1075="",$C1075&lt;&gt;'Inv'!$D$12),"",N(O$1074)+1)</f>
        <v>0</v>
      </c>
    </row>
    <row r="1076" spans="1:15">
      <c r="A1076" s="2">
        <f>'[01_Entry.xlsx]Book'!A1076</f>
        <v/>
      </c>
      <c r="B1076" s="2">
        <f>'[01_Entry.xlsx]Book'!B1076</f>
        <v/>
      </c>
      <c r="C1076" s="2">
        <f>'[01_Entry.xlsx]Book'!D1076</f>
        <v/>
      </c>
      <c r="D1076" s="2">
        <f>'[01_Entry.xlsx]Book'!E1076</f>
        <v/>
      </c>
      <c r="E1076" s="2">
        <f>'[01_Entry.xlsx]Book'!O1076</f>
        <v/>
      </c>
      <c r="F1076" s="2">
        <f>'[01_Entry.xlsx]Book'!N1076</f>
        <v/>
      </c>
      <c r="G1076" s="3">
        <f>'[01_Entry.xlsx]Book'!L1076</f>
        <v/>
      </c>
      <c r="H1076" s="3">
        <f>'[01_Entry.xlsx]Book'!M1076</f>
        <v/>
      </c>
      <c r="I1076" s="3">
        <f>'[01_Entry.xlsx]Book'!K1076</f>
        <v/>
      </c>
      <c r="J1076" s="3">
        <f>'[01_Entry.xlsx]Book'!P1076</f>
        <v/>
      </c>
      <c r="K1076" s="3">
        <f>'[01_Entry.xlsx]Book'!F1076</f>
        <v/>
      </c>
      <c r="L1076" s="3">
        <f>'[01_Entry.xlsx]Book'!G1076</f>
        <v/>
      </c>
      <c r="M1076" s="3">
        <f>'[01_Entry.xlsx]Book'!I1076</f>
        <v/>
      </c>
      <c r="N1076" s="2">
        <f>IF($A1076="","",MID($A1076,6,2))</f>
        <v>0</v>
      </c>
      <c r="O1076" s="2">
        <f>IF(OR($C1076="",$C1076&lt;&gt;'Inv'!$D$12),"",N(O$1075)+1)</f>
        <v>0</v>
      </c>
    </row>
    <row r="1077" spans="1:15">
      <c r="A1077" s="2">
        <f>'[01_Entry.xlsx]Book'!A1077</f>
        <v/>
      </c>
      <c r="B1077" s="2">
        <f>'[01_Entry.xlsx]Book'!B1077</f>
        <v/>
      </c>
      <c r="C1077" s="2">
        <f>'[01_Entry.xlsx]Book'!D1077</f>
        <v/>
      </c>
      <c r="D1077" s="2">
        <f>'[01_Entry.xlsx]Book'!E1077</f>
        <v/>
      </c>
      <c r="E1077" s="2">
        <f>'[01_Entry.xlsx]Book'!O1077</f>
        <v/>
      </c>
      <c r="F1077" s="2">
        <f>'[01_Entry.xlsx]Book'!N1077</f>
        <v/>
      </c>
      <c r="G1077" s="3">
        <f>'[01_Entry.xlsx]Book'!L1077</f>
        <v/>
      </c>
      <c r="H1077" s="3">
        <f>'[01_Entry.xlsx]Book'!M1077</f>
        <v/>
      </c>
      <c r="I1077" s="3">
        <f>'[01_Entry.xlsx]Book'!K1077</f>
        <v/>
      </c>
      <c r="J1077" s="3">
        <f>'[01_Entry.xlsx]Book'!P1077</f>
        <v/>
      </c>
      <c r="K1077" s="3">
        <f>'[01_Entry.xlsx]Book'!F1077</f>
        <v/>
      </c>
      <c r="L1077" s="3">
        <f>'[01_Entry.xlsx]Book'!G1077</f>
        <v/>
      </c>
      <c r="M1077" s="3">
        <f>'[01_Entry.xlsx]Book'!I1077</f>
        <v/>
      </c>
      <c r="N1077" s="2">
        <f>IF($A1077="","",MID($A1077,6,2))</f>
        <v>0</v>
      </c>
      <c r="O1077" s="2">
        <f>IF(OR($C1077="",$C1077&lt;&gt;'Inv'!$D$12),"",N(O$1076)+1)</f>
        <v>0</v>
      </c>
    </row>
    <row r="1078" spans="1:15">
      <c r="A1078" s="2">
        <f>'[01_Entry.xlsx]Book'!A1078</f>
        <v/>
      </c>
      <c r="B1078" s="2">
        <f>'[01_Entry.xlsx]Book'!B1078</f>
        <v/>
      </c>
      <c r="C1078" s="2">
        <f>'[01_Entry.xlsx]Book'!D1078</f>
        <v/>
      </c>
      <c r="D1078" s="2">
        <f>'[01_Entry.xlsx]Book'!E1078</f>
        <v/>
      </c>
      <c r="E1078" s="2">
        <f>'[01_Entry.xlsx]Book'!O1078</f>
        <v/>
      </c>
      <c r="F1078" s="2">
        <f>'[01_Entry.xlsx]Book'!N1078</f>
        <v/>
      </c>
      <c r="G1078" s="3">
        <f>'[01_Entry.xlsx]Book'!L1078</f>
        <v/>
      </c>
      <c r="H1078" s="3">
        <f>'[01_Entry.xlsx]Book'!M1078</f>
        <v/>
      </c>
      <c r="I1078" s="3">
        <f>'[01_Entry.xlsx]Book'!K1078</f>
        <v/>
      </c>
      <c r="J1078" s="3">
        <f>'[01_Entry.xlsx]Book'!P1078</f>
        <v/>
      </c>
      <c r="K1078" s="3">
        <f>'[01_Entry.xlsx]Book'!F1078</f>
        <v/>
      </c>
      <c r="L1078" s="3">
        <f>'[01_Entry.xlsx]Book'!G1078</f>
        <v/>
      </c>
      <c r="M1078" s="3">
        <f>'[01_Entry.xlsx]Book'!I1078</f>
        <v/>
      </c>
      <c r="N1078" s="2">
        <f>IF($A1078="","",MID($A1078,6,2))</f>
        <v>0</v>
      </c>
      <c r="O1078" s="2">
        <f>IF(OR($C1078="",$C1078&lt;&gt;'Inv'!$D$12),"",N(O$1077)+1)</f>
        <v>0</v>
      </c>
    </row>
    <row r="1079" spans="1:15">
      <c r="A1079" s="2">
        <f>'[01_Entry.xlsx]Book'!A1079</f>
        <v/>
      </c>
      <c r="B1079" s="2">
        <f>'[01_Entry.xlsx]Book'!B1079</f>
        <v/>
      </c>
      <c r="C1079" s="2">
        <f>'[01_Entry.xlsx]Book'!D1079</f>
        <v/>
      </c>
      <c r="D1079" s="2">
        <f>'[01_Entry.xlsx]Book'!E1079</f>
        <v/>
      </c>
      <c r="E1079" s="2">
        <f>'[01_Entry.xlsx]Book'!O1079</f>
        <v/>
      </c>
      <c r="F1079" s="2">
        <f>'[01_Entry.xlsx]Book'!N1079</f>
        <v/>
      </c>
      <c r="G1079" s="3">
        <f>'[01_Entry.xlsx]Book'!L1079</f>
        <v/>
      </c>
      <c r="H1079" s="3">
        <f>'[01_Entry.xlsx]Book'!M1079</f>
        <v/>
      </c>
      <c r="I1079" s="3">
        <f>'[01_Entry.xlsx]Book'!K1079</f>
        <v/>
      </c>
      <c r="J1079" s="3">
        <f>'[01_Entry.xlsx]Book'!P1079</f>
        <v/>
      </c>
      <c r="K1079" s="3">
        <f>'[01_Entry.xlsx]Book'!F1079</f>
        <v/>
      </c>
      <c r="L1079" s="3">
        <f>'[01_Entry.xlsx]Book'!G1079</f>
        <v/>
      </c>
      <c r="M1079" s="3">
        <f>'[01_Entry.xlsx]Book'!I1079</f>
        <v/>
      </c>
      <c r="N1079" s="2">
        <f>IF($A1079="","",MID($A1079,6,2))</f>
        <v>0</v>
      </c>
      <c r="O1079" s="2">
        <f>IF(OR($C1079="",$C1079&lt;&gt;'Inv'!$D$12),"",N(O$1078)+1)</f>
        <v>0</v>
      </c>
    </row>
    <row r="1080" spans="1:15">
      <c r="A1080" s="2">
        <f>'[01_Entry.xlsx]Book'!A1080</f>
        <v/>
      </c>
      <c r="B1080" s="2">
        <f>'[01_Entry.xlsx]Book'!B1080</f>
        <v/>
      </c>
      <c r="C1080" s="2">
        <f>'[01_Entry.xlsx]Book'!D1080</f>
        <v/>
      </c>
      <c r="D1080" s="2">
        <f>'[01_Entry.xlsx]Book'!E1080</f>
        <v/>
      </c>
      <c r="E1080" s="2">
        <f>'[01_Entry.xlsx]Book'!O1080</f>
        <v/>
      </c>
      <c r="F1080" s="2">
        <f>'[01_Entry.xlsx]Book'!N1080</f>
        <v/>
      </c>
      <c r="G1080" s="3">
        <f>'[01_Entry.xlsx]Book'!L1080</f>
        <v/>
      </c>
      <c r="H1080" s="3">
        <f>'[01_Entry.xlsx]Book'!M1080</f>
        <v/>
      </c>
      <c r="I1080" s="3">
        <f>'[01_Entry.xlsx]Book'!K1080</f>
        <v/>
      </c>
      <c r="J1080" s="3">
        <f>'[01_Entry.xlsx]Book'!P1080</f>
        <v/>
      </c>
      <c r="K1080" s="3">
        <f>'[01_Entry.xlsx]Book'!F1080</f>
        <v/>
      </c>
      <c r="L1080" s="3">
        <f>'[01_Entry.xlsx]Book'!G1080</f>
        <v/>
      </c>
      <c r="M1080" s="3">
        <f>'[01_Entry.xlsx]Book'!I1080</f>
        <v/>
      </c>
      <c r="N1080" s="2">
        <f>IF($A1080="","",MID($A1080,6,2))</f>
        <v>0</v>
      </c>
      <c r="O1080" s="2">
        <f>IF(OR($C1080="",$C1080&lt;&gt;'Inv'!$D$12),"",N(O$1079)+1)</f>
        <v>0</v>
      </c>
    </row>
    <row r="1081" spans="1:15">
      <c r="A1081" s="2">
        <f>'[01_Entry.xlsx]Book'!A1081</f>
        <v/>
      </c>
      <c r="B1081" s="2">
        <f>'[01_Entry.xlsx]Book'!B1081</f>
        <v/>
      </c>
      <c r="C1081" s="2">
        <f>'[01_Entry.xlsx]Book'!D1081</f>
        <v/>
      </c>
      <c r="D1081" s="2">
        <f>'[01_Entry.xlsx]Book'!E1081</f>
        <v/>
      </c>
      <c r="E1081" s="2">
        <f>'[01_Entry.xlsx]Book'!O1081</f>
        <v/>
      </c>
      <c r="F1081" s="2">
        <f>'[01_Entry.xlsx]Book'!N1081</f>
        <v/>
      </c>
      <c r="G1081" s="3">
        <f>'[01_Entry.xlsx]Book'!L1081</f>
        <v/>
      </c>
      <c r="H1081" s="3">
        <f>'[01_Entry.xlsx]Book'!M1081</f>
        <v/>
      </c>
      <c r="I1081" s="3">
        <f>'[01_Entry.xlsx]Book'!K1081</f>
        <v/>
      </c>
      <c r="J1081" s="3">
        <f>'[01_Entry.xlsx]Book'!P1081</f>
        <v/>
      </c>
      <c r="K1081" s="3">
        <f>'[01_Entry.xlsx]Book'!F1081</f>
        <v/>
      </c>
      <c r="L1081" s="3">
        <f>'[01_Entry.xlsx]Book'!G1081</f>
        <v/>
      </c>
      <c r="M1081" s="3">
        <f>'[01_Entry.xlsx]Book'!I1081</f>
        <v/>
      </c>
      <c r="N1081" s="2">
        <f>IF($A1081="","",MID($A1081,6,2))</f>
        <v>0</v>
      </c>
      <c r="O1081" s="2">
        <f>IF(OR($C1081="",$C1081&lt;&gt;'Inv'!$D$12),"",N(O$1080)+1)</f>
        <v>0</v>
      </c>
    </row>
    <row r="1082" spans="1:15">
      <c r="A1082" s="2">
        <f>'[01_Entry.xlsx]Book'!A1082</f>
        <v/>
      </c>
      <c r="B1082" s="2">
        <f>'[01_Entry.xlsx]Book'!B1082</f>
        <v/>
      </c>
      <c r="C1082" s="2">
        <f>'[01_Entry.xlsx]Book'!D1082</f>
        <v/>
      </c>
      <c r="D1082" s="2">
        <f>'[01_Entry.xlsx]Book'!E1082</f>
        <v/>
      </c>
      <c r="E1082" s="2">
        <f>'[01_Entry.xlsx]Book'!O1082</f>
        <v/>
      </c>
      <c r="F1082" s="2">
        <f>'[01_Entry.xlsx]Book'!N1082</f>
        <v/>
      </c>
      <c r="G1082" s="3">
        <f>'[01_Entry.xlsx]Book'!L1082</f>
        <v/>
      </c>
      <c r="H1082" s="3">
        <f>'[01_Entry.xlsx]Book'!M1082</f>
        <v/>
      </c>
      <c r="I1082" s="3">
        <f>'[01_Entry.xlsx]Book'!K1082</f>
        <v/>
      </c>
      <c r="J1082" s="3">
        <f>'[01_Entry.xlsx]Book'!P1082</f>
        <v/>
      </c>
      <c r="K1082" s="3">
        <f>'[01_Entry.xlsx]Book'!F1082</f>
        <v/>
      </c>
      <c r="L1082" s="3">
        <f>'[01_Entry.xlsx]Book'!G1082</f>
        <v/>
      </c>
      <c r="M1082" s="3">
        <f>'[01_Entry.xlsx]Book'!I1082</f>
        <v/>
      </c>
      <c r="N1082" s="2">
        <f>IF($A1082="","",MID($A1082,6,2))</f>
        <v>0</v>
      </c>
      <c r="O1082" s="2">
        <f>IF(OR($C1082="",$C1082&lt;&gt;'Inv'!$D$12),"",N(O$1081)+1)</f>
        <v>0</v>
      </c>
    </row>
    <row r="1083" spans="1:15">
      <c r="A1083" s="2">
        <f>'[01_Entry.xlsx]Book'!A1083</f>
        <v/>
      </c>
      <c r="B1083" s="2">
        <f>'[01_Entry.xlsx]Book'!B1083</f>
        <v/>
      </c>
      <c r="C1083" s="2">
        <f>'[01_Entry.xlsx]Book'!D1083</f>
        <v/>
      </c>
      <c r="D1083" s="2">
        <f>'[01_Entry.xlsx]Book'!E1083</f>
        <v/>
      </c>
      <c r="E1083" s="2">
        <f>'[01_Entry.xlsx]Book'!O1083</f>
        <v/>
      </c>
      <c r="F1083" s="2">
        <f>'[01_Entry.xlsx]Book'!N1083</f>
        <v/>
      </c>
      <c r="G1083" s="3">
        <f>'[01_Entry.xlsx]Book'!L1083</f>
        <v/>
      </c>
      <c r="H1083" s="3">
        <f>'[01_Entry.xlsx]Book'!M1083</f>
        <v/>
      </c>
      <c r="I1083" s="3">
        <f>'[01_Entry.xlsx]Book'!K1083</f>
        <v/>
      </c>
      <c r="J1083" s="3">
        <f>'[01_Entry.xlsx]Book'!P1083</f>
        <v/>
      </c>
      <c r="K1083" s="3">
        <f>'[01_Entry.xlsx]Book'!F1083</f>
        <v/>
      </c>
      <c r="L1083" s="3">
        <f>'[01_Entry.xlsx]Book'!G1083</f>
        <v/>
      </c>
      <c r="M1083" s="3">
        <f>'[01_Entry.xlsx]Book'!I1083</f>
        <v/>
      </c>
      <c r="N1083" s="2">
        <f>IF($A1083="","",MID($A1083,6,2))</f>
        <v>0</v>
      </c>
      <c r="O1083" s="2">
        <f>IF(OR($C1083="",$C1083&lt;&gt;'Inv'!$D$12),"",N(O$1082)+1)</f>
        <v>0</v>
      </c>
    </row>
    <row r="1084" spans="1:15">
      <c r="A1084" s="2">
        <f>'[01_Entry.xlsx]Book'!A1084</f>
        <v/>
      </c>
      <c r="B1084" s="2">
        <f>'[01_Entry.xlsx]Book'!B1084</f>
        <v/>
      </c>
      <c r="C1084" s="2">
        <f>'[01_Entry.xlsx]Book'!D1084</f>
        <v/>
      </c>
      <c r="D1084" s="2">
        <f>'[01_Entry.xlsx]Book'!E1084</f>
        <v/>
      </c>
      <c r="E1084" s="2">
        <f>'[01_Entry.xlsx]Book'!O1084</f>
        <v/>
      </c>
      <c r="F1084" s="2">
        <f>'[01_Entry.xlsx]Book'!N1084</f>
        <v/>
      </c>
      <c r="G1084" s="3">
        <f>'[01_Entry.xlsx]Book'!L1084</f>
        <v/>
      </c>
      <c r="H1084" s="3">
        <f>'[01_Entry.xlsx]Book'!M1084</f>
        <v/>
      </c>
      <c r="I1084" s="3">
        <f>'[01_Entry.xlsx]Book'!K1084</f>
        <v/>
      </c>
      <c r="J1084" s="3">
        <f>'[01_Entry.xlsx]Book'!P1084</f>
        <v/>
      </c>
      <c r="K1084" s="3">
        <f>'[01_Entry.xlsx]Book'!F1084</f>
        <v/>
      </c>
      <c r="L1084" s="3">
        <f>'[01_Entry.xlsx]Book'!G1084</f>
        <v/>
      </c>
      <c r="M1084" s="3">
        <f>'[01_Entry.xlsx]Book'!I1084</f>
        <v/>
      </c>
      <c r="N1084" s="2">
        <f>IF($A1084="","",MID($A1084,6,2))</f>
        <v>0</v>
      </c>
      <c r="O1084" s="2">
        <f>IF(OR($C1084="",$C1084&lt;&gt;'Inv'!$D$12),"",N(O$1083)+1)</f>
        <v>0</v>
      </c>
    </row>
    <row r="1085" spans="1:15">
      <c r="A1085" s="2">
        <f>'[01_Entry.xlsx]Book'!A1085</f>
        <v/>
      </c>
      <c r="B1085" s="2">
        <f>'[01_Entry.xlsx]Book'!B1085</f>
        <v/>
      </c>
      <c r="C1085" s="2">
        <f>'[01_Entry.xlsx]Book'!D1085</f>
        <v/>
      </c>
      <c r="D1085" s="2">
        <f>'[01_Entry.xlsx]Book'!E1085</f>
        <v/>
      </c>
      <c r="E1085" s="2">
        <f>'[01_Entry.xlsx]Book'!O1085</f>
        <v/>
      </c>
      <c r="F1085" s="2">
        <f>'[01_Entry.xlsx]Book'!N1085</f>
        <v/>
      </c>
      <c r="G1085" s="3">
        <f>'[01_Entry.xlsx]Book'!L1085</f>
        <v/>
      </c>
      <c r="H1085" s="3">
        <f>'[01_Entry.xlsx]Book'!M1085</f>
        <v/>
      </c>
      <c r="I1085" s="3">
        <f>'[01_Entry.xlsx]Book'!K1085</f>
        <v/>
      </c>
      <c r="J1085" s="3">
        <f>'[01_Entry.xlsx]Book'!P1085</f>
        <v/>
      </c>
      <c r="K1085" s="3">
        <f>'[01_Entry.xlsx]Book'!F1085</f>
        <v/>
      </c>
      <c r="L1085" s="3">
        <f>'[01_Entry.xlsx]Book'!G1085</f>
        <v/>
      </c>
      <c r="M1085" s="3">
        <f>'[01_Entry.xlsx]Book'!I1085</f>
        <v/>
      </c>
      <c r="N1085" s="2">
        <f>IF($A1085="","",MID($A1085,6,2))</f>
        <v>0</v>
      </c>
      <c r="O1085" s="2">
        <f>IF(OR($C1085="",$C1085&lt;&gt;'Inv'!$D$12),"",N(O$1084)+1)</f>
        <v>0</v>
      </c>
    </row>
    <row r="1086" spans="1:15">
      <c r="A1086" s="2">
        <f>'[01_Entry.xlsx]Book'!A1086</f>
        <v/>
      </c>
      <c r="B1086" s="2">
        <f>'[01_Entry.xlsx]Book'!B1086</f>
        <v/>
      </c>
      <c r="C1086" s="2">
        <f>'[01_Entry.xlsx]Book'!D1086</f>
        <v/>
      </c>
      <c r="D1086" s="2">
        <f>'[01_Entry.xlsx]Book'!E1086</f>
        <v/>
      </c>
      <c r="E1086" s="2">
        <f>'[01_Entry.xlsx]Book'!O1086</f>
        <v/>
      </c>
      <c r="F1086" s="2">
        <f>'[01_Entry.xlsx]Book'!N1086</f>
        <v/>
      </c>
      <c r="G1086" s="3">
        <f>'[01_Entry.xlsx]Book'!L1086</f>
        <v/>
      </c>
      <c r="H1086" s="3">
        <f>'[01_Entry.xlsx]Book'!M1086</f>
        <v/>
      </c>
      <c r="I1086" s="3">
        <f>'[01_Entry.xlsx]Book'!K1086</f>
        <v/>
      </c>
      <c r="J1086" s="3">
        <f>'[01_Entry.xlsx]Book'!P1086</f>
        <v/>
      </c>
      <c r="K1086" s="3">
        <f>'[01_Entry.xlsx]Book'!F1086</f>
        <v/>
      </c>
      <c r="L1086" s="3">
        <f>'[01_Entry.xlsx]Book'!G1086</f>
        <v/>
      </c>
      <c r="M1086" s="3">
        <f>'[01_Entry.xlsx]Book'!I1086</f>
        <v/>
      </c>
      <c r="N1086" s="2">
        <f>IF($A1086="","",MID($A1086,6,2))</f>
        <v>0</v>
      </c>
      <c r="O1086" s="2">
        <f>IF(OR($C1086="",$C1086&lt;&gt;'Inv'!$D$12),"",N(O$1085)+1)</f>
        <v>0</v>
      </c>
    </row>
    <row r="1087" spans="1:15">
      <c r="A1087" s="2">
        <f>'[01_Entry.xlsx]Book'!A1087</f>
        <v/>
      </c>
      <c r="B1087" s="2">
        <f>'[01_Entry.xlsx]Book'!B1087</f>
        <v/>
      </c>
      <c r="C1087" s="2">
        <f>'[01_Entry.xlsx]Book'!D1087</f>
        <v/>
      </c>
      <c r="D1087" s="2">
        <f>'[01_Entry.xlsx]Book'!E1087</f>
        <v/>
      </c>
      <c r="E1087" s="2">
        <f>'[01_Entry.xlsx]Book'!O1087</f>
        <v/>
      </c>
      <c r="F1087" s="2">
        <f>'[01_Entry.xlsx]Book'!N1087</f>
        <v/>
      </c>
      <c r="G1087" s="3">
        <f>'[01_Entry.xlsx]Book'!L1087</f>
        <v/>
      </c>
      <c r="H1087" s="3">
        <f>'[01_Entry.xlsx]Book'!M1087</f>
        <v/>
      </c>
      <c r="I1087" s="3">
        <f>'[01_Entry.xlsx]Book'!K1087</f>
        <v/>
      </c>
      <c r="J1087" s="3">
        <f>'[01_Entry.xlsx]Book'!P1087</f>
        <v/>
      </c>
      <c r="K1087" s="3">
        <f>'[01_Entry.xlsx]Book'!F1087</f>
        <v/>
      </c>
      <c r="L1087" s="3">
        <f>'[01_Entry.xlsx]Book'!G1087</f>
        <v/>
      </c>
      <c r="M1087" s="3">
        <f>'[01_Entry.xlsx]Book'!I1087</f>
        <v/>
      </c>
      <c r="N1087" s="2">
        <f>IF($A1087="","",MID($A1087,6,2))</f>
        <v>0</v>
      </c>
      <c r="O1087" s="2">
        <f>IF(OR($C1087="",$C1087&lt;&gt;'Inv'!$D$12),"",N(O$1086)+1)</f>
        <v>0</v>
      </c>
    </row>
    <row r="1088" spans="1:15">
      <c r="A1088" s="2">
        <f>'[01_Entry.xlsx]Book'!A1088</f>
        <v/>
      </c>
      <c r="B1088" s="2">
        <f>'[01_Entry.xlsx]Book'!B1088</f>
        <v/>
      </c>
      <c r="C1088" s="2">
        <f>'[01_Entry.xlsx]Book'!D1088</f>
        <v/>
      </c>
      <c r="D1088" s="2">
        <f>'[01_Entry.xlsx]Book'!E1088</f>
        <v/>
      </c>
      <c r="E1088" s="2">
        <f>'[01_Entry.xlsx]Book'!O1088</f>
        <v/>
      </c>
      <c r="F1088" s="2">
        <f>'[01_Entry.xlsx]Book'!N1088</f>
        <v/>
      </c>
      <c r="G1088" s="3">
        <f>'[01_Entry.xlsx]Book'!L1088</f>
        <v/>
      </c>
      <c r="H1088" s="3">
        <f>'[01_Entry.xlsx]Book'!M1088</f>
        <v/>
      </c>
      <c r="I1088" s="3">
        <f>'[01_Entry.xlsx]Book'!K1088</f>
        <v/>
      </c>
      <c r="J1088" s="3">
        <f>'[01_Entry.xlsx]Book'!P1088</f>
        <v/>
      </c>
      <c r="K1088" s="3">
        <f>'[01_Entry.xlsx]Book'!F1088</f>
        <v/>
      </c>
      <c r="L1088" s="3">
        <f>'[01_Entry.xlsx]Book'!G1088</f>
        <v/>
      </c>
      <c r="M1088" s="3">
        <f>'[01_Entry.xlsx]Book'!I1088</f>
        <v/>
      </c>
      <c r="N1088" s="2">
        <f>IF($A1088="","",MID($A1088,6,2))</f>
        <v>0</v>
      </c>
      <c r="O1088" s="2">
        <f>IF(OR($C1088="",$C1088&lt;&gt;'Inv'!$D$12),"",N(O$1087)+1)</f>
        <v>0</v>
      </c>
    </row>
    <row r="1089" spans="1:15">
      <c r="A1089" s="2">
        <f>'[01_Entry.xlsx]Book'!A1089</f>
        <v/>
      </c>
      <c r="B1089" s="2">
        <f>'[01_Entry.xlsx]Book'!B1089</f>
        <v/>
      </c>
      <c r="C1089" s="2">
        <f>'[01_Entry.xlsx]Book'!D1089</f>
        <v/>
      </c>
      <c r="D1089" s="2">
        <f>'[01_Entry.xlsx]Book'!E1089</f>
        <v/>
      </c>
      <c r="E1089" s="2">
        <f>'[01_Entry.xlsx]Book'!O1089</f>
        <v/>
      </c>
      <c r="F1089" s="2">
        <f>'[01_Entry.xlsx]Book'!N1089</f>
        <v/>
      </c>
      <c r="G1089" s="3">
        <f>'[01_Entry.xlsx]Book'!L1089</f>
        <v/>
      </c>
      <c r="H1089" s="3">
        <f>'[01_Entry.xlsx]Book'!M1089</f>
        <v/>
      </c>
      <c r="I1089" s="3">
        <f>'[01_Entry.xlsx]Book'!K1089</f>
        <v/>
      </c>
      <c r="J1089" s="3">
        <f>'[01_Entry.xlsx]Book'!P1089</f>
        <v/>
      </c>
      <c r="K1089" s="3">
        <f>'[01_Entry.xlsx]Book'!F1089</f>
        <v/>
      </c>
      <c r="L1089" s="3">
        <f>'[01_Entry.xlsx]Book'!G1089</f>
        <v/>
      </c>
      <c r="M1089" s="3">
        <f>'[01_Entry.xlsx]Book'!I1089</f>
        <v/>
      </c>
      <c r="N1089" s="2">
        <f>IF($A1089="","",MID($A1089,6,2))</f>
        <v>0</v>
      </c>
      <c r="O1089" s="2">
        <f>IF(OR($C1089="",$C1089&lt;&gt;'Inv'!$D$12),"",N(O$1088)+1)</f>
        <v>0</v>
      </c>
    </row>
    <row r="1090" spans="1:15">
      <c r="A1090" s="2">
        <f>'[01_Entry.xlsx]Book'!A1090</f>
        <v/>
      </c>
      <c r="B1090" s="2">
        <f>'[01_Entry.xlsx]Book'!B1090</f>
        <v/>
      </c>
      <c r="C1090" s="2">
        <f>'[01_Entry.xlsx]Book'!D1090</f>
        <v/>
      </c>
      <c r="D1090" s="2">
        <f>'[01_Entry.xlsx]Book'!E1090</f>
        <v/>
      </c>
      <c r="E1090" s="2">
        <f>'[01_Entry.xlsx]Book'!O1090</f>
        <v/>
      </c>
      <c r="F1090" s="2">
        <f>'[01_Entry.xlsx]Book'!N1090</f>
        <v/>
      </c>
      <c r="G1090" s="3">
        <f>'[01_Entry.xlsx]Book'!L1090</f>
        <v/>
      </c>
      <c r="H1090" s="3">
        <f>'[01_Entry.xlsx]Book'!M1090</f>
        <v/>
      </c>
      <c r="I1090" s="3">
        <f>'[01_Entry.xlsx]Book'!K1090</f>
        <v/>
      </c>
      <c r="J1090" s="3">
        <f>'[01_Entry.xlsx]Book'!P1090</f>
        <v/>
      </c>
      <c r="K1090" s="3">
        <f>'[01_Entry.xlsx]Book'!F1090</f>
        <v/>
      </c>
      <c r="L1090" s="3">
        <f>'[01_Entry.xlsx]Book'!G1090</f>
        <v/>
      </c>
      <c r="M1090" s="3">
        <f>'[01_Entry.xlsx]Book'!I1090</f>
        <v/>
      </c>
      <c r="N1090" s="2">
        <f>IF($A1090="","",MID($A1090,6,2))</f>
        <v>0</v>
      </c>
      <c r="O1090" s="2">
        <f>IF(OR($C1090="",$C1090&lt;&gt;'Inv'!$D$12),"",N(O$1089)+1)</f>
        <v>0</v>
      </c>
    </row>
    <row r="1091" spans="1:15">
      <c r="A1091" s="2">
        <f>'[01_Entry.xlsx]Book'!A1091</f>
        <v/>
      </c>
      <c r="B1091" s="2">
        <f>'[01_Entry.xlsx]Book'!B1091</f>
        <v/>
      </c>
      <c r="C1091" s="2">
        <f>'[01_Entry.xlsx]Book'!D1091</f>
        <v/>
      </c>
      <c r="D1091" s="2">
        <f>'[01_Entry.xlsx]Book'!E1091</f>
        <v/>
      </c>
      <c r="E1091" s="2">
        <f>'[01_Entry.xlsx]Book'!O1091</f>
        <v/>
      </c>
      <c r="F1091" s="2">
        <f>'[01_Entry.xlsx]Book'!N1091</f>
        <v/>
      </c>
      <c r="G1091" s="3">
        <f>'[01_Entry.xlsx]Book'!L1091</f>
        <v/>
      </c>
      <c r="H1091" s="3">
        <f>'[01_Entry.xlsx]Book'!M1091</f>
        <v/>
      </c>
      <c r="I1091" s="3">
        <f>'[01_Entry.xlsx]Book'!K1091</f>
        <v/>
      </c>
      <c r="J1091" s="3">
        <f>'[01_Entry.xlsx]Book'!P1091</f>
        <v/>
      </c>
      <c r="K1091" s="3">
        <f>'[01_Entry.xlsx]Book'!F1091</f>
        <v/>
      </c>
      <c r="L1091" s="3">
        <f>'[01_Entry.xlsx]Book'!G1091</f>
        <v/>
      </c>
      <c r="M1091" s="3">
        <f>'[01_Entry.xlsx]Book'!I1091</f>
        <v/>
      </c>
      <c r="N1091" s="2">
        <f>IF($A1091="","",MID($A1091,6,2))</f>
        <v>0</v>
      </c>
      <c r="O1091" s="2">
        <f>IF(OR($C1091="",$C1091&lt;&gt;'Inv'!$D$12),"",N(O$1090)+1)</f>
        <v>0</v>
      </c>
    </row>
    <row r="1092" spans="1:15">
      <c r="A1092" s="2">
        <f>'[01_Entry.xlsx]Book'!A1092</f>
        <v/>
      </c>
      <c r="B1092" s="2">
        <f>'[01_Entry.xlsx]Book'!B1092</f>
        <v/>
      </c>
      <c r="C1092" s="2">
        <f>'[01_Entry.xlsx]Book'!D1092</f>
        <v/>
      </c>
      <c r="D1092" s="2">
        <f>'[01_Entry.xlsx]Book'!E1092</f>
        <v/>
      </c>
      <c r="E1092" s="2">
        <f>'[01_Entry.xlsx]Book'!O1092</f>
        <v/>
      </c>
      <c r="F1092" s="2">
        <f>'[01_Entry.xlsx]Book'!N1092</f>
        <v/>
      </c>
      <c r="G1092" s="3">
        <f>'[01_Entry.xlsx]Book'!L1092</f>
        <v/>
      </c>
      <c r="H1092" s="3">
        <f>'[01_Entry.xlsx]Book'!M1092</f>
        <v/>
      </c>
      <c r="I1092" s="3">
        <f>'[01_Entry.xlsx]Book'!K1092</f>
        <v/>
      </c>
      <c r="J1092" s="3">
        <f>'[01_Entry.xlsx]Book'!P1092</f>
        <v/>
      </c>
      <c r="K1092" s="3">
        <f>'[01_Entry.xlsx]Book'!F1092</f>
        <v/>
      </c>
      <c r="L1092" s="3">
        <f>'[01_Entry.xlsx]Book'!G1092</f>
        <v/>
      </c>
      <c r="M1092" s="3">
        <f>'[01_Entry.xlsx]Book'!I1092</f>
        <v/>
      </c>
      <c r="N1092" s="2">
        <f>IF($A1092="","",MID($A1092,6,2))</f>
        <v>0</v>
      </c>
      <c r="O1092" s="2">
        <f>IF(OR($C1092="",$C1092&lt;&gt;'Inv'!$D$12),"",N(O$1091)+1)</f>
        <v>0</v>
      </c>
    </row>
    <row r="1093" spans="1:15">
      <c r="A1093" s="2">
        <f>'[01_Entry.xlsx]Book'!A1093</f>
        <v/>
      </c>
      <c r="B1093" s="2">
        <f>'[01_Entry.xlsx]Book'!B1093</f>
        <v/>
      </c>
      <c r="C1093" s="2">
        <f>'[01_Entry.xlsx]Book'!D1093</f>
        <v/>
      </c>
      <c r="D1093" s="2">
        <f>'[01_Entry.xlsx]Book'!E1093</f>
        <v/>
      </c>
      <c r="E1093" s="2">
        <f>'[01_Entry.xlsx]Book'!O1093</f>
        <v/>
      </c>
      <c r="F1093" s="2">
        <f>'[01_Entry.xlsx]Book'!N1093</f>
        <v/>
      </c>
      <c r="G1093" s="3">
        <f>'[01_Entry.xlsx]Book'!L1093</f>
        <v/>
      </c>
      <c r="H1093" s="3">
        <f>'[01_Entry.xlsx]Book'!M1093</f>
        <v/>
      </c>
      <c r="I1093" s="3">
        <f>'[01_Entry.xlsx]Book'!K1093</f>
        <v/>
      </c>
      <c r="J1093" s="3">
        <f>'[01_Entry.xlsx]Book'!P1093</f>
        <v/>
      </c>
      <c r="K1093" s="3">
        <f>'[01_Entry.xlsx]Book'!F1093</f>
        <v/>
      </c>
      <c r="L1093" s="3">
        <f>'[01_Entry.xlsx]Book'!G1093</f>
        <v/>
      </c>
      <c r="M1093" s="3">
        <f>'[01_Entry.xlsx]Book'!I1093</f>
        <v/>
      </c>
      <c r="N1093" s="2">
        <f>IF($A1093="","",MID($A1093,6,2))</f>
        <v>0</v>
      </c>
      <c r="O1093" s="2">
        <f>IF(OR($C1093="",$C1093&lt;&gt;'Inv'!$D$12),"",N(O$1092)+1)</f>
        <v>0</v>
      </c>
    </row>
    <row r="1094" spans="1:15">
      <c r="A1094" s="2">
        <f>'[01_Entry.xlsx]Book'!A1094</f>
        <v/>
      </c>
      <c r="B1094" s="2">
        <f>'[01_Entry.xlsx]Book'!B1094</f>
        <v/>
      </c>
      <c r="C1094" s="2">
        <f>'[01_Entry.xlsx]Book'!D1094</f>
        <v/>
      </c>
      <c r="D1094" s="2">
        <f>'[01_Entry.xlsx]Book'!E1094</f>
        <v/>
      </c>
      <c r="E1094" s="2">
        <f>'[01_Entry.xlsx]Book'!O1094</f>
        <v/>
      </c>
      <c r="F1094" s="2">
        <f>'[01_Entry.xlsx]Book'!N1094</f>
        <v/>
      </c>
      <c r="G1094" s="3">
        <f>'[01_Entry.xlsx]Book'!L1094</f>
        <v/>
      </c>
      <c r="H1094" s="3">
        <f>'[01_Entry.xlsx]Book'!M1094</f>
        <v/>
      </c>
      <c r="I1094" s="3">
        <f>'[01_Entry.xlsx]Book'!K1094</f>
        <v/>
      </c>
      <c r="J1094" s="3">
        <f>'[01_Entry.xlsx]Book'!P1094</f>
        <v/>
      </c>
      <c r="K1094" s="3">
        <f>'[01_Entry.xlsx]Book'!F1094</f>
        <v/>
      </c>
      <c r="L1094" s="3">
        <f>'[01_Entry.xlsx]Book'!G1094</f>
        <v/>
      </c>
      <c r="M1094" s="3">
        <f>'[01_Entry.xlsx]Book'!I1094</f>
        <v/>
      </c>
      <c r="N1094" s="2">
        <f>IF($A1094="","",MID($A1094,6,2))</f>
        <v>0</v>
      </c>
      <c r="O1094" s="2">
        <f>IF(OR($C1094="",$C1094&lt;&gt;'Inv'!$D$12),"",N(O$1093)+1)</f>
        <v>0</v>
      </c>
    </row>
    <row r="1095" spans="1:15">
      <c r="A1095" s="2">
        <f>'[01_Entry.xlsx]Book'!A1095</f>
        <v/>
      </c>
      <c r="B1095" s="2">
        <f>'[01_Entry.xlsx]Book'!B1095</f>
        <v/>
      </c>
      <c r="C1095" s="2">
        <f>'[01_Entry.xlsx]Book'!D1095</f>
        <v/>
      </c>
      <c r="D1095" s="2">
        <f>'[01_Entry.xlsx]Book'!E1095</f>
        <v/>
      </c>
      <c r="E1095" s="2">
        <f>'[01_Entry.xlsx]Book'!O1095</f>
        <v/>
      </c>
      <c r="F1095" s="2">
        <f>'[01_Entry.xlsx]Book'!N1095</f>
        <v/>
      </c>
      <c r="G1095" s="3">
        <f>'[01_Entry.xlsx]Book'!L1095</f>
        <v/>
      </c>
      <c r="H1095" s="3">
        <f>'[01_Entry.xlsx]Book'!M1095</f>
        <v/>
      </c>
      <c r="I1095" s="3">
        <f>'[01_Entry.xlsx]Book'!K1095</f>
        <v/>
      </c>
      <c r="J1095" s="3">
        <f>'[01_Entry.xlsx]Book'!P1095</f>
        <v/>
      </c>
      <c r="K1095" s="3">
        <f>'[01_Entry.xlsx]Book'!F1095</f>
        <v/>
      </c>
      <c r="L1095" s="3">
        <f>'[01_Entry.xlsx]Book'!G1095</f>
        <v/>
      </c>
      <c r="M1095" s="3">
        <f>'[01_Entry.xlsx]Book'!I1095</f>
        <v/>
      </c>
      <c r="N1095" s="2">
        <f>IF($A1095="","",MID($A1095,6,2))</f>
        <v>0</v>
      </c>
      <c r="O1095" s="2">
        <f>IF(OR($C1095="",$C1095&lt;&gt;'Inv'!$D$12),"",N(O$1094)+1)</f>
        <v>0</v>
      </c>
    </row>
    <row r="1096" spans="1:15">
      <c r="A1096" s="2">
        <f>'[01_Entry.xlsx]Book'!A1096</f>
        <v/>
      </c>
      <c r="B1096" s="2">
        <f>'[01_Entry.xlsx]Book'!B1096</f>
        <v/>
      </c>
      <c r="C1096" s="2">
        <f>'[01_Entry.xlsx]Book'!D1096</f>
        <v/>
      </c>
      <c r="D1096" s="2">
        <f>'[01_Entry.xlsx]Book'!E1096</f>
        <v/>
      </c>
      <c r="E1096" s="2">
        <f>'[01_Entry.xlsx]Book'!O1096</f>
        <v/>
      </c>
      <c r="F1096" s="2">
        <f>'[01_Entry.xlsx]Book'!N1096</f>
        <v/>
      </c>
      <c r="G1096" s="3">
        <f>'[01_Entry.xlsx]Book'!L1096</f>
        <v/>
      </c>
      <c r="H1096" s="3">
        <f>'[01_Entry.xlsx]Book'!M1096</f>
        <v/>
      </c>
      <c r="I1096" s="3">
        <f>'[01_Entry.xlsx]Book'!K1096</f>
        <v/>
      </c>
      <c r="J1096" s="3">
        <f>'[01_Entry.xlsx]Book'!P1096</f>
        <v/>
      </c>
      <c r="K1096" s="3">
        <f>'[01_Entry.xlsx]Book'!F1096</f>
        <v/>
      </c>
      <c r="L1096" s="3">
        <f>'[01_Entry.xlsx]Book'!G1096</f>
        <v/>
      </c>
      <c r="M1096" s="3">
        <f>'[01_Entry.xlsx]Book'!I1096</f>
        <v/>
      </c>
      <c r="N1096" s="2">
        <f>IF($A1096="","",MID($A1096,6,2))</f>
        <v>0</v>
      </c>
      <c r="O1096" s="2">
        <f>IF(OR($C1096="",$C1096&lt;&gt;'Inv'!$D$12),"",N(O$1095)+1)</f>
        <v>0</v>
      </c>
    </row>
    <row r="1097" spans="1:15">
      <c r="A1097" s="2">
        <f>'[01_Entry.xlsx]Book'!A1097</f>
        <v/>
      </c>
      <c r="B1097" s="2">
        <f>'[01_Entry.xlsx]Book'!B1097</f>
        <v/>
      </c>
      <c r="C1097" s="2">
        <f>'[01_Entry.xlsx]Book'!D1097</f>
        <v/>
      </c>
      <c r="D1097" s="2">
        <f>'[01_Entry.xlsx]Book'!E1097</f>
        <v/>
      </c>
      <c r="E1097" s="2">
        <f>'[01_Entry.xlsx]Book'!O1097</f>
        <v/>
      </c>
      <c r="F1097" s="2">
        <f>'[01_Entry.xlsx]Book'!N1097</f>
        <v/>
      </c>
      <c r="G1097" s="3">
        <f>'[01_Entry.xlsx]Book'!L1097</f>
        <v/>
      </c>
      <c r="H1097" s="3">
        <f>'[01_Entry.xlsx]Book'!M1097</f>
        <v/>
      </c>
      <c r="I1097" s="3">
        <f>'[01_Entry.xlsx]Book'!K1097</f>
        <v/>
      </c>
      <c r="J1097" s="3">
        <f>'[01_Entry.xlsx]Book'!P1097</f>
        <v/>
      </c>
      <c r="K1097" s="3">
        <f>'[01_Entry.xlsx]Book'!F1097</f>
        <v/>
      </c>
      <c r="L1097" s="3">
        <f>'[01_Entry.xlsx]Book'!G1097</f>
        <v/>
      </c>
      <c r="M1097" s="3">
        <f>'[01_Entry.xlsx]Book'!I1097</f>
        <v/>
      </c>
      <c r="N1097" s="2">
        <f>IF($A1097="","",MID($A1097,6,2))</f>
        <v>0</v>
      </c>
      <c r="O1097" s="2">
        <f>IF(OR($C1097="",$C1097&lt;&gt;'Inv'!$D$12),"",N(O$1096)+1)</f>
        <v>0</v>
      </c>
    </row>
    <row r="1098" spans="1:15">
      <c r="A1098" s="2">
        <f>'[01_Entry.xlsx]Book'!A1098</f>
        <v/>
      </c>
      <c r="B1098" s="2">
        <f>'[01_Entry.xlsx]Book'!B1098</f>
        <v/>
      </c>
      <c r="C1098" s="2">
        <f>'[01_Entry.xlsx]Book'!D1098</f>
        <v/>
      </c>
      <c r="D1098" s="2">
        <f>'[01_Entry.xlsx]Book'!E1098</f>
        <v/>
      </c>
      <c r="E1098" s="2">
        <f>'[01_Entry.xlsx]Book'!O1098</f>
        <v/>
      </c>
      <c r="F1098" s="2">
        <f>'[01_Entry.xlsx]Book'!N1098</f>
        <v/>
      </c>
      <c r="G1098" s="3">
        <f>'[01_Entry.xlsx]Book'!L1098</f>
        <v/>
      </c>
      <c r="H1098" s="3">
        <f>'[01_Entry.xlsx]Book'!M1098</f>
        <v/>
      </c>
      <c r="I1098" s="3">
        <f>'[01_Entry.xlsx]Book'!K1098</f>
        <v/>
      </c>
      <c r="J1098" s="3">
        <f>'[01_Entry.xlsx]Book'!P1098</f>
        <v/>
      </c>
      <c r="K1098" s="3">
        <f>'[01_Entry.xlsx]Book'!F1098</f>
        <v/>
      </c>
      <c r="L1098" s="3">
        <f>'[01_Entry.xlsx]Book'!G1098</f>
        <v/>
      </c>
      <c r="M1098" s="3">
        <f>'[01_Entry.xlsx]Book'!I1098</f>
        <v/>
      </c>
      <c r="N1098" s="2">
        <f>IF($A1098="","",MID($A1098,6,2))</f>
        <v>0</v>
      </c>
      <c r="O1098" s="2">
        <f>IF(OR($C1098="",$C1098&lt;&gt;'Inv'!$D$12),"",N(O$1097)+1)</f>
        <v>0</v>
      </c>
    </row>
    <row r="1099" spans="1:15">
      <c r="A1099" s="2">
        <f>'[01_Entry.xlsx]Book'!A1099</f>
        <v/>
      </c>
      <c r="B1099" s="2">
        <f>'[01_Entry.xlsx]Book'!B1099</f>
        <v/>
      </c>
      <c r="C1099" s="2">
        <f>'[01_Entry.xlsx]Book'!D1099</f>
        <v/>
      </c>
      <c r="D1099" s="2">
        <f>'[01_Entry.xlsx]Book'!E1099</f>
        <v/>
      </c>
      <c r="E1099" s="2">
        <f>'[01_Entry.xlsx]Book'!O1099</f>
        <v/>
      </c>
      <c r="F1099" s="2">
        <f>'[01_Entry.xlsx]Book'!N1099</f>
        <v/>
      </c>
      <c r="G1099" s="3">
        <f>'[01_Entry.xlsx]Book'!L1099</f>
        <v/>
      </c>
      <c r="H1099" s="3">
        <f>'[01_Entry.xlsx]Book'!M1099</f>
        <v/>
      </c>
      <c r="I1099" s="3">
        <f>'[01_Entry.xlsx]Book'!K1099</f>
        <v/>
      </c>
      <c r="J1099" s="3">
        <f>'[01_Entry.xlsx]Book'!P1099</f>
        <v/>
      </c>
      <c r="K1099" s="3">
        <f>'[01_Entry.xlsx]Book'!F1099</f>
        <v/>
      </c>
      <c r="L1099" s="3">
        <f>'[01_Entry.xlsx]Book'!G1099</f>
        <v/>
      </c>
      <c r="M1099" s="3">
        <f>'[01_Entry.xlsx]Book'!I1099</f>
        <v/>
      </c>
      <c r="N1099" s="2">
        <f>IF($A1099="","",MID($A1099,6,2))</f>
        <v>0</v>
      </c>
      <c r="O1099" s="2">
        <f>IF(OR($C1099="",$C1099&lt;&gt;'Inv'!$D$12),"",N(O$1098)+1)</f>
        <v>0</v>
      </c>
    </row>
    <row r="1100" spans="1:15">
      <c r="A1100" s="2">
        <f>'[01_Entry.xlsx]Book'!A1100</f>
        <v/>
      </c>
      <c r="B1100" s="2">
        <f>'[01_Entry.xlsx]Book'!B1100</f>
        <v/>
      </c>
      <c r="C1100" s="2">
        <f>'[01_Entry.xlsx]Book'!D1100</f>
        <v/>
      </c>
      <c r="D1100" s="2">
        <f>'[01_Entry.xlsx]Book'!E1100</f>
        <v/>
      </c>
      <c r="E1100" s="2">
        <f>'[01_Entry.xlsx]Book'!O1100</f>
        <v/>
      </c>
      <c r="F1100" s="2">
        <f>'[01_Entry.xlsx]Book'!N1100</f>
        <v/>
      </c>
      <c r="G1100" s="3">
        <f>'[01_Entry.xlsx]Book'!L1100</f>
        <v/>
      </c>
      <c r="H1100" s="3">
        <f>'[01_Entry.xlsx]Book'!M1100</f>
        <v/>
      </c>
      <c r="I1100" s="3">
        <f>'[01_Entry.xlsx]Book'!K1100</f>
        <v/>
      </c>
      <c r="J1100" s="3">
        <f>'[01_Entry.xlsx]Book'!P1100</f>
        <v/>
      </c>
      <c r="K1100" s="3">
        <f>'[01_Entry.xlsx]Book'!F1100</f>
        <v/>
      </c>
      <c r="L1100" s="3">
        <f>'[01_Entry.xlsx]Book'!G1100</f>
        <v/>
      </c>
      <c r="M1100" s="3">
        <f>'[01_Entry.xlsx]Book'!I1100</f>
        <v/>
      </c>
      <c r="N1100" s="2">
        <f>IF($A1100="","",MID($A1100,6,2))</f>
        <v>0</v>
      </c>
      <c r="O1100" s="2">
        <f>IF(OR($C1100="",$C1100&lt;&gt;'Inv'!$D$12),"",N(O$1099)+1)</f>
        <v>0</v>
      </c>
    </row>
    <row r="1101" spans="1:15">
      <c r="A1101" s="2">
        <f>'[01_Entry.xlsx]Book'!A1101</f>
        <v/>
      </c>
      <c r="B1101" s="2">
        <f>'[01_Entry.xlsx]Book'!B1101</f>
        <v/>
      </c>
      <c r="C1101" s="2">
        <f>'[01_Entry.xlsx]Book'!D1101</f>
        <v/>
      </c>
      <c r="D1101" s="2">
        <f>'[01_Entry.xlsx]Book'!E1101</f>
        <v/>
      </c>
      <c r="E1101" s="2">
        <f>'[01_Entry.xlsx]Book'!O1101</f>
        <v/>
      </c>
      <c r="F1101" s="2">
        <f>'[01_Entry.xlsx]Book'!N1101</f>
        <v/>
      </c>
      <c r="G1101" s="3">
        <f>'[01_Entry.xlsx]Book'!L1101</f>
        <v/>
      </c>
      <c r="H1101" s="3">
        <f>'[01_Entry.xlsx]Book'!M1101</f>
        <v/>
      </c>
      <c r="I1101" s="3">
        <f>'[01_Entry.xlsx]Book'!K1101</f>
        <v/>
      </c>
      <c r="J1101" s="3">
        <f>'[01_Entry.xlsx]Book'!P1101</f>
        <v/>
      </c>
      <c r="K1101" s="3">
        <f>'[01_Entry.xlsx]Book'!F1101</f>
        <v/>
      </c>
      <c r="L1101" s="3">
        <f>'[01_Entry.xlsx]Book'!G1101</f>
        <v/>
      </c>
      <c r="M1101" s="3">
        <f>'[01_Entry.xlsx]Book'!I1101</f>
        <v/>
      </c>
      <c r="N1101" s="2">
        <f>IF($A1101="","",MID($A1101,6,2))</f>
        <v>0</v>
      </c>
      <c r="O1101" s="2">
        <f>IF(OR($C1101="",$C1101&lt;&gt;'Inv'!$D$12),"",N(O$1100)+1)</f>
        <v>0</v>
      </c>
    </row>
    <row r="1102" spans="1:15">
      <c r="A1102" s="2">
        <f>'[01_Entry.xlsx]Book'!A1102</f>
        <v/>
      </c>
      <c r="B1102" s="2">
        <f>'[01_Entry.xlsx]Book'!B1102</f>
        <v/>
      </c>
      <c r="C1102" s="2">
        <f>'[01_Entry.xlsx]Book'!D1102</f>
        <v/>
      </c>
      <c r="D1102" s="2">
        <f>'[01_Entry.xlsx]Book'!E1102</f>
        <v/>
      </c>
      <c r="E1102" s="2">
        <f>'[01_Entry.xlsx]Book'!O1102</f>
        <v/>
      </c>
      <c r="F1102" s="2">
        <f>'[01_Entry.xlsx]Book'!N1102</f>
        <v/>
      </c>
      <c r="G1102" s="3">
        <f>'[01_Entry.xlsx]Book'!L1102</f>
        <v/>
      </c>
      <c r="H1102" s="3">
        <f>'[01_Entry.xlsx]Book'!M1102</f>
        <v/>
      </c>
      <c r="I1102" s="3">
        <f>'[01_Entry.xlsx]Book'!K1102</f>
        <v/>
      </c>
      <c r="J1102" s="3">
        <f>'[01_Entry.xlsx]Book'!P1102</f>
        <v/>
      </c>
      <c r="K1102" s="3">
        <f>'[01_Entry.xlsx]Book'!F1102</f>
        <v/>
      </c>
      <c r="L1102" s="3">
        <f>'[01_Entry.xlsx]Book'!G1102</f>
        <v/>
      </c>
      <c r="M1102" s="3">
        <f>'[01_Entry.xlsx]Book'!I1102</f>
        <v/>
      </c>
      <c r="N1102" s="2">
        <f>IF($A1102="","",MID($A1102,6,2))</f>
        <v>0</v>
      </c>
      <c r="O1102" s="2">
        <f>IF(OR($C1102="",$C1102&lt;&gt;'Inv'!$D$12),"",N(O$1101)+1)</f>
        <v>0</v>
      </c>
    </row>
    <row r="1103" spans="1:15">
      <c r="A1103" s="2">
        <f>'[01_Entry.xlsx]Book'!A1103</f>
        <v/>
      </c>
      <c r="B1103" s="2">
        <f>'[01_Entry.xlsx]Book'!B1103</f>
        <v/>
      </c>
      <c r="C1103" s="2">
        <f>'[01_Entry.xlsx]Book'!D1103</f>
        <v/>
      </c>
      <c r="D1103" s="2">
        <f>'[01_Entry.xlsx]Book'!E1103</f>
        <v/>
      </c>
      <c r="E1103" s="2">
        <f>'[01_Entry.xlsx]Book'!O1103</f>
        <v/>
      </c>
      <c r="F1103" s="2">
        <f>'[01_Entry.xlsx]Book'!N1103</f>
        <v/>
      </c>
      <c r="G1103" s="3">
        <f>'[01_Entry.xlsx]Book'!L1103</f>
        <v/>
      </c>
      <c r="H1103" s="3">
        <f>'[01_Entry.xlsx]Book'!M1103</f>
        <v/>
      </c>
      <c r="I1103" s="3">
        <f>'[01_Entry.xlsx]Book'!K1103</f>
        <v/>
      </c>
      <c r="J1103" s="3">
        <f>'[01_Entry.xlsx]Book'!P1103</f>
        <v/>
      </c>
      <c r="K1103" s="3">
        <f>'[01_Entry.xlsx]Book'!F1103</f>
        <v/>
      </c>
      <c r="L1103" s="3">
        <f>'[01_Entry.xlsx]Book'!G1103</f>
        <v/>
      </c>
      <c r="M1103" s="3">
        <f>'[01_Entry.xlsx]Book'!I1103</f>
        <v/>
      </c>
      <c r="N1103" s="2">
        <f>IF($A1103="","",MID($A1103,6,2))</f>
        <v>0</v>
      </c>
      <c r="O1103" s="2">
        <f>IF(OR($C1103="",$C1103&lt;&gt;'Inv'!$D$12),"",N(O$1102)+1)</f>
        <v>0</v>
      </c>
    </row>
    <row r="1104" spans="1:15">
      <c r="A1104" s="2">
        <f>'[01_Entry.xlsx]Book'!A1104</f>
        <v/>
      </c>
      <c r="B1104" s="2">
        <f>'[01_Entry.xlsx]Book'!B1104</f>
        <v/>
      </c>
      <c r="C1104" s="2">
        <f>'[01_Entry.xlsx]Book'!D1104</f>
        <v/>
      </c>
      <c r="D1104" s="2">
        <f>'[01_Entry.xlsx]Book'!E1104</f>
        <v/>
      </c>
      <c r="E1104" s="2">
        <f>'[01_Entry.xlsx]Book'!O1104</f>
        <v/>
      </c>
      <c r="F1104" s="2">
        <f>'[01_Entry.xlsx]Book'!N1104</f>
        <v/>
      </c>
      <c r="G1104" s="3">
        <f>'[01_Entry.xlsx]Book'!L1104</f>
        <v/>
      </c>
      <c r="H1104" s="3">
        <f>'[01_Entry.xlsx]Book'!M1104</f>
        <v/>
      </c>
      <c r="I1104" s="3">
        <f>'[01_Entry.xlsx]Book'!K1104</f>
        <v/>
      </c>
      <c r="J1104" s="3">
        <f>'[01_Entry.xlsx]Book'!P1104</f>
        <v/>
      </c>
      <c r="K1104" s="3">
        <f>'[01_Entry.xlsx]Book'!F1104</f>
        <v/>
      </c>
      <c r="L1104" s="3">
        <f>'[01_Entry.xlsx]Book'!G1104</f>
        <v/>
      </c>
      <c r="M1104" s="3">
        <f>'[01_Entry.xlsx]Book'!I1104</f>
        <v/>
      </c>
      <c r="N1104" s="2">
        <f>IF($A1104="","",MID($A1104,6,2))</f>
        <v>0</v>
      </c>
      <c r="O1104" s="2">
        <f>IF(OR($C1104="",$C1104&lt;&gt;'Inv'!$D$12),"",N(O$1103)+1)</f>
        <v>0</v>
      </c>
    </row>
    <row r="1105" spans="1:15">
      <c r="A1105" s="2">
        <f>'[01_Entry.xlsx]Book'!A1105</f>
        <v/>
      </c>
      <c r="B1105" s="2">
        <f>'[01_Entry.xlsx]Book'!B1105</f>
        <v/>
      </c>
      <c r="C1105" s="2">
        <f>'[01_Entry.xlsx]Book'!D1105</f>
        <v/>
      </c>
      <c r="D1105" s="2">
        <f>'[01_Entry.xlsx]Book'!E1105</f>
        <v/>
      </c>
      <c r="E1105" s="2">
        <f>'[01_Entry.xlsx]Book'!O1105</f>
        <v/>
      </c>
      <c r="F1105" s="2">
        <f>'[01_Entry.xlsx]Book'!N1105</f>
        <v/>
      </c>
      <c r="G1105" s="3">
        <f>'[01_Entry.xlsx]Book'!L1105</f>
        <v/>
      </c>
      <c r="H1105" s="3">
        <f>'[01_Entry.xlsx]Book'!M1105</f>
        <v/>
      </c>
      <c r="I1105" s="3">
        <f>'[01_Entry.xlsx]Book'!K1105</f>
        <v/>
      </c>
      <c r="J1105" s="3">
        <f>'[01_Entry.xlsx]Book'!P1105</f>
        <v/>
      </c>
      <c r="K1105" s="3">
        <f>'[01_Entry.xlsx]Book'!F1105</f>
        <v/>
      </c>
      <c r="L1105" s="3">
        <f>'[01_Entry.xlsx]Book'!G1105</f>
        <v/>
      </c>
      <c r="M1105" s="3">
        <f>'[01_Entry.xlsx]Book'!I1105</f>
        <v/>
      </c>
      <c r="N1105" s="2">
        <f>IF($A1105="","",MID($A1105,6,2))</f>
        <v>0</v>
      </c>
      <c r="O1105" s="2">
        <f>IF(OR($C1105="",$C1105&lt;&gt;'Inv'!$D$12),"",N(O$1104)+1)</f>
        <v>0</v>
      </c>
    </row>
    <row r="1106" spans="1:15">
      <c r="A1106" s="2">
        <f>'[01_Entry.xlsx]Book'!A1106</f>
        <v/>
      </c>
      <c r="B1106" s="2">
        <f>'[01_Entry.xlsx]Book'!B1106</f>
        <v/>
      </c>
      <c r="C1106" s="2">
        <f>'[01_Entry.xlsx]Book'!D1106</f>
        <v/>
      </c>
      <c r="D1106" s="2">
        <f>'[01_Entry.xlsx]Book'!E1106</f>
        <v/>
      </c>
      <c r="E1106" s="2">
        <f>'[01_Entry.xlsx]Book'!O1106</f>
        <v/>
      </c>
      <c r="F1106" s="2">
        <f>'[01_Entry.xlsx]Book'!N1106</f>
        <v/>
      </c>
      <c r="G1106" s="3">
        <f>'[01_Entry.xlsx]Book'!L1106</f>
        <v/>
      </c>
      <c r="H1106" s="3">
        <f>'[01_Entry.xlsx]Book'!M1106</f>
        <v/>
      </c>
      <c r="I1106" s="3">
        <f>'[01_Entry.xlsx]Book'!K1106</f>
        <v/>
      </c>
      <c r="J1106" s="3">
        <f>'[01_Entry.xlsx]Book'!P1106</f>
        <v/>
      </c>
      <c r="K1106" s="3">
        <f>'[01_Entry.xlsx]Book'!F1106</f>
        <v/>
      </c>
      <c r="L1106" s="3">
        <f>'[01_Entry.xlsx]Book'!G1106</f>
        <v/>
      </c>
      <c r="M1106" s="3">
        <f>'[01_Entry.xlsx]Book'!I1106</f>
        <v/>
      </c>
      <c r="N1106" s="2">
        <f>IF($A1106="","",MID($A1106,6,2))</f>
        <v>0</v>
      </c>
      <c r="O1106" s="2">
        <f>IF(OR($C1106="",$C1106&lt;&gt;'Inv'!$D$12),"",N(O$1105)+1)</f>
        <v>0</v>
      </c>
    </row>
    <row r="1107" spans="1:15">
      <c r="A1107" s="2">
        <f>'[01_Entry.xlsx]Book'!A1107</f>
        <v/>
      </c>
      <c r="B1107" s="2">
        <f>'[01_Entry.xlsx]Book'!B1107</f>
        <v/>
      </c>
      <c r="C1107" s="2">
        <f>'[01_Entry.xlsx]Book'!D1107</f>
        <v/>
      </c>
      <c r="D1107" s="2">
        <f>'[01_Entry.xlsx]Book'!E1107</f>
        <v/>
      </c>
      <c r="E1107" s="2">
        <f>'[01_Entry.xlsx]Book'!O1107</f>
        <v/>
      </c>
      <c r="F1107" s="2">
        <f>'[01_Entry.xlsx]Book'!N1107</f>
        <v/>
      </c>
      <c r="G1107" s="3">
        <f>'[01_Entry.xlsx]Book'!L1107</f>
        <v/>
      </c>
      <c r="H1107" s="3">
        <f>'[01_Entry.xlsx]Book'!M1107</f>
        <v/>
      </c>
      <c r="I1107" s="3">
        <f>'[01_Entry.xlsx]Book'!K1107</f>
        <v/>
      </c>
      <c r="J1107" s="3">
        <f>'[01_Entry.xlsx]Book'!P1107</f>
        <v/>
      </c>
      <c r="K1107" s="3">
        <f>'[01_Entry.xlsx]Book'!F1107</f>
        <v/>
      </c>
      <c r="L1107" s="3">
        <f>'[01_Entry.xlsx]Book'!G1107</f>
        <v/>
      </c>
      <c r="M1107" s="3">
        <f>'[01_Entry.xlsx]Book'!I1107</f>
        <v/>
      </c>
      <c r="N1107" s="2">
        <f>IF($A1107="","",MID($A1107,6,2))</f>
        <v>0</v>
      </c>
      <c r="O1107" s="2">
        <f>IF(OR($C1107="",$C1107&lt;&gt;'Inv'!$D$12),"",N(O$1106)+1)</f>
        <v>0</v>
      </c>
    </row>
    <row r="1108" spans="1:15">
      <c r="A1108" s="2">
        <f>'[01_Entry.xlsx]Book'!A1108</f>
        <v/>
      </c>
      <c r="B1108" s="2">
        <f>'[01_Entry.xlsx]Book'!B1108</f>
        <v/>
      </c>
      <c r="C1108" s="2">
        <f>'[01_Entry.xlsx]Book'!D1108</f>
        <v/>
      </c>
      <c r="D1108" s="2">
        <f>'[01_Entry.xlsx]Book'!E1108</f>
        <v/>
      </c>
      <c r="E1108" s="2">
        <f>'[01_Entry.xlsx]Book'!O1108</f>
        <v/>
      </c>
      <c r="F1108" s="2">
        <f>'[01_Entry.xlsx]Book'!N1108</f>
        <v/>
      </c>
      <c r="G1108" s="3">
        <f>'[01_Entry.xlsx]Book'!L1108</f>
        <v/>
      </c>
      <c r="H1108" s="3">
        <f>'[01_Entry.xlsx]Book'!M1108</f>
        <v/>
      </c>
      <c r="I1108" s="3">
        <f>'[01_Entry.xlsx]Book'!K1108</f>
        <v/>
      </c>
      <c r="J1108" s="3">
        <f>'[01_Entry.xlsx]Book'!P1108</f>
        <v/>
      </c>
      <c r="K1108" s="3">
        <f>'[01_Entry.xlsx]Book'!F1108</f>
        <v/>
      </c>
      <c r="L1108" s="3">
        <f>'[01_Entry.xlsx]Book'!G1108</f>
        <v/>
      </c>
      <c r="M1108" s="3">
        <f>'[01_Entry.xlsx]Book'!I1108</f>
        <v/>
      </c>
      <c r="N1108" s="2">
        <f>IF($A1108="","",MID($A1108,6,2))</f>
        <v>0</v>
      </c>
      <c r="O1108" s="2">
        <f>IF(OR($C1108="",$C1108&lt;&gt;'Inv'!$D$12),"",N(O$1107)+1)</f>
        <v>0</v>
      </c>
    </row>
    <row r="1109" spans="1:15">
      <c r="A1109" s="2">
        <f>'[01_Entry.xlsx]Book'!A1109</f>
        <v/>
      </c>
      <c r="B1109" s="2">
        <f>'[01_Entry.xlsx]Book'!B1109</f>
        <v/>
      </c>
      <c r="C1109" s="2">
        <f>'[01_Entry.xlsx]Book'!D1109</f>
        <v/>
      </c>
      <c r="D1109" s="2">
        <f>'[01_Entry.xlsx]Book'!E1109</f>
        <v/>
      </c>
      <c r="E1109" s="2">
        <f>'[01_Entry.xlsx]Book'!O1109</f>
        <v/>
      </c>
      <c r="F1109" s="2">
        <f>'[01_Entry.xlsx]Book'!N1109</f>
        <v/>
      </c>
      <c r="G1109" s="3">
        <f>'[01_Entry.xlsx]Book'!L1109</f>
        <v/>
      </c>
      <c r="H1109" s="3">
        <f>'[01_Entry.xlsx]Book'!M1109</f>
        <v/>
      </c>
      <c r="I1109" s="3">
        <f>'[01_Entry.xlsx]Book'!K1109</f>
        <v/>
      </c>
      <c r="J1109" s="3">
        <f>'[01_Entry.xlsx]Book'!P1109</f>
        <v/>
      </c>
      <c r="K1109" s="3">
        <f>'[01_Entry.xlsx]Book'!F1109</f>
        <v/>
      </c>
      <c r="L1109" s="3">
        <f>'[01_Entry.xlsx]Book'!G1109</f>
        <v/>
      </c>
      <c r="M1109" s="3">
        <f>'[01_Entry.xlsx]Book'!I1109</f>
        <v/>
      </c>
      <c r="N1109" s="2">
        <f>IF($A1109="","",MID($A1109,6,2))</f>
        <v>0</v>
      </c>
      <c r="O1109" s="2">
        <f>IF(OR($C1109="",$C1109&lt;&gt;'Inv'!$D$12),"",N(O$1108)+1)</f>
        <v>0</v>
      </c>
    </row>
    <row r="1110" spans="1:15">
      <c r="A1110" s="2">
        <f>'[01_Entry.xlsx]Book'!A1110</f>
        <v/>
      </c>
      <c r="B1110" s="2">
        <f>'[01_Entry.xlsx]Book'!B1110</f>
        <v/>
      </c>
      <c r="C1110" s="2">
        <f>'[01_Entry.xlsx]Book'!D1110</f>
        <v/>
      </c>
      <c r="D1110" s="2">
        <f>'[01_Entry.xlsx]Book'!E1110</f>
        <v/>
      </c>
      <c r="E1110" s="2">
        <f>'[01_Entry.xlsx]Book'!O1110</f>
        <v/>
      </c>
      <c r="F1110" s="2">
        <f>'[01_Entry.xlsx]Book'!N1110</f>
        <v/>
      </c>
      <c r="G1110" s="3">
        <f>'[01_Entry.xlsx]Book'!L1110</f>
        <v/>
      </c>
      <c r="H1110" s="3">
        <f>'[01_Entry.xlsx]Book'!M1110</f>
        <v/>
      </c>
      <c r="I1110" s="3">
        <f>'[01_Entry.xlsx]Book'!K1110</f>
        <v/>
      </c>
      <c r="J1110" s="3">
        <f>'[01_Entry.xlsx]Book'!P1110</f>
        <v/>
      </c>
      <c r="K1110" s="3">
        <f>'[01_Entry.xlsx]Book'!F1110</f>
        <v/>
      </c>
      <c r="L1110" s="3">
        <f>'[01_Entry.xlsx]Book'!G1110</f>
        <v/>
      </c>
      <c r="M1110" s="3">
        <f>'[01_Entry.xlsx]Book'!I1110</f>
        <v/>
      </c>
      <c r="N1110" s="2">
        <f>IF($A1110="","",MID($A1110,6,2))</f>
        <v>0</v>
      </c>
      <c r="O1110" s="2">
        <f>IF(OR($C1110="",$C1110&lt;&gt;'Inv'!$D$12),"",N(O$1109)+1)</f>
        <v>0</v>
      </c>
    </row>
    <row r="1111" spans="1:15">
      <c r="A1111" s="2">
        <f>'[01_Entry.xlsx]Book'!A1111</f>
        <v/>
      </c>
      <c r="B1111" s="2">
        <f>'[01_Entry.xlsx]Book'!B1111</f>
        <v/>
      </c>
      <c r="C1111" s="2">
        <f>'[01_Entry.xlsx]Book'!D1111</f>
        <v/>
      </c>
      <c r="D1111" s="2">
        <f>'[01_Entry.xlsx]Book'!E1111</f>
        <v/>
      </c>
      <c r="E1111" s="2">
        <f>'[01_Entry.xlsx]Book'!O1111</f>
        <v/>
      </c>
      <c r="F1111" s="2">
        <f>'[01_Entry.xlsx]Book'!N1111</f>
        <v/>
      </c>
      <c r="G1111" s="3">
        <f>'[01_Entry.xlsx]Book'!L1111</f>
        <v/>
      </c>
      <c r="H1111" s="3">
        <f>'[01_Entry.xlsx]Book'!M1111</f>
        <v/>
      </c>
      <c r="I1111" s="3">
        <f>'[01_Entry.xlsx]Book'!K1111</f>
        <v/>
      </c>
      <c r="J1111" s="3">
        <f>'[01_Entry.xlsx]Book'!P1111</f>
        <v/>
      </c>
      <c r="K1111" s="3">
        <f>'[01_Entry.xlsx]Book'!F1111</f>
        <v/>
      </c>
      <c r="L1111" s="3">
        <f>'[01_Entry.xlsx]Book'!G1111</f>
        <v/>
      </c>
      <c r="M1111" s="3">
        <f>'[01_Entry.xlsx]Book'!I1111</f>
        <v/>
      </c>
      <c r="N1111" s="2">
        <f>IF($A1111="","",MID($A1111,6,2))</f>
        <v>0</v>
      </c>
      <c r="O1111" s="2">
        <f>IF(OR($C1111="",$C1111&lt;&gt;'Inv'!$D$12),"",N(O$1110)+1)</f>
        <v>0</v>
      </c>
    </row>
    <row r="1112" spans="1:15">
      <c r="A1112" s="2">
        <f>'[01_Entry.xlsx]Book'!A1112</f>
        <v/>
      </c>
      <c r="B1112" s="2">
        <f>'[01_Entry.xlsx]Book'!B1112</f>
        <v/>
      </c>
      <c r="C1112" s="2">
        <f>'[01_Entry.xlsx]Book'!D1112</f>
        <v/>
      </c>
      <c r="D1112" s="2">
        <f>'[01_Entry.xlsx]Book'!E1112</f>
        <v/>
      </c>
      <c r="E1112" s="2">
        <f>'[01_Entry.xlsx]Book'!O1112</f>
        <v/>
      </c>
      <c r="F1112" s="2">
        <f>'[01_Entry.xlsx]Book'!N1112</f>
        <v/>
      </c>
      <c r="G1112" s="3">
        <f>'[01_Entry.xlsx]Book'!L1112</f>
        <v/>
      </c>
      <c r="H1112" s="3">
        <f>'[01_Entry.xlsx]Book'!M1112</f>
        <v/>
      </c>
      <c r="I1112" s="3">
        <f>'[01_Entry.xlsx]Book'!K1112</f>
        <v/>
      </c>
      <c r="J1112" s="3">
        <f>'[01_Entry.xlsx]Book'!P1112</f>
        <v/>
      </c>
      <c r="K1112" s="3">
        <f>'[01_Entry.xlsx]Book'!F1112</f>
        <v/>
      </c>
      <c r="L1112" s="3">
        <f>'[01_Entry.xlsx]Book'!G1112</f>
        <v/>
      </c>
      <c r="M1112" s="3">
        <f>'[01_Entry.xlsx]Book'!I1112</f>
        <v/>
      </c>
      <c r="N1112" s="2">
        <f>IF($A1112="","",MID($A1112,6,2))</f>
        <v>0</v>
      </c>
      <c r="O1112" s="2">
        <f>IF(OR($C1112="",$C1112&lt;&gt;'Inv'!$D$12),"",N(O$1111)+1)</f>
        <v>0</v>
      </c>
    </row>
    <row r="1113" spans="1:15">
      <c r="A1113" s="2">
        <f>'[01_Entry.xlsx]Book'!A1113</f>
        <v/>
      </c>
      <c r="B1113" s="2">
        <f>'[01_Entry.xlsx]Book'!B1113</f>
        <v/>
      </c>
      <c r="C1113" s="2">
        <f>'[01_Entry.xlsx]Book'!D1113</f>
        <v/>
      </c>
      <c r="D1113" s="2">
        <f>'[01_Entry.xlsx]Book'!E1113</f>
        <v/>
      </c>
      <c r="E1113" s="2">
        <f>'[01_Entry.xlsx]Book'!O1113</f>
        <v/>
      </c>
      <c r="F1113" s="2">
        <f>'[01_Entry.xlsx]Book'!N1113</f>
        <v/>
      </c>
      <c r="G1113" s="3">
        <f>'[01_Entry.xlsx]Book'!L1113</f>
        <v/>
      </c>
      <c r="H1113" s="3">
        <f>'[01_Entry.xlsx]Book'!M1113</f>
        <v/>
      </c>
      <c r="I1113" s="3">
        <f>'[01_Entry.xlsx]Book'!K1113</f>
        <v/>
      </c>
      <c r="J1113" s="3">
        <f>'[01_Entry.xlsx]Book'!P1113</f>
        <v/>
      </c>
      <c r="K1113" s="3">
        <f>'[01_Entry.xlsx]Book'!F1113</f>
        <v/>
      </c>
      <c r="L1113" s="3">
        <f>'[01_Entry.xlsx]Book'!G1113</f>
        <v/>
      </c>
      <c r="M1113" s="3">
        <f>'[01_Entry.xlsx]Book'!I1113</f>
        <v/>
      </c>
      <c r="N1113" s="2">
        <f>IF($A1113="","",MID($A1113,6,2))</f>
        <v>0</v>
      </c>
      <c r="O1113" s="2">
        <f>IF(OR($C1113="",$C1113&lt;&gt;'Inv'!$D$12),"",N(O$1112)+1)</f>
        <v>0</v>
      </c>
    </row>
    <row r="1114" spans="1:15">
      <c r="A1114" s="2">
        <f>'[01_Entry.xlsx]Book'!A1114</f>
        <v/>
      </c>
      <c r="B1114" s="2">
        <f>'[01_Entry.xlsx]Book'!B1114</f>
        <v/>
      </c>
      <c r="C1114" s="2">
        <f>'[01_Entry.xlsx]Book'!D1114</f>
        <v/>
      </c>
      <c r="D1114" s="2">
        <f>'[01_Entry.xlsx]Book'!E1114</f>
        <v/>
      </c>
      <c r="E1114" s="2">
        <f>'[01_Entry.xlsx]Book'!O1114</f>
        <v/>
      </c>
      <c r="F1114" s="2">
        <f>'[01_Entry.xlsx]Book'!N1114</f>
        <v/>
      </c>
      <c r="G1114" s="3">
        <f>'[01_Entry.xlsx]Book'!L1114</f>
        <v/>
      </c>
      <c r="H1114" s="3">
        <f>'[01_Entry.xlsx]Book'!M1114</f>
        <v/>
      </c>
      <c r="I1114" s="3">
        <f>'[01_Entry.xlsx]Book'!K1114</f>
        <v/>
      </c>
      <c r="J1114" s="3">
        <f>'[01_Entry.xlsx]Book'!P1114</f>
        <v/>
      </c>
      <c r="K1114" s="3">
        <f>'[01_Entry.xlsx]Book'!F1114</f>
        <v/>
      </c>
      <c r="L1114" s="3">
        <f>'[01_Entry.xlsx]Book'!G1114</f>
        <v/>
      </c>
      <c r="M1114" s="3">
        <f>'[01_Entry.xlsx]Book'!I1114</f>
        <v/>
      </c>
      <c r="N1114" s="2">
        <f>IF($A1114="","",MID($A1114,6,2))</f>
        <v>0</v>
      </c>
      <c r="O1114" s="2">
        <f>IF(OR($C1114="",$C1114&lt;&gt;'Inv'!$D$12),"",N(O$1113)+1)</f>
        <v>0</v>
      </c>
    </row>
    <row r="1115" spans="1:15">
      <c r="A1115" s="2">
        <f>'[01_Entry.xlsx]Book'!A1115</f>
        <v/>
      </c>
      <c r="B1115" s="2">
        <f>'[01_Entry.xlsx]Book'!B1115</f>
        <v/>
      </c>
      <c r="C1115" s="2">
        <f>'[01_Entry.xlsx]Book'!D1115</f>
        <v/>
      </c>
      <c r="D1115" s="2">
        <f>'[01_Entry.xlsx]Book'!E1115</f>
        <v/>
      </c>
      <c r="E1115" s="2">
        <f>'[01_Entry.xlsx]Book'!O1115</f>
        <v/>
      </c>
      <c r="F1115" s="2">
        <f>'[01_Entry.xlsx]Book'!N1115</f>
        <v/>
      </c>
      <c r="G1115" s="3">
        <f>'[01_Entry.xlsx]Book'!L1115</f>
        <v/>
      </c>
      <c r="H1115" s="3">
        <f>'[01_Entry.xlsx]Book'!M1115</f>
        <v/>
      </c>
      <c r="I1115" s="3">
        <f>'[01_Entry.xlsx]Book'!K1115</f>
        <v/>
      </c>
      <c r="J1115" s="3">
        <f>'[01_Entry.xlsx]Book'!P1115</f>
        <v/>
      </c>
      <c r="K1115" s="3">
        <f>'[01_Entry.xlsx]Book'!F1115</f>
        <v/>
      </c>
      <c r="L1115" s="3">
        <f>'[01_Entry.xlsx]Book'!G1115</f>
        <v/>
      </c>
      <c r="M1115" s="3">
        <f>'[01_Entry.xlsx]Book'!I1115</f>
        <v/>
      </c>
      <c r="N1115" s="2">
        <f>IF($A1115="","",MID($A1115,6,2))</f>
        <v>0</v>
      </c>
      <c r="O1115" s="2">
        <f>IF(OR($C1115="",$C1115&lt;&gt;'Inv'!$D$12),"",N(O$1114)+1)</f>
        <v>0</v>
      </c>
    </row>
    <row r="1116" spans="1:15">
      <c r="A1116" s="2">
        <f>'[01_Entry.xlsx]Book'!A1116</f>
        <v/>
      </c>
      <c r="B1116" s="2">
        <f>'[01_Entry.xlsx]Book'!B1116</f>
        <v/>
      </c>
      <c r="C1116" s="2">
        <f>'[01_Entry.xlsx]Book'!D1116</f>
        <v/>
      </c>
      <c r="D1116" s="2">
        <f>'[01_Entry.xlsx]Book'!E1116</f>
        <v/>
      </c>
      <c r="E1116" s="2">
        <f>'[01_Entry.xlsx]Book'!O1116</f>
        <v/>
      </c>
      <c r="F1116" s="2">
        <f>'[01_Entry.xlsx]Book'!N1116</f>
        <v/>
      </c>
      <c r="G1116" s="3">
        <f>'[01_Entry.xlsx]Book'!L1116</f>
        <v/>
      </c>
      <c r="H1116" s="3">
        <f>'[01_Entry.xlsx]Book'!M1116</f>
        <v/>
      </c>
      <c r="I1116" s="3">
        <f>'[01_Entry.xlsx]Book'!K1116</f>
        <v/>
      </c>
      <c r="J1116" s="3">
        <f>'[01_Entry.xlsx]Book'!P1116</f>
        <v/>
      </c>
      <c r="K1116" s="3">
        <f>'[01_Entry.xlsx]Book'!F1116</f>
        <v/>
      </c>
      <c r="L1116" s="3">
        <f>'[01_Entry.xlsx]Book'!G1116</f>
        <v/>
      </c>
      <c r="M1116" s="3">
        <f>'[01_Entry.xlsx]Book'!I1116</f>
        <v/>
      </c>
      <c r="N1116" s="2">
        <f>IF($A1116="","",MID($A1116,6,2))</f>
        <v>0</v>
      </c>
      <c r="O1116" s="2">
        <f>IF(OR($C1116="",$C1116&lt;&gt;'Inv'!$D$12),"",N(O$1115)+1)</f>
        <v>0</v>
      </c>
    </row>
    <row r="1117" spans="1:15">
      <c r="A1117" s="2">
        <f>'[01_Entry.xlsx]Book'!A1117</f>
        <v/>
      </c>
      <c r="B1117" s="2">
        <f>'[01_Entry.xlsx]Book'!B1117</f>
        <v/>
      </c>
      <c r="C1117" s="2">
        <f>'[01_Entry.xlsx]Book'!D1117</f>
        <v/>
      </c>
      <c r="D1117" s="2">
        <f>'[01_Entry.xlsx]Book'!E1117</f>
        <v/>
      </c>
      <c r="E1117" s="2">
        <f>'[01_Entry.xlsx]Book'!O1117</f>
        <v/>
      </c>
      <c r="F1117" s="2">
        <f>'[01_Entry.xlsx]Book'!N1117</f>
        <v/>
      </c>
      <c r="G1117" s="3">
        <f>'[01_Entry.xlsx]Book'!L1117</f>
        <v/>
      </c>
      <c r="H1117" s="3">
        <f>'[01_Entry.xlsx]Book'!M1117</f>
        <v/>
      </c>
      <c r="I1117" s="3">
        <f>'[01_Entry.xlsx]Book'!K1117</f>
        <v/>
      </c>
      <c r="J1117" s="3">
        <f>'[01_Entry.xlsx]Book'!P1117</f>
        <v/>
      </c>
      <c r="K1117" s="3">
        <f>'[01_Entry.xlsx]Book'!F1117</f>
        <v/>
      </c>
      <c r="L1117" s="3">
        <f>'[01_Entry.xlsx]Book'!G1117</f>
        <v/>
      </c>
      <c r="M1117" s="3">
        <f>'[01_Entry.xlsx]Book'!I1117</f>
        <v/>
      </c>
      <c r="N1117" s="2">
        <f>IF($A1117="","",MID($A1117,6,2))</f>
        <v>0</v>
      </c>
      <c r="O1117" s="2">
        <f>IF(OR($C1117="",$C1117&lt;&gt;'Inv'!$D$12),"",N(O$1116)+1)</f>
        <v>0</v>
      </c>
    </row>
    <row r="1118" spans="1:15">
      <c r="A1118" s="2">
        <f>'[01_Entry.xlsx]Book'!A1118</f>
        <v/>
      </c>
      <c r="B1118" s="2">
        <f>'[01_Entry.xlsx]Book'!B1118</f>
        <v/>
      </c>
      <c r="C1118" s="2">
        <f>'[01_Entry.xlsx]Book'!D1118</f>
        <v/>
      </c>
      <c r="D1118" s="2">
        <f>'[01_Entry.xlsx]Book'!E1118</f>
        <v/>
      </c>
      <c r="E1118" s="2">
        <f>'[01_Entry.xlsx]Book'!O1118</f>
        <v/>
      </c>
      <c r="F1118" s="2">
        <f>'[01_Entry.xlsx]Book'!N1118</f>
        <v/>
      </c>
      <c r="G1118" s="3">
        <f>'[01_Entry.xlsx]Book'!L1118</f>
        <v/>
      </c>
      <c r="H1118" s="3">
        <f>'[01_Entry.xlsx]Book'!M1118</f>
        <v/>
      </c>
      <c r="I1118" s="3">
        <f>'[01_Entry.xlsx]Book'!K1118</f>
        <v/>
      </c>
      <c r="J1118" s="3">
        <f>'[01_Entry.xlsx]Book'!P1118</f>
        <v/>
      </c>
      <c r="K1118" s="3">
        <f>'[01_Entry.xlsx]Book'!F1118</f>
        <v/>
      </c>
      <c r="L1118" s="3">
        <f>'[01_Entry.xlsx]Book'!G1118</f>
        <v/>
      </c>
      <c r="M1118" s="3">
        <f>'[01_Entry.xlsx]Book'!I1118</f>
        <v/>
      </c>
      <c r="N1118" s="2">
        <f>IF($A1118="","",MID($A1118,6,2))</f>
        <v>0</v>
      </c>
      <c r="O1118" s="2">
        <f>IF(OR($C1118="",$C1118&lt;&gt;'Inv'!$D$12),"",N(O$1117)+1)</f>
        <v>0</v>
      </c>
    </row>
    <row r="1119" spans="1:15">
      <c r="A1119" s="2">
        <f>'[01_Entry.xlsx]Book'!A1119</f>
        <v/>
      </c>
      <c r="B1119" s="2">
        <f>'[01_Entry.xlsx]Book'!B1119</f>
        <v/>
      </c>
      <c r="C1119" s="2">
        <f>'[01_Entry.xlsx]Book'!D1119</f>
        <v/>
      </c>
      <c r="D1119" s="2">
        <f>'[01_Entry.xlsx]Book'!E1119</f>
        <v/>
      </c>
      <c r="E1119" s="2">
        <f>'[01_Entry.xlsx]Book'!O1119</f>
        <v/>
      </c>
      <c r="F1119" s="2">
        <f>'[01_Entry.xlsx]Book'!N1119</f>
        <v/>
      </c>
      <c r="G1119" s="3">
        <f>'[01_Entry.xlsx]Book'!L1119</f>
        <v/>
      </c>
      <c r="H1119" s="3">
        <f>'[01_Entry.xlsx]Book'!M1119</f>
        <v/>
      </c>
      <c r="I1119" s="3">
        <f>'[01_Entry.xlsx]Book'!K1119</f>
        <v/>
      </c>
      <c r="J1119" s="3">
        <f>'[01_Entry.xlsx]Book'!P1119</f>
        <v/>
      </c>
      <c r="K1119" s="3">
        <f>'[01_Entry.xlsx]Book'!F1119</f>
        <v/>
      </c>
      <c r="L1119" s="3">
        <f>'[01_Entry.xlsx]Book'!G1119</f>
        <v/>
      </c>
      <c r="M1119" s="3">
        <f>'[01_Entry.xlsx]Book'!I1119</f>
        <v/>
      </c>
      <c r="N1119" s="2">
        <f>IF($A1119="","",MID($A1119,6,2))</f>
        <v>0</v>
      </c>
      <c r="O1119" s="2">
        <f>IF(OR($C1119="",$C1119&lt;&gt;'Inv'!$D$12),"",N(O$1118)+1)</f>
        <v>0</v>
      </c>
    </row>
    <row r="1120" spans="1:15">
      <c r="A1120" s="2">
        <f>'[01_Entry.xlsx]Book'!A1120</f>
        <v/>
      </c>
      <c r="B1120" s="2">
        <f>'[01_Entry.xlsx]Book'!B1120</f>
        <v/>
      </c>
      <c r="C1120" s="2">
        <f>'[01_Entry.xlsx]Book'!D1120</f>
        <v/>
      </c>
      <c r="D1120" s="2">
        <f>'[01_Entry.xlsx]Book'!E1120</f>
        <v/>
      </c>
      <c r="E1120" s="2">
        <f>'[01_Entry.xlsx]Book'!O1120</f>
        <v/>
      </c>
      <c r="F1120" s="2">
        <f>'[01_Entry.xlsx]Book'!N1120</f>
        <v/>
      </c>
      <c r="G1120" s="3">
        <f>'[01_Entry.xlsx]Book'!L1120</f>
        <v/>
      </c>
      <c r="H1120" s="3">
        <f>'[01_Entry.xlsx]Book'!M1120</f>
        <v/>
      </c>
      <c r="I1120" s="3">
        <f>'[01_Entry.xlsx]Book'!K1120</f>
        <v/>
      </c>
      <c r="J1120" s="3">
        <f>'[01_Entry.xlsx]Book'!P1120</f>
        <v/>
      </c>
      <c r="K1120" s="3">
        <f>'[01_Entry.xlsx]Book'!F1120</f>
        <v/>
      </c>
      <c r="L1120" s="3">
        <f>'[01_Entry.xlsx]Book'!G1120</f>
        <v/>
      </c>
      <c r="M1120" s="3">
        <f>'[01_Entry.xlsx]Book'!I1120</f>
        <v/>
      </c>
      <c r="N1120" s="2">
        <f>IF($A1120="","",MID($A1120,6,2))</f>
        <v>0</v>
      </c>
      <c r="O1120" s="2">
        <f>IF(OR($C1120="",$C1120&lt;&gt;'Inv'!$D$12),"",N(O$1119)+1)</f>
        <v>0</v>
      </c>
    </row>
    <row r="1121" spans="1:15">
      <c r="A1121" s="2">
        <f>'[01_Entry.xlsx]Book'!A1121</f>
        <v/>
      </c>
      <c r="B1121" s="2">
        <f>'[01_Entry.xlsx]Book'!B1121</f>
        <v/>
      </c>
      <c r="C1121" s="2">
        <f>'[01_Entry.xlsx]Book'!D1121</f>
        <v/>
      </c>
      <c r="D1121" s="2">
        <f>'[01_Entry.xlsx]Book'!E1121</f>
        <v/>
      </c>
      <c r="E1121" s="2">
        <f>'[01_Entry.xlsx]Book'!O1121</f>
        <v/>
      </c>
      <c r="F1121" s="2">
        <f>'[01_Entry.xlsx]Book'!N1121</f>
        <v/>
      </c>
      <c r="G1121" s="3">
        <f>'[01_Entry.xlsx]Book'!L1121</f>
        <v/>
      </c>
      <c r="H1121" s="3">
        <f>'[01_Entry.xlsx]Book'!M1121</f>
        <v/>
      </c>
      <c r="I1121" s="3">
        <f>'[01_Entry.xlsx]Book'!K1121</f>
        <v/>
      </c>
      <c r="J1121" s="3">
        <f>'[01_Entry.xlsx]Book'!P1121</f>
        <v/>
      </c>
      <c r="K1121" s="3">
        <f>'[01_Entry.xlsx]Book'!F1121</f>
        <v/>
      </c>
      <c r="L1121" s="3">
        <f>'[01_Entry.xlsx]Book'!G1121</f>
        <v/>
      </c>
      <c r="M1121" s="3">
        <f>'[01_Entry.xlsx]Book'!I1121</f>
        <v/>
      </c>
      <c r="N1121" s="2">
        <f>IF($A1121="","",MID($A1121,6,2))</f>
        <v>0</v>
      </c>
      <c r="O1121" s="2">
        <f>IF(OR($C1121="",$C1121&lt;&gt;'Inv'!$D$12),"",N(O$1120)+1)</f>
        <v>0</v>
      </c>
    </row>
    <row r="1122" spans="1:15">
      <c r="A1122" s="2">
        <f>'[01_Entry.xlsx]Book'!A1122</f>
        <v/>
      </c>
      <c r="B1122" s="2">
        <f>'[01_Entry.xlsx]Book'!B1122</f>
        <v/>
      </c>
      <c r="C1122" s="2">
        <f>'[01_Entry.xlsx]Book'!D1122</f>
        <v/>
      </c>
      <c r="D1122" s="2">
        <f>'[01_Entry.xlsx]Book'!E1122</f>
        <v/>
      </c>
      <c r="E1122" s="2">
        <f>'[01_Entry.xlsx]Book'!O1122</f>
        <v/>
      </c>
      <c r="F1122" s="2">
        <f>'[01_Entry.xlsx]Book'!N1122</f>
        <v/>
      </c>
      <c r="G1122" s="3">
        <f>'[01_Entry.xlsx]Book'!L1122</f>
        <v/>
      </c>
      <c r="H1122" s="3">
        <f>'[01_Entry.xlsx]Book'!M1122</f>
        <v/>
      </c>
      <c r="I1122" s="3">
        <f>'[01_Entry.xlsx]Book'!K1122</f>
        <v/>
      </c>
      <c r="J1122" s="3">
        <f>'[01_Entry.xlsx]Book'!P1122</f>
        <v/>
      </c>
      <c r="K1122" s="3">
        <f>'[01_Entry.xlsx]Book'!F1122</f>
        <v/>
      </c>
      <c r="L1122" s="3">
        <f>'[01_Entry.xlsx]Book'!G1122</f>
        <v/>
      </c>
      <c r="M1122" s="3">
        <f>'[01_Entry.xlsx]Book'!I1122</f>
        <v/>
      </c>
      <c r="N1122" s="2">
        <f>IF($A1122="","",MID($A1122,6,2))</f>
        <v>0</v>
      </c>
      <c r="O1122" s="2">
        <f>IF(OR($C1122="",$C1122&lt;&gt;'Inv'!$D$12),"",N(O$1121)+1)</f>
        <v>0</v>
      </c>
    </row>
    <row r="1123" spans="1:15">
      <c r="A1123" s="2">
        <f>'[01_Entry.xlsx]Book'!A1123</f>
        <v/>
      </c>
      <c r="B1123" s="2">
        <f>'[01_Entry.xlsx]Book'!B1123</f>
        <v/>
      </c>
      <c r="C1123" s="2">
        <f>'[01_Entry.xlsx]Book'!D1123</f>
        <v/>
      </c>
      <c r="D1123" s="2">
        <f>'[01_Entry.xlsx]Book'!E1123</f>
        <v/>
      </c>
      <c r="E1123" s="2">
        <f>'[01_Entry.xlsx]Book'!O1123</f>
        <v/>
      </c>
      <c r="F1123" s="2">
        <f>'[01_Entry.xlsx]Book'!N1123</f>
        <v/>
      </c>
      <c r="G1123" s="3">
        <f>'[01_Entry.xlsx]Book'!L1123</f>
        <v/>
      </c>
      <c r="H1123" s="3">
        <f>'[01_Entry.xlsx]Book'!M1123</f>
        <v/>
      </c>
      <c r="I1123" s="3">
        <f>'[01_Entry.xlsx]Book'!K1123</f>
        <v/>
      </c>
      <c r="J1123" s="3">
        <f>'[01_Entry.xlsx]Book'!P1123</f>
        <v/>
      </c>
      <c r="K1123" s="3">
        <f>'[01_Entry.xlsx]Book'!F1123</f>
        <v/>
      </c>
      <c r="L1123" s="3">
        <f>'[01_Entry.xlsx]Book'!G1123</f>
        <v/>
      </c>
      <c r="M1123" s="3">
        <f>'[01_Entry.xlsx]Book'!I1123</f>
        <v/>
      </c>
      <c r="N1123" s="2">
        <f>IF($A1123="","",MID($A1123,6,2))</f>
        <v>0</v>
      </c>
      <c r="O1123" s="2">
        <f>IF(OR($C1123="",$C1123&lt;&gt;'Inv'!$D$12),"",N(O$1122)+1)</f>
        <v>0</v>
      </c>
    </row>
    <row r="1124" spans="1:15">
      <c r="A1124" s="2">
        <f>'[01_Entry.xlsx]Book'!A1124</f>
        <v/>
      </c>
      <c r="B1124" s="2">
        <f>'[01_Entry.xlsx]Book'!B1124</f>
        <v/>
      </c>
      <c r="C1124" s="2">
        <f>'[01_Entry.xlsx]Book'!D1124</f>
        <v/>
      </c>
      <c r="D1124" s="2">
        <f>'[01_Entry.xlsx]Book'!E1124</f>
        <v/>
      </c>
      <c r="E1124" s="2">
        <f>'[01_Entry.xlsx]Book'!O1124</f>
        <v/>
      </c>
      <c r="F1124" s="2">
        <f>'[01_Entry.xlsx]Book'!N1124</f>
        <v/>
      </c>
      <c r="G1124" s="3">
        <f>'[01_Entry.xlsx]Book'!L1124</f>
        <v/>
      </c>
      <c r="H1124" s="3">
        <f>'[01_Entry.xlsx]Book'!M1124</f>
        <v/>
      </c>
      <c r="I1124" s="3">
        <f>'[01_Entry.xlsx]Book'!K1124</f>
        <v/>
      </c>
      <c r="J1124" s="3">
        <f>'[01_Entry.xlsx]Book'!P1124</f>
        <v/>
      </c>
      <c r="K1124" s="3">
        <f>'[01_Entry.xlsx]Book'!F1124</f>
        <v/>
      </c>
      <c r="L1124" s="3">
        <f>'[01_Entry.xlsx]Book'!G1124</f>
        <v/>
      </c>
      <c r="M1124" s="3">
        <f>'[01_Entry.xlsx]Book'!I1124</f>
        <v/>
      </c>
      <c r="N1124" s="2">
        <f>IF($A1124="","",MID($A1124,6,2))</f>
        <v>0</v>
      </c>
      <c r="O1124" s="2">
        <f>IF(OR($C1124="",$C1124&lt;&gt;'Inv'!$D$12),"",N(O$1123)+1)</f>
        <v>0</v>
      </c>
    </row>
    <row r="1125" spans="1:15">
      <c r="A1125" s="2">
        <f>'[01_Entry.xlsx]Book'!A1125</f>
        <v/>
      </c>
      <c r="B1125" s="2">
        <f>'[01_Entry.xlsx]Book'!B1125</f>
        <v/>
      </c>
      <c r="C1125" s="2">
        <f>'[01_Entry.xlsx]Book'!D1125</f>
        <v/>
      </c>
      <c r="D1125" s="2">
        <f>'[01_Entry.xlsx]Book'!E1125</f>
        <v/>
      </c>
      <c r="E1125" s="2">
        <f>'[01_Entry.xlsx]Book'!O1125</f>
        <v/>
      </c>
      <c r="F1125" s="2">
        <f>'[01_Entry.xlsx]Book'!N1125</f>
        <v/>
      </c>
      <c r="G1125" s="3">
        <f>'[01_Entry.xlsx]Book'!L1125</f>
        <v/>
      </c>
      <c r="H1125" s="3">
        <f>'[01_Entry.xlsx]Book'!M1125</f>
        <v/>
      </c>
      <c r="I1125" s="3">
        <f>'[01_Entry.xlsx]Book'!K1125</f>
        <v/>
      </c>
      <c r="J1125" s="3">
        <f>'[01_Entry.xlsx]Book'!P1125</f>
        <v/>
      </c>
      <c r="K1125" s="3">
        <f>'[01_Entry.xlsx]Book'!F1125</f>
        <v/>
      </c>
      <c r="L1125" s="3">
        <f>'[01_Entry.xlsx]Book'!G1125</f>
        <v/>
      </c>
      <c r="M1125" s="3">
        <f>'[01_Entry.xlsx]Book'!I1125</f>
        <v/>
      </c>
      <c r="N1125" s="2">
        <f>IF($A1125="","",MID($A1125,6,2))</f>
        <v>0</v>
      </c>
      <c r="O1125" s="2">
        <f>IF(OR($C1125="",$C1125&lt;&gt;'Inv'!$D$12),"",N(O$1124)+1)</f>
        <v>0</v>
      </c>
    </row>
    <row r="1126" spans="1:15">
      <c r="A1126" s="2">
        <f>'[01_Entry.xlsx]Book'!A1126</f>
        <v/>
      </c>
      <c r="B1126" s="2">
        <f>'[01_Entry.xlsx]Book'!B1126</f>
        <v/>
      </c>
      <c r="C1126" s="2">
        <f>'[01_Entry.xlsx]Book'!D1126</f>
        <v/>
      </c>
      <c r="D1126" s="2">
        <f>'[01_Entry.xlsx]Book'!E1126</f>
        <v/>
      </c>
      <c r="E1126" s="2">
        <f>'[01_Entry.xlsx]Book'!O1126</f>
        <v/>
      </c>
      <c r="F1126" s="2">
        <f>'[01_Entry.xlsx]Book'!N1126</f>
        <v/>
      </c>
      <c r="G1126" s="3">
        <f>'[01_Entry.xlsx]Book'!L1126</f>
        <v/>
      </c>
      <c r="H1126" s="3">
        <f>'[01_Entry.xlsx]Book'!M1126</f>
        <v/>
      </c>
      <c r="I1126" s="3">
        <f>'[01_Entry.xlsx]Book'!K1126</f>
        <v/>
      </c>
      <c r="J1126" s="3">
        <f>'[01_Entry.xlsx]Book'!P1126</f>
        <v/>
      </c>
      <c r="K1126" s="3">
        <f>'[01_Entry.xlsx]Book'!F1126</f>
        <v/>
      </c>
      <c r="L1126" s="3">
        <f>'[01_Entry.xlsx]Book'!G1126</f>
        <v/>
      </c>
      <c r="M1126" s="3">
        <f>'[01_Entry.xlsx]Book'!I1126</f>
        <v/>
      </c>
      <c r="N1126" s="2">
        <f>IF($A1126="","",MID($A1126,6,2))</f>
        <v>0</v>
      </c>
      <c r="O1126" s="2">
        <f>IF(OR($C1126="",$C1126&lt;&gt;'Inv'!$D$12),"",N(O$1125)+1)</f>
        <v>0</v>
      </c>
    </row>
    <row r="1127" spans="1:15">
      <c r="A1127" s="2">
        <f>'[01_Entry.xlsx]Book'!A1127</f>
        <v/>
      </c>
      <c r="B1127" s="2">
        <f>'[01_Entry.xlsx]Book'!B1127</f>
        <v/>
      </c>
      <c r="C1127" s="2">
        <f>'[01_Entry.xlsx]Book'!D1127</f>
        <v/>
      </c>
      <c r="D1127" s="2">
        <f>'[01_Entry.xlsx]Book'!E1127</f>
        <v/>
      </c>
      <c r="E1127" s="2">
        <f>'[01_Entry.xlsx]Book'!O1127</f>
        <v/>
      </c>
      <c r="F1127" s="2">
        <f>'[01_Entry.xlsx]Book'!N1127</f>
        <v/>
      </c>
      <c r="G1127" s="3">
        <f>'[01_Entry.xlsx]Book'!L1127</f>
        <v/>
      </c>
      <c r="H1127" s="3">
        <f>'[01_Entry.xlsx]Book'!M1127</f>
        <v/>
      </c>
      <c r="I1127" s="3">
        <f>'[01_Entry.xlsx]Book'!K1127</f>
        <v/>
      </c>
      <c r="J1127" s="3">
        <f>'[01_Entry.xlsx]Book'!P1127</f>
        <v/>
      </c>
      <c r="K1127" s="3">
        <f>'[01_Entry.xlsx]Book'!F1127</f>
        <v/>
      </c>
      <c r="L1127" s="3">
        <f>'[01_Entry.xlsx]Book'!G1127</f>
        <v/>
      </c>
      <c r="M1127" s="3">
        <f>'[01_Entry.xlsx]Book'!I1127</f>
        <v/>
      </c>
      <c r="N1127" s="2">
        <f>IF($A1127="","",MID($A1127,6,2))</f>
        <v>0</v>
      </c>
      <c r="O1127" s="2">
        <f>IF(OR($C1127="",$C1127&lt;&gt;'Inv'!$D$12),"",N(O$1126)+1)</f>
        <v>0</v>
      </c>
    </row>
    <row r="1128" spans="1:15">
      <c r="A1128" s="2">
        <f>'[01_Entry.xlsx]Book'!A1128</f>
        <v/>
      </c>
      <c r="B1128" s="2">
        <f>'[01_Entry.xlsx]Book'!B1128</f>
        <v/>
      </c>
      <c r="C1128" s="2">
        <f>'[01_Entry.xlsx]Book'!D1128</f>
        <v/>
      </c>
      <c r="D1128" s="2">
        <f>'[01_Entry.xlsx]Book'!E1128</f>
        <v/>
      </c>
      <c r="E1128" s="2">
        <f>'[01_Entry.xlsx]Book'!O1128</f>
        <v/>
      </c>
      <c r="F1128" s="2">
        <f>'[01_Entry.xlsx]Book'!N1128</f>
        <v/>
      </c>
      <c r="G1128" s="3">
        <f>'[01_Entry.xlsx]Book'!L1128</f>
        <v/>
      </c>
      <c r="H1128" s="3">
        <f>'[01_Entry.xlsx]Book'!M1128</f>
        <v/>
      </c>
      <c r="I1128" s="3">
        <f>'[01_Entry.xlsx]Book'!K1128</f>
        <v/>
      </c>
      <c r="J1128" s="3">
        <f>'[01_Entry.xlsx]Book'!P1128</f>
        <v/>
      </c>
      <c r="K1128" s="3">
        <f>'[01_Entry.xlsx]Book'!F1128</f>
        <v/>
      </c>
      <c r="L1128" s="3">
        <f>'[01_Entry.xlsx]Book'!G1128</f>
        <v/>
      </c>
      <c r="M1128" s="3">
        <f>'[01_Entry.xlsx]Book'!I1128</f>
        <v/>
      </c>
      <c r="N1128" s="2">
        <f>IF($A1128="","",MID($A1128,6,2))</f>
        <v>0</v>
      </c>
      <c r="O1128" s="2">
        <f>IF(OR($C1128="",$C1128&lt;&gt;'Inv'!$D$12),"",N(O$1127)+1)</f>
        <v>0</v>
      </c>
    </row>
    <row r="1129" spans="1:15">
      <c r="A1129" s="2">
        <f>'[01_Entry.xlsx]Book'!A1129</f>
        <v/>
      </c>
      <c r="B1129" s="2">
        <f>'[01_Entry.xlsx]Book'!B1129</f>
        <v/>
      </c>
      <c r="C1129" s="2">
        <f>'[01_Entry.xlsx]Book'!D1129</f>
        <v/>
      </c>
      <c r="D1129" s="2">
        <f>'[01_Entry.xlsx]Book'!E1129</f>
        <v/>
      </c>
      <c r="E1129" s="2">
        <f>'[01_Entry.xlsx]Book'!O1129</f>
        <v/>
      </c>
      <c r="F1129" s="2">
        <f>'[01_Entry.xlsx]Book'!N1129</f>
        <v/>
      </c>
      <c r="G1129" s="3">
        <f>'[01_Entry.xlsx]Book'!L1129</f>
        <v/>
      </c>
      <c r="H1129" s="3">
        <f>'[01_Entry.xlsx]Book'!M1129</f>
        <v/>
      </c>
      <c r="I1129" s="3">
        <f>'[01_Entry.xlsx]Book'!K1129</f>
        <v/>
      </c>
      <c r="J1129" s="3">
        <f>'[01_Entry.xlsx]Book'!P1129</f>
        <v/>
      </c>
      <c r="K1129" s="3">
        <f>'[01_Entry.xlsx]Book'!F1129</f>
        <v/>
      </c>
      <c r="L1129" s="3">
        <f>'[01_Entry.xlsx]Book'!G1129</f>
        <v/>
      </c>
      <c r="M1129" s="3">
        <f>'[01_Entry.xlsx]Book'!I1129</f>
        <v/>
      </c>
      <c r="N1129" s="2">
        <f>IF($A1129="","",MID($A1129,6,2))</f>
        <v>0</v>
      </c>
      <c r="O1129" s="2">
        <f>IF(OR($C1129="",$C1129&lt;&gt;'Inv'!$D$12),"",N(O$1128)+1)</f>
        <v>0</v>
      </c>
    </row>
    <row r="1130" spans="1:15">
      <c r="A1130" s="2">
        <f>'[01_Entry.xlsx]Book'!A1130</f>
        <v/>
      </c>
      <c r="B1130" s="2">
        <f>'[01_Entry.xlsx]Book'!B1130</f>
        <v/>
      </c>
      <c r="C1130" s="2">
        <f>'[01_Entry.xlsx]Book'!D1130</f>
        <v/>
      </c>
      <c r="D1130" s="2">
        <f>'[01_Entry.xlsx]Book'!E1130</f>
        <v/>
      </c>
      <c r="E1130" s="2">
        <f>'[01_Entry.xlsx]Book'!O1130</f>
        <v/>
      </c>
      <c r="F1130" s="2">
        <f>'[01_Entry.xlsx]Book'!N1130</f>
        <v/>
      </c>
      <c r="G1130" s="3">
        <f>'[01_Entry.xlsx]Book'!L1130</f>
        <v/>
      </c>
      <c r="H1130" s="3">
        <f>'[01_Entry.xlsx]Book'!M1130</f>
        <v/>
      </c>
      <c r="I1130" s="3">
        <f>'[01_Entry.xlsx]Book'!K1130</f>
        <v/>
      </c>
      <c r="J1130" s="3">
        <f>'[01_Entry.xlsx]Book'!P1130</f>
        <v/>
      </c>
      <c r="K1130" s="3">
        <f>'[01_Entry.xlsx]Book'!F1130</f>
        <v/>
      </c>
      <c r="L1130" s="3">
        <f>'[01_Entry.xlsx]Book'!G1130</f>
        <v/>
      </c>
      <c r="M1130" s="3">
        <f>'[01_Entry.xlsx]Book'!I1130</f>
        <v/>
      </c>
      <c r="N1130" s="2">
        <f>IF($A1130="","",MID($A1130,6,2))</f>
        <v>0</v>
      </c>
      <c r="O1130" s="2">
        <f>IF(OR($C1130="",$C1130&lt;&gt;'Inv'!$D$12),"",N(O$1129)+1)</f>
        <v>0</v>
      </c>
    </row>
    <row r="1131" spans="1:15">
      <c r="A1131" s="2">
        <f>'[01_Entry.xlsx]Book'!A1131</f>
        <v/>
      </c>
      <c r="B1131" s="2">
        <f>'[01_Entry.xlsx]Book'!B1131</f>
        <v/>
      </c>
      <c r="C1131" s="2">
        <f>'[01_Entry.xlsx]Book'!D1131</f>
        <v/>
      </c>
      <c r="D1131" s="2">
        <f>'[01_Entry.xlsx]Book'!E1131</f>
        <v/>
      </c>
      <c r="E1131" s="2">
        <f>'[01_Entry.xlsx]Book'!O1131</f>
        <v/>
      </c>
      <c r="F1131" s="2">
        <f>'[01_Entry.xlsx]Book'!N1131</f>
        <v/>
      </c>
      <c r="G1131" s="3">
        <f>'[01_Entry.xlsx]Book'!L1131</f>
        <v/>
      </c>
      <c r="H1131" s="3">
        <f>'[01_Entry.xlsx]Book'!M1131</f>
        <v/>
      </c>
      <c r="I1131" s="3">
        <f>'[01_Entry.xlsx]Book'!K1131</f>
        <v/>
      </c>
      <c r="J1131" s="3">
        <f>'[01_Entry.xlsx]Book'!P1131</f>
        <v/>
      </c>
      <c r="K1131" s="3">
        <f>'[01_Entry.xlsx]Book'!F1131</f>
        <v/>
      </c>
      <c r="L1131" s="3">
        <f>'[01_Entry.xlsx]Book'!G1131</f>
        <v/>
      </c>
      <c r="M1131" s="3">
        <f>'[01_Entry.xlsx]Book'!I1131</f>
        <v/>
      </c>
      <c r="N1131" s="2">
        <f>IF($A1131="","",MID($A1131,6,2))</f>
        <v>0</v>
      </c>
      <c r="O1131" s="2">
        <f>IF(OR($C1131="",$C1131&lt;&gt;'Inv'!$D$12),"",N(O$1130)+1)</f>
        <v>0</v>
      </c>
    </row>
    <row r="1132" spans="1:15">
      <c r="A1132" s="2">
        <f>'[01_Entry.xlsx]Book'!A1132</f>
        <v/>
      </c>
      <c r="B1132" s="2">
        <f>'[01_Entry.xlsx]Book'!B1132</f>
        <v/>
      </c>
      <c r="C1132" s="2">
        <f>'[01_Entry.xlsx]Book'!D1132</f>
        <v/>
      </c>
      <c r="D1132" s="2">
        <f>'[01_Entry.xlsx]Book'!E1132</f>
        <v/>
      </c>
      <c r="E1132" s="2">
        <f>'[01_Entry.xlsx]Book'!O1132</f>
        <v/>
      </c>
      <c r="F1132" s="2">
        <f>'[01_Entry.xlsx]Book'!N1132</f>
        <v/>
      </c>
      <c r="G1132" s="3">
        <f>'[01_Entry.xlsx]Book'!L1132</f>
        <v/>
      </c>
      <c r="H1132" s="3">
        <f>'[01_Entry.xlsx]Book'!M1132</f>
        <v/>
      </c>
      <c r="I1132" s="3">
        <f>'[01_Entry.xlsx]Book'!K1132</f>
        <v/>
      </c>
      <c r="J1132" s="3">
        <f>'[01_Entry.xlsx]Book'!P1132</f>
        <v/>
      </c>
      <c r="K1132" s="3">
        <f>'[01_Entry.xlsx]Book'!F1132</f>
        <v/>
      </c>
      <c r="L1132" s="3">
        <f>'[01_Entry.xlsx]Book'!G1132</f>
        <v/>
      </c>
      <c r="M1132" s="3">
        <f>'[01_Entry.xlsx]Book'!I1132</f>
        <v/>
      </c>
      <c r="N1132" s="2">
        <f>IF($A1132="","",MID($A1132,6,2))</f>
        <v>0</v>
      </c>
      <c r="O1132" s="2">
        <f>IF(OR($C1132="",$C1132&lt;&gt;'Inv'!$D$12),"",N(O$1131)+1)</f>
        <v>0</v>
      </c>
    </row>
    <row r="1133" spans="1:15">
      <c r="A1133" s="2">
        <f>'[01_Entry.xlsx]Book'!A1133</f>
        <v/>
      </c>
      <c r="B1133" s="2">
        <f>'[01_Entry.xlsx]Book'!B1133</f>
        <v/>
      </c>
      <c r="C1133" s="2">
        <f>'[01_Entry.xlsx]Book'!D1133</f>
        <v/>
      </c>
      <c r="D1133" s="2">
        <f>'[01_Entry.xlsx]Book'!E1133</f>
        <v/>
      </c>
      <c r="E1133" s="2">
        <f>'[01_Entry.xlsx]Book'!O1133</f>
        <v/>
      </c>
      <c r="F1133" s="2">
        <f>'[01_Entry.xlsx]Book'!N1133</f>
        <v/>
      </c>
      <c r="G1133" s="3">
        <f>'[01_Entry.xlsx]Book'!L1133</f>
        <v/>
      </c>
      <c r="H1133" s="3">
        <f>'[01_Entry.xlsx]Book'!M1133</f>
        <v/>
      </c>
      <c r="I1133" s="3">
        <f>'[01_Entry.xlsx]Book'!K1133</f>
        <v/>
      </c>
      <c r="J1133" s="3">
        <f>'[01_Entry.xlsx]Book'!P1133</f>
        <v/>
      </c>
      <c r="K1133" s="3">
        <f>'[01_Entry.xlsx]Book'!F1133</f>
        <v/>
      </c>
      <c r="L1133" s="3">
        <f>'[01_Entry.xlsx]Book'!G1133</f>
        <v/>
      </c>
      <c r="M1133" s="3">
        <f>'[01_Entry.xlsx]Book'!I1133</f>
        <v/>
      </c>
      <c r="N1133" s="2">
        <f>IF($A1133="","",MID($A1133,6,2))</f>
        <v>0</v>
      </c>
      <c r="O1133" s="2">
        <f>IF(OR($C1133="",$C1133&lt;&gt;'Inv'!$D$12),"",N(O$1132)+1)</f>
        <v>0</v>
      </c>
    </row>
    <row r="1134" spans="1:15">
      <c r="A1134" s="2">
        <f>'[01_Entry.xlsx]Book'!A1134</f>
        <v/>
      </c>
      <c r="B1134" s="2">
        <f>'[01_Entry.xlsx]Book'!B1134</f>
        <v/>
      </c>
      <c r="C1134" s="2">
        <f>'[01_Entry.xlsx]Book'!D1134</f>
        <v/>
      </c>
      <c r="D1134" s="2">
        <f>'[01_Entry.xlsx]Book'!E1134</f>
        <v/>
      </c>
      <c r="E1134" s="2">
        <f>'[01_Entry.xlsx]Book'!O1134</f>
        <v/>
      </c>
      <c r="F1134" s="2">
        <f>'[01_Entry.xlsx]Book'!N1134</f>
        <v/>
      </c>
      <c r="G1134" s="3">
        <f>'[01_Entry.xlsx]Book'!L1134</f>
        <v/>
      </c>
      <c r="H1134" s="3">
        <f>'[01_Entry.xlsx]Book'!M1134</f>
        <v/>
      </c>
      <c r="I1134" s="3">
        <f>'[01_Entry.xlsx]Book'!K1134</f>
        <v/>
      </c>
      <c r="J1134" s="3">
        <f>'[01_Entry.xlsx]Book'!P1134</f>
        <v/>
      </c>
      <c r="K1134" s="3">
        <f>'[01_Entry.xlsx]Book'!F1134</f>
        <v/>
      </c>
      <c r="L1134" s="3">
        <f>'[01_Entry.xlsx]Book'!G1134</f>
        <v/>
      </c>
      <c r="M1134" s="3">
        <f>'[01_Entry.xlsx]Book'!I1134</f>
        <v/>
      </c>
      <c r="N1134" s="2">
        <f>IF($A1134="","",MID($A1134,6,2))</f>
        <v>0</v>
      </c>
      <c r="O1134" s="2">
        <f>IF(OR($C1134="",$C1134&lt;&gt;'Inv'!$D$12),"",N(O$1133)+1)</f>
        <v>0</v>
      </c>
    </row>
    <row r="1135" spans="1:15">
      <c r="A1135" s="2">
        <f>'[01_Entry.xlsx]Book'!A1135</f>
        <v/>
      </c>
      <c r="B1135" s="2">
        <f>'[01_Entry.xlsx]Book'!B1135</f>
        <v/>
      </c>
      <c r="C1135" s="2">
        <f>'[01_Entry.xlsx]Book'!D1135</f>
        <v/>
      </c>
      <c r="D1135" s="2">
        <f>'[01_Entry.xlsx]Book'!E1135</f>
        <v/>
      </c>
      <c r="E1135" s="2">
        <f>'[01_Entry.xlsx]Book'!O1135</f>
        <v/>
      </c>
      <c r="F1135" s="2">
        <f>'[01_Entry.xlsx]Book'!N1135</f>
        <v/>
      </c>
      <c r="G1135" s="3">
        <f>'[01_Entry.xlsx]Book'!L1135</f>
        <v/>
      </c>
      <c r="H1135" s="3">
        <f>'[01_Entry.xlsx]Book'!M1135</f>
        <v/>
      </c>
      <c r="I1135" s="3">
        <f>'[01_Entry.xlsx]Book'!K1135</f>
        <v/>
      </c>
      <c r="J1135" s="3">
        <f>'[01_Entry.xlsx]Book'!P1135</f>
        <v/>
      </c>
      <c r="K1135" s="3">
        <f>'[01_Entry.xlsx]Book'!F1135</f>
        <v/>
      </c>
      <c r="L1135" s="3">
        <f>'[01_Entry.xlsx]Book'!G1135</f>
        <v/>
      </c>
      <c r="M1135" s="3">
        <f>'[01_Entry.xlsx]Book'!I1135</f>
        <v/>
      </c>
      <c r="N1135" s="2">
        <f>IF($A1135="","",MID($A1135,6,2))</f>
        <v>0</v>
      </c>
      <c r="O1135" s="2">
        <f>IF(OR($C1135="",$C1135&lt;&gt;'Inv'!$D$12),"",N(O$1134)+1)</f>
        <v>0</v>
      </c>
    </row>
    <row r="1136" spans="1:15">
      <c r="A1136" s="2">
        <f>'[01_Entry.xlsx]Book'!A1136</f>
        <v/>
      </c>
      <c r="B1136" s="2">
        <f>'[01_Entry.xlsx]Book'!B1136</f>
        <v/>
      </c>
      <c r="C1136" s="2">
        <f>'[01_Entry.xlsx]Book'!D1136</f>
        <v/>
      </c>
      <c r="D1136" s="2">
        <f>'[01_Entry.xlsx]Book'!E1136</f>
        <v/>
      </c>
      <c r="E1136" s="2">
        <f>'[01_Entry.xlsx]Book'!O1136</f>
        <v/>
      </c>
      <c r="F1136" s="2">
        <f>'[01_Entry.xlsx]Book'!N1136</f>
        <v/>
      </c>
      <c r="G1136" s="3">
        <f>'[01_Entry.xlsx]Book'!L1136</f>
        <v/>
      </c>
      <c r="H1136" s="3">
        <f>'[01_Entry.xlsx]Book'!M1136</f>
        <v/>
      </c>
      <c r="I1136" s="3">
        <f>'[01_Entry.xlsx]Book'!K1136</f>
        <v/>
      </c>
      <c r="J1136" s="3">
        <f>'[01_Entry.xlsx]Book'!P1136</f>
        <v/>
      </c>
      <c r="K1136" s="3">
        <f>'[01_Entry.xlsx]Book'!F1136</f>
        <v/>
      </c>
      <c r="L1136" s="3">
        <f>'[01_Entry.xlsx]Book'!G1136</f>
        <v/>
      </c>
      <c r="M1136" s="3">
        <f>'[01_Entry.xlsx]Book'!I1136</f>
        <v/>
      </c>
      <c r="N1136" s="2">
        <f>IF($A1136="","",MID($A1136,6,2))</f>
        <v>0</v>
      </c>
      <c r="O1136" s="2">
        <f>IF(OR($C1136="",$C1136&lt;&gt;'Inv'!$D$12),"",N(O$1135)+1)</f>
        <v>0</v>
      </c>
    </row>
    <row r="1137" spans="1:15">
      <c r="A1137" s="2">
        <f>'[01_Entry.xlsx]Book'!A1137</f>
        <v/>
      </c>
      <c r="B1137" s="2">
        <f>'[01_Entry.xlsx]Book'!B1137</f>
        <v/>
      </c>
      <c r="C1137" s="2">
        <f>'[01_Entry.xlsx]Book'!D1137</f>
        <v/>
      </c>
      <c r="D1137" s="2">
        <f>'[01_Entry.xlsx]Book'!E1137</f>
        <v/>
      </c>
      <c r="E1137" s="2">
        <f>'[01_Entry.xlsx]Book'!O1137</f>
        <v/>
      </c>
      <c r="F1137" s="2">
        <f>'[01_Entry.xlsx]Book'!N1137</f>
        <v/>
      </c>
      <c r="G1137" s="3">
        <f>'[01_Entry.xlsx]Book'!L1137</f>
        <v/>
      </c>
      <c r="H1137" s="3">
        <f>'[01_Entry.xlsx]Book'!M1137</f>
        <v/>
      </c>
      <c r="I1137" s="3">
        <f>'[01_Entry.xlsx]Book'!K1137</f>
        <v/>
      </c>
      <c r="J1137" s="3">
        <f>'[01_Entry.xlsx]Book'!P1137</f>
        <v/>
      </c>
      <c r="K1137" s="3">
        <f>'[01_Entry.xlsx]Book'!F1137</f>
        <v/>
      </c>
      <c r="L1137" s="3">
        <f>'[01_Entry.xlsx]Book'!G1137</f>
        <v/>
      </c>
      <c r="M1137" s="3">
        <f>'[01_Entry.xlsx]Book'!I1137</f>
        <v/>
      </c>
      <c r="N1137" s="2">
        <f>IF($A1137="","",MID($A1137,6,2))</f>
        <v>0</v>
      </c>
      <c r="O1137" s="2">
        <f>IF(OR($C1137="",$C1137&lt;&gt;'Inv'!$D$12),"",N(O$1136)+1)</f>
        <v>0</v>
      </c>
    </row>
    <row r="1138" spans="1:15">
      <c r="A1138" s="2">
        <f>'[01_Entry.xlsx]Book'!A1138</f>
        <v/>
      </c>
      <c r="B1138" s="2">
        <f>'[01_Entry.xlsx]Book'!B1138</f>
        <v/>
      </c>
      <c r="C1138" s="2">
        <f>'[01_Entry.xlsx]Book'!D1138</f>
        <v/>
      </c>
      <c r="D1138" s="2">
        <f>'[01_Entry.xlsx]Book'!E1138</f>
        <v/>
      </c>
      <c r="E1138" s="2">
        <f>'[01_Entry.xlsx]Book'!O1138</f>
        <v/>
      </c>
      <c r="F1138" s="2">
        <f>'[01_Entry.xlsx]Book'!N1138</f>
        <v/>
      </c>
      <c r="G1138" s="3">
        <f>'[01_Entry.xlsx]Book'!L1138</f>
        <v/>
      </c>
      <c r="H1138" s="3">
        <f>'[01_Entry.xlsx]Book'!M1138</f>
        <v/>
      </c>
      <c r="I1138" s="3">
        <f>'[01_Entry.xlsx]Book'!K1138</f>
        <v/>
      </c>
      <c r="J1138" s="3">
        <f>'[01_Entry.xlsx]Book'!P1138</f>
        <v/>
      </c>
      <c r="K1138" s="3">
        <f>'[01_Entry.xlsx]Book'!F1138</f>
        <v/>
      </c>
      <c r="L1138" s="3">
        <f>'[01_Entry.xlsx]Book'!G1138</f>
        <v/>
      </c>
      <c r="M1138" s="3">
        <f>'[01_Entry.xlsx]Book'!I1138</f>
        <v/>
      </c>
      <c r="N1138" s="2">
        <f>IF($A1138="","",MID($A1138,6,2))</f>
        <v>0</v>
      </c>
      <c r="O1138" s="2">
        <f>IF(OR($C1138="",$C1138&lt;&gt;'Inv'!$D$12),"",N(O$1137)+1)</f>
        <v>0</v>
      </c>
    </row>
    <row r="1139" spans="1:15">
      <c r="A1139" s="2">
        <f>'[01_Entry.xlsx]Book'!A1139</f>
        <v/>
      </c>
      <c r="B1139" s="2">
        <f>'[01_Entry.xlsx]Book'!B1139</f>
        <v/>
      </c>
      <c r="C1139" s="2">
        <f>'[01_Entry.xlsx]Book'!D1139</f>
        <v/>
      </c>
      <c r="D1139" s="2">
        <f>'[01_Entry.xlsx]Book'!E1139</f>
        <v/>
      </c>
      <c r="E1139" s="2">
        <f>'[01_Entry.xlsx]Book'!O1139</f>
        <v/>
      </c>
      <c r="F1139" s="2">
        <f>'[01_Entry.xlsx]Book'!N1139</f>
        <v/>
      </c>
      <c r="G1139" s="3">
        <f>'[01_Entry.xlsx]Book'!L1139</f>
        <v/>
      </c>
      <c r="H1139" s="3">
        <f>'[01_Entry.xlsx]Book'!M1139</f>
        <v/>
      </c>
      <c r="I1139" s="3">
        <f>'[01_Entry.xlsx]Book'!K1139</f>
        <v/>
      </c>
      <c r="J1139" s="3">
        <f>'[01_Entry.xlsx]Book'!P1139</f>
        <v/>
      </c>
      <c r="K1139" s="3">
        <f>'[01_Entry.xlsx]Book'!F1139</f>
        <v/>
      </c>
      <c r="L1139" s="3">
        <f>'[01_Entry.xlsx]Book'!G1139</f>
        <v/>
      </c>
      <c r="M1139" s="3">
        <f>'[01_Entry.xlsx]Book'!I1139</f>
        <v/>
      </c>
      <c r="N1139" s="2">
        <f>IF($A1139="","",MID($A1139,6,2))</f>
        <v>0</v>
      </c>
      <c r="O1139" s="2">
        <f>IF(OR($C1139="",$C1139&lt;&gt;'Inv'!$D$12),"",N(O$1138)+1)</f>
        <v>0</v>
      </c>
    </row>
    <row r="1140" spans="1:15">
      <c r="A1140" s="2">
        <f>'[01_Entry.xlsx]Book'!A1140</f>
        <v/>
      </c>
      <c r="B1140" s="2">
        <f>'[01_Entry.xlsx]Book'!B1140</f>
        <v/>
      </c>
      <c r="C1140" s="2">
        <f>'[01_Entry.xlsx]Book'!D1140</f>
        <v/>
      </c>
      <c r="D1140" s="2">
        <f>'[01_Entry.xlsx]Book'!E1140</f>
        <v/>
      </c>
      <c r="E1140" s="2">
        <f>'[01_Entry.xlsx]Book'!O1140</f>
        <v/>
      </c>
      <c r="F1140" s="2">
        <f>'[01_Entry.xlsx]Book'!N1140</f>
        <v/>
      </c>
      <c r="G1140" s="3">
        <f>'[01_Entry.xlsx]Book'!L1140</f>
        <v/>
      </c>
      <c r="H1140" s="3">
        <f>'[01_Entry.xlsx]Book'!M1140</f>
        <v/>
      </c>
      <c r="I1140" s="3">
        <f>'[01_Entry.xlsx]Book'!K1140</f>
        <v/>
      </c>
      <c r="J1140" s="3">
        <f>'[01_Entry.xlsx]Book'!P1140</f>
        <v/>
      </c>
      <c r="K1140" s="3">
        <f>'[01_Entry.xlsx]Book'!F1140</f>
        <v/>
      </c>
      <c r="L1140" s="3">
        <f>'[01_Entry.xlsx]Book'!G1140</f>
        <v/>
      </c>
      <c r="M1140" s="3">
        <f>'[01_Entry.xlsx]Book'!I1140</f>
        <v/>
      </c>
      <c r="N1140" s="2">
        <f>IF($A1140="","",MID($A1140,6,2))</f>
        <v>0</v>
      </c>
      <c r="O1140" s="2">
        <f>IF(OR($C1140="",$C1140&lt;&gt;'Inv'!$D$12),"",N(O$1139)+1)</f>
        <v>0</v>
      </c>
    </row>
    <row r="1141" spans="1:15">
      <c r="A1141" s="2">
        <f>'[01_Entry.xlsx]Book'!A1141</f>
        <v/>
      </c>
      <c r="B1141" s="2">
        <f>'[01_Entry.xlsx]Book'!B1141</f>
        <v/>
      </c>
      <c r="C1141" s="2">
        <f>'[01_Entry.xlsx]Book'!D1141</f>
        <v/>
      </c>
      <c r="D1141" s="2">
        <f>'[01_Entry.xlsx]Book'!E1141</f>
        <v/>
      </c>
      <c r="E1141" s="2">
        <f>'[01_Entry.xlsx]Book'!O1141</f>
        <v/>
      </c>
      <c r="F1141" s="2">
        <f>'[01_Entry.xlsx]Book'!N1141</f>
        <v/>
      </c>
      <c r="G1141" s="3">
        <f>'[01_Entry.xlsx]Book'!L1141</f>
        <v/>
      </c>
      <c r="H1141" s="3">
        <f>'[01_Entry.xlsx]Book'!M1141</f>
        <v/>
      </c>
      <c r="I1141" s="3">
        <f>'[01_Entry.xlsx]Book'!K1141</f>
        <v/>
      </c>
      <c r="J1141" s="3">
        <f>'[01_Entry.xlsx]Book'!P1141</f>
        <v/>
      </c>
      <c r="K1141" s="3">
        <f>'[01_Entry.xlsx]Book'!F1141</f>
        <v/>
      </c>
      <c r="L1141" s="3">
        <f>'[01_Entry.xlsx]Book'!G1141</f>
        <v/>
      </c>
      <c r="M1141" s="3">
        <f>'[01_Entry.xlsx]Book'!I1141</f>
        <v/>
      </c>
      <c r="N1141" s="2">
        <f>IF($A1141="","",MID($A1141,6,2))</f>
        <v>0</v>
      </c>
      <c r="O1141" s="2">
        <f>IF(OR($C1141="",$C1141&lt;&gt;'Inv'!$D$12),"",N(O$1140)+1)</f>
        <v>0</v>
      </c>
    </row>
    <row r="1142" spans="1:15">
      <c r="A1142" s="2">
        <f>'[01_Entry.xlsx]Book'!A1142</f>
        <v/>
      </c>
      <c r="B1142" s="2">
        <f>'[01_Entry.xlsx]Book'!B1142</f>
        <v/>
      </c>
      <c r="C1142" s="2">
        <f>'[01_Entry.xlsx]Book'!D1142</f>
        <v/>
      </c>
      <c r="D1142" s="2">
        <f>'[01_Entry.xlsx]Book'!E1142</f>
        <v/>
      </c>
      <c r="E1142" s="2">
        <f>'[01_Entry.xlsx]Book'!O1142</f>
        <v/>
      </c>
      <c r="F1142" s="2">
        <f>'[01_Entry.xlsx]Book'!N1142</f>
        <v/>
      </c>
      <c r="G1142" s="3">
        <f>'[01_Entry.xlsx]Book'!L1142</f>
        <v/>
      </c>
      <c r="H1142" s="3">
        <f>'[01_Entry.xlsx]Book'!M1142</f>
        <v/>
      </c>
      <c r="I1142" s="3">
        <f>'[01_Entry.xlsx]Book'!K1142</f>
        <v/>
      </c>
      <c r="J1142" s="3">
        <f>'[01_Entry.xlsx]Book'!P1142</f>
        <v/>
      </c>
      <c r="K1142" s="3">
        <f>'[01_Entry.xlsx]Book'!F1142</f>
        <v/>
      </c>
      <c r="L1142" s="3">
        <f>'[01_Entry.xlsx]Book'!G1142</f>
        <v/>
      </c>
      <c r="M1142" s="3">
        <f>'[01_Entry.xlsx]Book'!I1142</f>
        <v/>
      </c>
      <c r="N1142" s="2">
        <f>IF($A1142="","",MID($A1142,6,2))</f>
        <v>0</v>
      </c>
      <c r="O1142" s="2">
        <f>IF(OR($C1142="",$C1142&lt;&gt;'Inv'!$D$12),"",N(O$1141)+1)</f>
        <v>0</v>
      </c>
    </row>
    <row r="1143" spans="1:15">
      <c r="A1143" s="2">
        <f>'[01_Entry.xlsx]Book'!A1143</f>
        <v/>
      </c>
      <c r="B1143" s="2">
        <f>'[01_Entry.xlsx]Book'!B1143</f>
        <v/>
      </c>
      <c r="C1143" s="2">
        <f>'[01_Entry.xlsx]Book'!D1143</f>
        <v/>
      </c>
      <c r="D1143" s="2">
        <f>'[01_Entry.xlsx]Book'!E1143</f>
        <v/>
      </c>
      <c r="E1143" s="2">
        <f>'[01_Entry.xlsx]Book'!O1143</f>
        <v/>
      </c>
      <c r="F1143" s="2">
        <f>'[01_Entry.xlsx]Book'!N1143</f>
        <v/>
      </c>
      <c r="G1143" s="3">
        <f>'[01_Entry.xlsx]Book'!L1143</f>
        <v/>
      </c>
      <c r="H1143" s="3">
        <f>'[01_Entry.xlsx]Book'!M1143</f>
        <v/>
      </c>
      <c r="I1143" s="3">
        <f>'[01_Entry.xlsx]Book'!K1143</f>
        <v/>
      </c>
      <c r="J1143" s="3">
        <f>'[01_Entry.xlsx]Book'!P1143</f>
        <v/>
      </c>
      <c r="K1143" s="3">
        <f>'[01_Entry.xlsx]Book'!F1143</f>
        <v/>
      </c>
      <c r="L1143" s="3">
        <f>'[01_Entry.xlsx]Book'!G1143</f>
        <v/>
      </c>
      <c r="M1143" s="3">
        <f>'[01_Entry.xlsx]Book'!I1143</f>
        <v/>
      </c>
      <c r="N1143" s="2">
        <f>IF($A1143="","",MID($A1143,6,2))</f>
        <v>0</v>
      </c>
      <c r="O1143" s="2">
        <f>IF(OR($C1143="",$C1143&lt;&gt;'Inv'!$D$12),"",N(O$1142)+1)</f>
        <v>0</v>
      </c>
    </row>
    <row r="1144" spans="1:15">
      <c r="A1144" s="2">
        <f>'[01_Entry.xlsx]Book'!A1144</f>
        <v/>
      </c>
      <c r="B1144" s="2">
        <f>'[01_Entry.xlsx]Book'!B1144</f>
        <v/>
      </c>
      <c r="C1144" s="2">
        <f>'[01_Entry.xlsx]Book'!D1144</f>
        <v/>
      </c>
      <c r="D1144" s="2">
        <f>'[01_Entry.xlsx]Book'!E1144</f>
        <v/>
      </c>
      <c r="E1144" s="2">
        <f>'[01_Entry.xlsx]Book'!O1144</f>
        <v/>
      </c>
      <c r="F1144" s="2">
        <f>'[01_Entry.xlsx]Book'!N1144</f>
        <v/>
      </c>
      <c r="G1144" s="3">
        <f>'[01_Entry.xlsx]Book'!L1144</f>
        <v/>
      </c>
      <c r="H1144" s="3">
        <f>'[01_Entry.xlsx]Book'!M1144</f>
        <v/>
      </c>
      <c r="I1144" s="3">
        <f>'[01_Entry.xlsx]Book'!K1144</f>
        <v/>
      </c>
      <c r="J1144" s="3">
        <f>'[01_Entry.xlsx]Book'!P1144</f>
        <v/>
      </c>
      <c r="K1144" s="3">
        <f>'[01_Entry.xlsx]Book'!F1144</f>
        <v/>
      </c>
      <c r="L1144" s="3">
        <f>'[01_Entry.xlsx]Book'!G1144</f>
        <v/>
      </c>
      <c r="M1144" s="3">
        <f>'[01_Entry.xlsx]Book'!I1144</f>
        <v/>
      </c>
      <c r="N1144" s="2">
        <f>IF($A1144="","",MID($A1144,6,2))</f>
        <v>0</v>
      </c>
      <c r="O1144" s="2">
        <f>IF(OR($C1144="",$C1144&lt;&gt;'Inv'!$D$12),"",N(O$1143)+1)</f>
        <v>0</v>
      </c>
    </row>
    <row r="1145" spans="1:15">
      <c r="A1145" s="2">
        <f>'[01_Entry.xlsx]Book'!A1145</f>
        <v/>
      </c>
      <c r="B1145" s="2">
        <f>'[01_Entry.xlsx]Book'!B1145</f>
        <v/>
      </c>
      <c r="C1145" s="2">
        <f>'[01_Entry.xlsx]Book'!D1145</f>
        <v/>
      </c>
      <c r="D1145" s="2">
        <f>'[01_Entry.xlsx]Book'!E1145</f>
        <v/>
      </c>
      <c r="E1145" s="2">
        <f>'[01_Entry.xlsx]Book'!O1145</f>
        <v/>
      </c>
      <c r="F1145" s="2">
        <f>'[01_Entry.xlsx]Book'!N1145</f>
        <v/>
      </c>
      <c r="G1145" s="3">
        <f>'[01_Entry.xlsx]Book'!L1145</f>
        <v/>
      </c>
      <c r="H1145" s="3">
        <f>'[01_Entry.xlsx]Book'!M1145</f>
        <v/>
      </c>
      <c r="I1145" s="3">
        <f>'[01_Entry.xlsx]Book'!K1145</f>
        <v/>
      </c>
      <c r="J1145" s="3">
        <f>'[01_Entry.xlsx]Book'!P1145</f>
        <v/>
      </c>
      <c r="K1145" s="3">
        <f>'[01_Entry.xlsx]Book'!F1145</f>
        <v/>
      </c>
      <c r="L1145" s="3">
        <f>'[01_Entry.xlsx]Book'!G1145</f>
        <v/>
      </c>
      <c r="M1145" s="3">
        <f>'[01_Entry.xlsx]Book'!I1145</f>
        <v/>
      </c>
      <c r="N1145" s="2">
        <f>IF($A1145="","",MID($A1145,6,2))</f>
        <v>0</v>
      </c>
      <c r="O1145" s="2">
        <f>IF(OR($C1145="",$C1145&lt;&gt;'Inv'!$D$12),"",N(O$1144)+1)</f>
        <v>0</v>
      </c>
    </row>
    <row r="1146" spans="1:15">
      <c r="A1146" s="2">
        <f>'[01_Entry.xlsx]Book'!A1146</f>
        <v/>
      </c>
      <c r="B1146" s="2">
        <f>'[01_Entry.xlsx]Book'!B1146</f>
        <v/>
      </c>
      <c r="C1146" s="2">
        <f>'[01_Entry.xlsx]Book'!D1146</f>
        <v/>
      </c>
      <c r="D1146" s="2">
        <f>'[01_Entry.xlsx]Book'!E1146</f>
        <v/>
      </c>
      <c r="E1146" s="2">
        <f>'[01_Entry.xlsx]Book'!O1146</f>
        <v/>
      </c>
      <c r="F1146" s="2">
        <f>'[01_Entry.xlsx]Book'!N1146</f>
        <v/>
      </c>
      <c r="G1146" s="3">
        <f>'[01_Entry.xlsx]Book'!L1146</f>
        <v/>
      </c>
      <c r="H1146" s="3">
        <f>'[01_Entry.xlsx]Book'!M1146</f>
        <v/>
      </c>
      <c r="I1146" s="3">
        <f>'[01_Entry.xlsx]Book'!K1146</f>
        <v/>
      </c>
      <c r="J1146" s="3">
        <f>'[01_Entry.xlsx]Book'!P1146</f>
        <v/>
      </c>
      <c r="K1146" s="3">
        <f>'[01_Entry.xlsx]Book'!F1146</f>
        <v/>
      </c>
      <c r="L1146" s="3">
        <f>'[01_Entry.xlsx]Book'!G1146</f>
        <v/>
      </c>
      <c r="M1146" s="3">
        <f>'[01_Entry.xlsx]Book'!I1146</f>
        <v/>
      </c>
      <c r="N1146" s="2">
        <f>IF($A1146="","",MID($A1146,6,2))</f>
        <v>0</v>
      </c>
      <c r="O1146" s="2">
        <f>IF(OR($C1146="",$C1146&lt;&gt;'Inv'!$D$12),"",N(O$1145)+1)</f>
        <v>0</v>
      </c>
    </row>
    <row r="1147" spans="1:15">
      <c r="A1147" s="2">
        <f>'[01_Entry.xlsx]Book'!A1147</f>
        <v/>
      </c>
      <c r="B1147" s="2">
        <f>'[01_Entry.xlsx]Book'!B1147</f>
        <v/>
      </c>
      <c r="C1147" s="2">
        <f>'[01_Entry.xlsx]Book'!D1147</f>
        <v/>
      </c>
      <c r="D1147" s="2">
        <f>'[01_Entry.xlsx]Book'!E1147</f>
        <v/>
      </c>
      <c r="E1147" s="2">
        <f>'[01_Entry.xlsx]Book'!O1147</f>
        <v/>
      </c>
      <c r="F1147" s="2">
        <f>'[01_Entry.xlsx]Book'!N1147</f>
        <v/>
      </c>
      <c r="G1147" s="3">
        <f>'[01_Entry.xlsx]Book'!L1147</f>
        <v/>
      </c>
      <c r="H1147" s="3">
        <f>'[01_Entry.xlsx]Book'!M1147</f>
        <v/>
      </c>
      <c r="I1147" s="3">
        <f>'[01_Entry.xlsx]Book'!K1147</f>
        <v/>
      </c>
      <c r="J1147" s="3">
        <f>'[01_Entry.xlsx]Book'!P1147</f>
        <v/>
      </c>
      <c r="K1147" s="3">
        <f>'[01_Entry.xlsx]Book'!F1147</f>
        <v/>
      </c>
      <c r="L1147" s="3">
        <f>'[01_Entry.xlsx]Book'!G1147</f>
        <v/>
      </c>
      <c r="M1147" s="3">
        <f>'[01_Entry.xlsx]Book'!I1147</f>
        <v/>
      </c>
      <c r="N1147" s="2">
        <f>IF($A1147="","",MID($A1147,6,2))</f>
        <v>0</v>
      </c>
      <c r="O1147" s="2">
        <f>IF(OR($C1147="",$C1147&lt;&gt;'Inv'!$D$12),"",N(O$1146)+1)</f>
        <v>0</v>
      </c>
    </row>
    <row r="1148" spans="1:15">
      <c r="A1148" s="2">
        <f>'[01_Entry.xlsx]Book'!A1148</f>
        <v/>
      </c>
      <c r="B1148" s="2">
        <f>'[01_Entry.xlsx]Book'!B1148</f>
        <v/>
      </c>
      <c r="C1148" s="2">
        <f>'[01_Entry.xlsx]Book'!D1148</f>
        <v/>
      </c>
      <c r="D1148" s="2">
        <f>'[01_Entry.xlsx]Book'!E1148</f>
        <v/>
      </c>
      <c r="E1148" s="2">
        <f>'[01_Entry.xlsx]Book'!O1148</f>
        <v/>
      </c>
      <c r="F1148" s="2">
        <f>'[01_Entry.xlsx]Book'!N1148</f>
        <v/>
      </c>
      <c r="G1148" s="3">
        <f>'[01_Entry.xlsx]Book'!L1148</f>
        <v/>
      </c>
      <c r="H1148" s="3">
        <f>'[01_Entry.xlsx]Book'!M1148</f>
        <v/>
      </c>
      <c r="I1148" s="3">
        <f>'[01_Entry.xlsx]Book'!K1148</f>
        <v/>
      </c>
      <c r="J1148" s="3">
        <f>'[01_Entry.xlsx]Book'!P1148</f>
        <v/>
      </c>
      <c r="K1148" s="3">
        <f>'[01_Entry.xlsx]Book'!F1148</f>
        <v/>
      </c>
      <c r="L1148" s="3">
        <f>'[01_Entry.xlsx]Book'!G1148</f>
        <v/>
      </c>
      <c r="M1148" s="3">
        <f>'[01_Entry.xlsx]Book'!I1148</f>
        <v/>
      </c>
      <c r="N1148" s="2">
        <f>IF($A1148="","",MID($A1148,6,2))</f>
        <v>0</v>
      </c>
      <c r="O1148" s="2">
        <f>IF(OR($C1148="",$C1148&lt;&gt;'Inv'!$D$12),"",N(O$1147)+1)</f>
        <v>0</v>
      </c>
    </row>
    <row r="1149" spans="1:15">
      <c r="A1149" s="2">
        <f>'[01_Entry.xlsx]Book'!A1149</f>
        <v/>
      </c>
      <c r="B1149" s="2">
        <f>'[01_Entry.xlsx]Book'!B1149</f>
        <v/>
      </c>
      <c r="C1149" s="2">
        <f>'[01_Entry.xlsx]Book'!D1149</f>
        <v/>
      </c>
      <c r="D1149" s="2">
        <f>'[01_Entry.xlsx]Book'!E1149</f>
        <v/>
      </c>
      <c r="E1149" s="2">
        <f>'[01_Entry.xlsx]Book'!O1149</f>
        <v/>
      </c>
      <c r="F1149" s="2">
        <f>'[01_Entry.xlsx]Book'!N1149</f>
        <v/>
      </c>
      <c r="G1149" s="3">
        <f>'[01_Entry.xlsx]Book'!L1149</f>
        <v/>
      </c>
      <c r="H1149" s="3">
        <f>'[01_Entry.xlsx]Book'!M1149</f>
        <v/>
      </c>
      <c r="I1149" s="3">
        <f>'[01_Entry.xlsx]Book'!K1149</f>
        <v/>
      </c>
      <c r="J1149" s="3">
        <f>'[01_Entry.xlsx]Book'!P1149</f>
        <v/>
      </c>
      <c r="K1149" s="3">
        <f>'[01_Entry.xlsx]Book'!F1149</f>
        <v/>
      </c>
      <c r="L1149" s="3">
        <f>'[01_Entry.xlsx]Book'!G1149</f>
        <v/>
      </c>
      <c r="M1149" s="3">
        <f>'[01_Entry.xlsx]Book'!I1149</f>
        <v/>
      </c>
      <c r="N1149" s="2">
        <f>IF($A1149="","",MID($A1149,6,2))</f>
        <v>0</v>
      </c>
      <c r="O1149" s="2">
        <f>IF(OR($C1149="",$C1149&lt;&gt;'Inv'!$D$12),"",N(O$1148)+1)</f>
        <v>0</v>
      </c>
    </row>
    <row r="1150" spans="1:15">
      <c r="A1150" s="2">
        <f>'[01_Entry.xlsx]Book'!A1150</f>
        <v/>
      </c>
      <c r="B1150" s="2">
        <f>'[01_Entry.xlsx]Book'!B1150</f>
        <v/>
      </c>
      <c r="C1150" s="2">
        <f>'[01_Entry.xlsx]Book'!D1150</f>
        <v/>
      </c>
      <c r="D1150" s="2">
        <f>'[01_Entry.xlsx]Book'!E1150</f>
        <v/>
      </c>
      <c r="E1150" s="2">
        <f>'[01_Entry.xlsx]Book'!O1150</f>
        <v/>
      </c>
      <c r="F1150" s="2">
        <f>'[01_Entry.xlsx]Book'!N1150</f>
        <v/>
      </c>
      <c r="G1150" s="3">
        <f>'[01_Entry.xlsx]Book'!L1150</f>
        <v/>
      </c>
      <c r="H1150" s="3">
        <f>'[01_Entry.xlsx]Book'!M1150</f>
        <v/>
      </c>
      <c r="I1150" s="3">
        <f>'[01_Entry.xlsx]Book'!K1150</f>
        <v/>
      </c>
      <c r="J1150" s="3">
        <f>'[01_Entry.xlsx]Book'!P1150</f>
        <v/>
      </c>
      <c r="K1150" s="3">
        <f>'[01_Entry.xlsx]Book'!F1150</f>
        <v/>
      </c>
      <c r="L1150" s="3">
        <f>'[01_Entry.xlsx]Book'!G1150</f>
        <v/>
      </c>
      <c r="M1150" s="3">
        <f>'[01_Entry.xlsx]Book'!I1150</f>
        <v/>
      </c>
      <c r="N1150" s="2">
        <f>IF($A1150="","",MID($A1150,6,2))</f>
        <v>0</v>
      </c>
      <c r="O1150" s="2">
        <f>IF(OR($C1150="",$C1150&lt;&gt;'Inv'!$D$12),"",N(O$1149)+1)</f>
        <v>0</v>
      </c>
    </row>
    <row r="1151" spans="1:15">
      <c r="A1151" s="2">
        <f>'[01_Entry.xlsx]Book'!A1151</f>
        <v/>
      </c>
      <c r="B1151" s="2">
        <f>'[01_Entry.xlsx]Book'!B1151</f>
        <v/>
      </c>
      <c r="C1151" s="2">
        <f>'[01_Entry.xlsx]Book'!D1151</f>
        <v/>
      </c>
      <c r="D1151" s="2">
        <f>'[01_Entry.xlsx]Book'!E1151</f>
        <v/>
      </c>
      <c r="E1151" s="2">
        <f>'[01_Entry.xlsx]Book'!O1151</f>
        <v/>
      </c>
      <c r="F1151" s="2">
        <f>'[01_Entry.xlsx]Book'!N1151</f>
        <v/>
      </c>
      <c r="G1151" s="3">
        <f>'[01_Entry.xlsx]Book'!L1151</f>
        <v/>
      </c>
      <c r="H1151" s="3">
        <f>'[01_Entry.xlsx]Book'!M1151</f>
        <v/>
      </c>
      <c r="I1151" s="3">
        <f>'[01_Entry.xlsx]Book'!K1151</f>
        <v/>
      </c>
      <c r="J1151" s="3">
        <f>'[01_Entry.xlsx]Book'!P1151</f>
        <v/>
      </c>
      <c r="K1151" s="3">
        <f>'[01_Entry.xlsx]Book'!F1151</f>
        <v/>
      </c>
      <c r="L1151" s="3">
        <f>'[01_Entry.xlsx]Book'!G1151</f>
        <v/>
      </c>
      <c r="M1151" s="3">
        <f>'[01_Entry.xlsx]Book'!I1151</f>
        <v/>
      </c>
      <c r="N1151" s="2">
        <f>IF($A1151="","",MID($A1151,6,2))</f>
        <v>0</v>
      </c>
      <c r="O1151" s="2">
        <f>IF(OR($C1151="",$C1151&lt;&gt;'Inv'!$D$12),"",N(O$1150)+1)</f>
        <v>0</v>
      </c>
    </row>
    <row r="1152" spans="1:15">
      <c r="A1152" s="2">
        <f>'[01_Entry.xlsx]Book'!A1152</f>
        <v/>
      </c>
      <c r="B1152" s="2">
        <f>'[01_Entry.xlsx]Book'!B1152</f>
        <v/>
      </c>
      <c r="C1152" s="2">
        <f>'[01_Entry.xlsx]Book'!D1152</f>
        <v/>
      </c>
      <c r="D1152" s="2">
        <f>'[01_Entry.xlsx]Book'!E1152</f>
        <v/>
      </c>
      <c r="E1152" s="2">
        <f>'[01_Entry.xlsx]Book'!O1152</f>
        <v/>
      </c>
      <c r="F1152" s="2">
        <f>'[01_Entry.xlsx]Book'!N1152</f>
        <v/>
      </c>
      <c r="G1152" s="3">
        <f>'[01_Entry.xlsx]Book'!L1152</f>
        <v/>
      </c>
      <c r="H1152" s="3">
        <f>'[01_Entry.xlsx]Book'!M1152</f>
        <v/>
      </c>
      <c r="I1152" s="3">
        <f>'[01_Entry.xlsx]Book'!K1152</f>
        <v/>
      </c>
      <c r="J1152" s="3">
        <f>'[01_Entry.xlsx]Book'!P1152</f>
        <v/>
      </c>
      <c r="K1152" s="3">
        <f>'[01_Entry.xlsx]Book'!F1152</f>
        <v/>
      </c>
      <c r="L1152" s="3">
        <f>'[01_Entry.xlsx]Book'!G1152</f>
        <v/>
      </c>
      <c r="M1152" s="3">
        <f>'[01_Entry.xlsx]Book'!I1152</f>
        <v/>
      </c>
      <c r="N1152" s="2">
        <f>IF($A1152="","",MID($A1152,6,2))</f>
        <v>0</v>
      </c>
      <c r="O1152" s="2">
        <f>IF(OR($C1152="",$C1152&lt;&gt;'Inv'!$D$12),"",N(O$1151)+1)</f>
        <v>0</v>
      </c>
    </row>
    <row r="1153" spans="1:15">
      <c r="A1153" s="2">
        <f>'[01_Entry.xlsx]Book'!A1153</f>
        <v/>
      </c>
      <c r="B1153" s="2">
        <f>'[01_Entry.xlsx]Book'!B1153</f>
        <v/>
      </c>
      <c r="C1153" s="2">
        <f>'[01_Entry.xlsx]Book'!D1153</f>
        <v/>
      </c>
      <c r="D1153" s="2">
        <f>'[01_Entry.xlsx]Book'!E1153</f>
        <v/>
      </c>
      <c r="E1153" s="2">
        <f>'[01_Entry.xlsx]Book'!O1153</f>
        <v/>
      </c>
      <c r="F1153" s="2">
        <f>'[01_Entry.xlsx]Book'!N1153</f>
        <v/>
      </c>
      <c r="G1153" s="3">
        <f>'[01_Entry.xlsx]Book'!L1153</f>
        <v/>
      </c>
      <c r="H1153" s="3">
        <f>'[01_Entry.xlsx]Book'!M1153</f>
        <v/>
      </c>
      <c r="I1153" s="3">
        <f>'[01_Entry.xlsx]Book'!K1153</f>
        <v/>
      </c>
      <c r="J1153" s="3">
        <f>'[01_Entry.xlsx]Book'!P1153</f>
        <v/>
      </c>
      <c r="K1153" s="3">
        <f>'[01_Entry.xlsx]Book'!F1153</f>
        <v/>
      </c>
      <c r="L1153" s="3">
        <f>'[01_Entry.xlsx]Book'!G1153</f>
        <v/>
      </c>
      <c r="M1153" s="3">
        <f>'[01_Entry.xlsx]Book'!I1153</f>
        <v/>
      </c>
      <c r="N1153" s="2">
        <f>IF($A1153="","",MID($A1153,6,2))</f>
        <v>0</v>
      </c>
      <c r="O1153" s="2">
        <f>IF(OR($C1153="",$C1153&lt;&gt;'Inv'!$D$12),"",N(O$1152)+1)</f>
        <v>0</v>
      </c>
    </row>
    <row r="1154" spans="1:15">
      <c r="A1154" s="2">
        <f>'[01_Entry.xlsx]Book'!A1154</f>
        <v/>
      </c>
      <c r="B1154" s="2">
        <f>'[01_Entry.xlsx]Book'!B1154</f>
        <v/>
      </c>
      <c r="C1154" s="2">
        <f>'[01_Entry.xlsx]Book'!D1154</f>
        <v/>
      </c>
      <c r="D1154" s="2">
        <f>'[01_Entry.xlsx]Book'!E1154</f>
        <v/>
      </c>
      <c r="E1154" s="2">
        <f>'[01_Entry.xlsx]Book'!O1154</f>
        <v/>
      </c>
      <c r="F1154" s="2">
        <f>'[01_Entry.xlsx]Book'!N1154</f>
        <v/>
      </c>
      <c r="G1154" s="3">
        <f>'[01_Entry.xlsx]Book'!L1154</f>
        <v/>
      </c>
      <c r="H1154" s="3">
        <f>'[01_Entry.xlsx]Book'!M1154</f>
        <v/>
      </c>
      <c r="I1154" s="3">
        <f>'[01_Entry.xlsx]Book'!K1154</f>
        <v/>
      </c>
      <c r="J1154" s="3">
        <f>'[01_Entry.xlsx]Book'!P1154</f>
        <v/>
      </c>
      <c r="K1154" s="3">
        <f>'[01_Entry.xlsx]Book'!F1154</f>
        <v/>
      </c>
      <c r="L1154" s="3">
        <f>'[01_Entry.xlsx]Book'!G1154</f>
        <v/>
      </c>
      <c r="M1154" s="3">
        <f>'[01_Entry.xlsx]Book'!I1154</f>
        <v/>
      </c>
      <c r="N1154" s="2">
        <f>IF($A1154="","",MID($A1154,6,2))</f>
        <v>0</v>
      </c>
      <c r="O1154" s="2">
        <f>IF(OR($C1154="",$C1154&lt;&gt;'Inv'!$D$12),"",N(O$1153)+1)</f>
        <v>0</v>
      </c>
    </row>
    <row r="1155" spans="1:15">
      <c r="A1155" s="2">
        <f>'[01_Entry.xlsx]Book'!A1155</f>
        <v/>
      </c>
      <c r="B1155" s="2">
        <f>'[01_Entry.xlsx]Book'!B1155</f>
        <v/>
      </c>
      <c r="C1155" s="2">
        <f>'[01_Entry.xlsx]Book'!D1155</f>
        <v/>
      </c>
      <c r="D1155" s="2">
        <f>'[01_Entry.xlsx]Book'!E1155</f>
        <v/>
      </c>
      <c r="E1155" s="2">
        <f>'[01_Entry.xlsx]Book'!O1155</f>
        <v/>
      </c>
      <c r="F1155" s="2">
        <f>'[01_Entry.xlsx]Book'!N1155</f>
        <v/>
      </c>
      <c r="G1155" s="3">
        <f>'[01_Entry.xlsx]Book'!L1155</f>
        <v/>
      </c>
      <c r="H1155" s="3">
        <f>'[01_Entry.xlsx]Book'!M1155</f>
        <v/>
      </c>
      <c r="I1155" s="3">
        <f>'[01_Entry.xlsx]Book'!K1155</f>
        <v/>
      </c>
      <c r="J1155" s="3">
        <f>'[01_Entry.xlsx]Book'!P1155</f>
        <v/>
      </c>
      <c r="K1155" s="3">
        <f>'[01_Entry.xlsx]Book'!F1155</f>
        <v/>
      </c>
      <c r="L1155" s="3">
        <f>'[01_Entry.xlsx]Book'!G1155</f>
        <v/>
      </c>
      <c r="M1155" s="3">
        <f>'[01_Entry.xlsx]Book'!I1155</f>
        <v/>
      </c>
      <c r="N1155" s="2">
        <f>IF($A1155="","",MID($A1155,6,2))</f>
        <v>0</v>
      </c>
      <c r="O1155" s="2">
        <f>IF(OR($C1155="",$C1155&lt;&gt;'Inv'!$D$12),"",N(O$1154)+1)</f>
        <v>0</v>
      </c>
    </row>
    <row r="1156" spans="1:15">
      <c r="A1156" s="2">
        <f>'[01_Entry.xlsx]Book'!A1156</f>
        <v/>
      </c>
      <c r="B1156" s="2">
        <f>'[01_Entry.xlsx]Book'!B1156</f>
        <v/>
      </c>
      <c r="C1156" s="2">
        <f>'[01_Entry.xlsx]Book'!D1156</f>
        <v/>
      </c>
      <c r="D1156" s="2">
        <f>'[01_Entry.xlsx]Book'!E1156</f>
        <v/>
      </c>
      <c r="E1156" s="2">
        <f>'[01_Entry.xlsx]Book'!O1156</f>
        <v/>
      </c>
      <c r="F1156" s="2">
        <f>'[01_Entry.xlsx]Book'!N1156</f>
        <v/>
      </c>
      <c r="G1156" s="3">
        <f>'[01_Entry.xlsx]Book'!L1156</f>
        <v/>
      </c>
      <c r="H1156" s="3">
        <f>'[01_Entry.xlsx]Book'!M1156</f>
        <v/>
      </c>
      <c r="I1156" s="3">
        <f>'[01_Entry.xlsx]Book'!K1156</f>
        <v/>
      </c>
      <c r="J1156" s="3">
        <f>'[01_Entry.xlsx]Book'!P1156</f>
        <v/>
      </c>
      <c r="K1156" s="3">
        <f>'[01_Entry.xlsx]Book'!F1156</f>
        <v/>
      </c>
      <c r="L1156" s="3">
        <f>'[01_Entry.xlsx]Book'!G1156</f>
        <v/>
      </c>
      <c r="M1156" s="3">
        <f>'[01_Entry.xlsx]Book'!I1156</f>
        <v/>
      </c>
      <c r="N1156" s="2">
        <f>IF($A1156="","",MID($A1156,6,2))</f>
        <v>0</v>
      </c>
      <c r="O1156" s="2">
        <f>IF(OR($C1156="",$C1156&lt;&gt;'Inv'!$D$12),"",N(O$1155)+1)</f>
        <v>0</v>
      </c>
    </row>
    <row r="1157" spans="1:15">
      <c r="A1157" s="2">
        <f>'[01_Entry.xlsx]Book'!A1157</f>
        <v/>
      </c>
      <c r="B1157" s="2">
        <f>'[01_Entry.xlsx]Book'!B1157</f>
        <v/>
      </c>
      <c r="C1157" s="2">
        <f>'[01_Entry.xlsx]Book'!D1157</f>
        <v/>
      </c>
      <c r="D1157" s="2">
        <f>'[01_Entry.xlsx]Book'!E1157</f>
        <v/>
      </c>
      <c r="E1157" s="2">
        <f>'[01_Entry.xlsx]Book'!O1157</f>
        <v/>
      </c>
      <c r="F1157" s="2">
        <f>'[01_Entry.xlsx]Book'!N1157</f>
        <v/>
      </c>
      <c r="G1157" s="3">
        <f>'[01_Entry.xlsx]Book'!L1157</f>
        <v/>
      </c>
      <c r="H1157" s="3">
        <f>'[01_Entry.xlsx]Book'!M1157</f>
        <v/>
      </c>
      <c r="I1157" s="3">
        <f>'[01_Entry.xlsx]Book'!K1157</f>
        <v/>
      </c>
      <c r="J1157" s="3">
        <f>'[01_Entry.xlsx]Book'!P1157</f>
        <v/>
      </c>
      <c r="K1157" s="3">
        <f>'[01_Entry.xlsx]Book'!F1157</f>
        <v/>
      </c>
      <c r="L1157" s="3">
        <f>'[01_Entry.xlsx]Book'!G1157</f>
        <v/>
      </c>
      <c r="M1157" s="3">
        <f>'[01_Entry.xlsx]Book'!I1157</f>
        <v/>
      </c>
      <c r="N1157" s="2">
        <f>IF($A1157="","",MID($A1157,6,2))</f>
        <v>0</v>
      </c>
      <c r="O1157" s="2">
        <f>IF(OR($C1157="",$C1157&lt;&gt;'Inv'!$D$12),"",N(O$1156)+1)</f>
        <v>0</v>
      </c>
    </row>
    <row r="1158" spans="1:15">
      <c r="A1158" s="2">
        <f>'[01_Entry.xlsx]Book'!A1158</f>
        <v/>
      </c>
      <c r="B1158" s="2">
        <f>'[01_Entry.xlsx]Book'!B1158</f>
        <v/>
      </c>
      <c r="C1158" s="2">
        <f>'[01_Entry.xlsx]Book'!D1158</f>
        <v/>
      </c>
      <c r="D1158" s="2">
        <f>'[01_Entry.xlsx]Book'!E1158</f>
        <v/>
      </c>
      <c r="E1158" s="2">
        <f>'[01_Entry.xlsx]Book'!O1158</f>
        <v/>
      </c>
      <c r="F1158" s="2">
        <f>'[01_Entry.xlsx]Book'!N1158</f>
        <v/>
      </c>
      <c r="G1158" s="3">
        <f>'[01_Entry.xlsx]Book'!L1158</f>
        <v/>
      </c>
      <c r="H1158" s="3">
        <f>'[01_Entry.xlsx]Book'!M1158</f>
        <v/>
      </c>
      <c r="I1158" s="3">
        <f>'[01_Entry.xlsx]Book'!K1158</f>
        <v/>
      </c>
      <c r="J1158" s="3">
        <f>'[01_Entry.xlsx]Book'!P1158</f>
        <v/>
      </c>
      <c r="K1158" s="3">
        <f>'[01_Entry.xlsx]Book'!F1158</f>
        <v/>
      </c>
      <c r="L1158" s="3">
        <f>'[01_Entry.xlsx]Book'!G1158</f>
        <v/>
      </c>
      <c r="M1158" s="3">
        <f>'[01_Entry.xlsx]Book'!I1158</f>
        <v/>
      </c>
      <c r="N1158" s="2">
        <f>IF($A1158="","",MID($A1158,6,2))</f>
        <v>0</v>
      </c>
      <c r="O1158" s="2">
        <f>IF(OR($C1158="",$C1158&lt;&gt;'Inv'!$D$12),"",N(O$1157)+1)</f>
        <v>0</v>
      </c>
    </row>
    <row r="1159" spans="1:15">
      <c r="A1159" s="2">
        <f>'[01_Entry.xlsx]Book'!A1159</f>
        <v/>
      </c>
      <c r="B1159" s="2">
        <f>'[01_Entry.xlsx]Book'!B1159</f>
        <v/>
      </c>
      <c r="C1159" s="2">
        <f>'[01_Entry.xlsx]Book'!D1159</f>
        <v/>
      </c>
      <c r="D1159" s="2">
        <f>'[01_Entry.xlsx]Book'!E1159</f>
        <v/>
      </c>
      <c r="E1159" s="2">
        <f>'[01_Entry.xlsx]Book'!O1159</f>
        <v/>
      </c>
      <c r="F1159" s="2">
        <f>'[01_Entry.xlsx]Book'!N1159</f>
        <v/>
      </c>
      <c r="G1159" s="3">
        <f>'[01_Entry.xlsx]Book'!L1159</f>
        <v/>
      </c>
      <c r="H1159" s="3">
        <f>'[01_Entry.xlsx]Book'!M1159</f>
        <v/>
      </c>
      <c r="I1159" s="3">
        <f>'[01_Entry.xlsx]Book'!K1159</f>
        <v/>
      </c>
      <c r="J1159" s="3">
        <f>'[01_Entry.xlsx]Book'!P1159</f>
        <v/>
      </c>
      <c r="K1159" s="3">
        <f>'[01_Entry.xlsx]Book'!F1159</f>
        <v/>
      </c>
      <c r="L1159" s="3">
        <f>'[01_Entry.xlsx]Book'!G1159</f>
        <v/>
      </c>
      <c r="M1159" s="3">
        <f>'[01_Entry.xlsx]Book'!I1159</f>
        <v/>
      </c>
      <c r="N1159" s="2">
        <f>IF($A1159="","",MID($A1159,6,2))</f>
        <v>0</v>
      </c>
      <c r="O1159" s="2">
        <f>IF(OR($C1159="",$C1159&lt;&gt;'Inv'!$D$12),"",N(O$1158)+1)</f>
        <v>0</v>
      </c>
    </row>
    <row r="1160" spans="1:15">
      <c r="A1160" s="2">
        <f>'[01_Entry.xlsx]Book'!A1160</f>
        <v/>
      </c>
      <c r="B1160" s="2">
        <f>'[01_Entry.xlsx]Book'!B1160</f>
        <v/>
      </c>
      <c r="C1160" s="2">
        <f>'[01_Entry.xlsx]Book'!D1160</f>
        <v/>
      </c>
      <c r="D1160" s="2">
        <f>'[01_Entry.xlsx]Book'!E1160</f>
        <v/>
      </c>
      <c r="E1160" s="2">
        <f>'[01_Entry.xlsx]Book'!O1160</f>
        <v/>
      </c>
      <c r="F1160" s="2">
        <f>'[01_Entry.xlsx]Book'!N1160</f>
        <v/>
      </c>
      <c r="G1160" s="3">
        <f>'[01_Entry.xlsx]Book'!L1160</f>
        <v/>
      </c>
      <c r="H1160" s="3">
        <f>'[01_Entry.xlsx]Book'!M1160</f>
        <v/>
      </c>
      <c r="I1160" s="3">
        <f>'[01_Entry.xlsx]Book'!K1160</f>
        <v/>
      </c>
      <c r="J1160" s="3">
        <f>'[01_Entry.xlsx]Book'!P1160</f>
        <v/>
      </c>
      <c r="K1160" s="3">
        <f>'[01_Entry.xlsx]Book'!F1160</f>
        <v/>
      </c>
      <c r="L1160" s="3">
        <f>'[01_Entry.xlsx]Book'!G1160</f>
        <v/>
      </c>
      <c r="M1160" s="3">
        <f>'[01_Entry.xlsx]Book'!I1160</f>
        <v/>
      </c>
      <c r="N1160" s="2">
        <f>IF($A1160="","",MID($A1160,6,2))</f>
        <v>0</v>
      </c>
      <c r="O1160" s="2">
        <f>IF(OR($C1160="",$C1160&lt;&gt;'Inv'!$D$12),"",N(O$1159)+1)</f>
        <v>0</v>
      </c>
    </row>
    <row r="1161" spans="1:15">
      <c r="A1161" s="2">
        <f>'[01_Entry.xlsx]Book'!A1161</f>
        <v/>
      </c>
      <c r="B1161" s="2">
        <f>'[01_Entry.xlsx]Book'!B1161</f>
        <v/>
      </c>
      <c r="C1161" s="2">
        <f>'[01_Entry.xlsx]Book'!D1161</f>
        <v/>
      </c>
      <c r="D1161" s="2">
        <f>'[01_Entry.xlsx]Book'!E1161</f>
        <v/>
      </c>
      <c r="E1161" s="2">
        <f>'[01_Entry.xlsx]Book'!O1161</f>
        <v/>
      </c>
      <c r="F1161" s="2">
        <f>'[01_Entry.xlsx]Book'!N1161</f>
        <v/>
      </c>
      <c r="G1161" s="3">
        <f>'[01_Entry.xlsx]Book'!L1161</f>
        <v/>
      </c>
      <c r="H1161" s="3">
        <f>'[01_Entry.xlsx]Book'!M1161</f>
        <v/>
      </c>
      <c r="I1161" s="3">
        <f>'[01_Entry.xlsx]Book'!K1161</f>
        <v/>
      </c>
      <c r="J1161" s="3">
        <f>'[01_Entry.xlsx]Book'!P1161</f>
        <v/>
      </c>
      <c r="K1161" s="3">
        <f>'[01_Entry.xlsx]Book'!F1161</f>
        <v/>
      </c>
      <c r="L1161" s="3">
        <f>'[01_Entry.xlsx]Book'!G1161</f>
        <v/>
      </c>
      <c r="M1161" s="3">
        <f>'[01_Entry.xlsx]Book'!I1161</f>
        <v/>
      </c>
      <c r="N1161" s="2">
        <f>IF($A1161="","",MID($A1161,6,2))</f>
        <v>0</v>
      </c>
      <c r="O1161" s="2">
        <f>IF(OR($C1161="",$C1161&lt;&gt;'Inv'!$D$12),"",N(O$1160)+1)</f>
        <v>0</v>
      </c>
    </row>
    <row r="1162" spans="1:15">
      <c r="A1162" s="2">
        <f>'[01_Entry.xlsx]Book'!A1162</f>
        <v/>
      </c>
      <c r="B1162" s="2">
        <f>'[01_Entry.xlsx]Book'!B1162</f>
        <v/>
      </c>
      <c r="C1162" s="2">
        <f>'[01_Entry.xlsx]Book'!D1162</f>
        <v/>
      </c>
      <c r="D1162" s="2">
        <f>'[01_Entry.xlsx]Book'!E1162</f>
        <v/>
      </c>
      <c r="E1162" s="2">
        <f>'[01_Entry.xlsx]Book'!O1162</f>
        <v/>
      </c>
      <c r="F1162" s="2">
        <f>'[01_Entry.xlsx]Book'!N1162</f>
        <v/>
      </c>
      <c r="G1162" s="3">
        <f>'[01_Entry.xlsx]Book'!L1162</f>
        <v/>
      </c>
      <c r="H1162" s="3">
        <f>'[01_Entry.xlsx]Book'!M1162</f>
        <v/>
      </c>
      <c r="I1162" s="3">
        <f>'[01_Entry.xlsx]Book'!K1162</f>
        <v/>
      </c>
      <c r="J1162" s="3">
        <f>'[01_Entry.xlsx]Book'!P1162</f>
        <v/>
      </c>
      <c r="K1162" s="3">
        <f>'[01_Entry.xlsx]Book'!F1162</f>
        <v/>
      </c>
      <c r="L1162" s="3">
        <f>'[01_Entry.xlsx]Book'!G1162</f>
        <v/>
      </c>
      <c r="M1162" s="3">
        <f>'[01_Entry.xlsx]Book'!I1162</f>
        <v/>
      </c>
      <c r="N1162" s="2">
        <f>IF($A1162="","",MID($A1162,6,2))</f>
        <v>0</v>
      </c>
      <c r="O1162" s="2">
        <f>IF(OR($C1162="",$C1162&lt;&gt;'Inv'!$D$12),"",N(O$1161)+1)</f>
        <v>0</v>
      </c>
    </row>
    <row r="1163" spans="1:15">
      <c r="A1163" s="2">
        <f>'[01_Entry.xlsx]Book'!A1163</f>
        <v/>
      </c>
      <c r="B1163" s="2">
        <f>'[01_Entry.xlsx]Book'!B1163</f>
        <v/>
      </c>
      <c r="C1163" s="2">
        <f>'[01_Entry.xlsx]Book'!D1163</f>
        <v/>
      </c>
      <c r="D1163" s="2">
        <f>'[01_Entry.xlsx]Book'!E1163</f>
        <v/>
      </c>
      <c r="E1163" s="2">
        <f>'[01_Entry.xlsx]Book'!O1163</f>
        <v/>
      </c>
      <c r="F1163" s="2">
        <f>'[01_Entry.xlsx]Book'!N1163</f>
        <v/>
      </c>
      <c r="G1163" s="3">
        <f>'[01_Entry.xlsx]Book'!L1163</f>
        <v/>
      </c>
      <c r="H1163" s="3">
        <f>'[01_Entry.xlsx]Book'!M1163</f>
        <v/>
      </c>
      <c r="I1163" s="3">
        <f>'[01_Entry.xlsx]Book'!K1163</f>
        <v/>
      </c>
      <c r="J1163" s="3">
        <f>'[01_Entry.xlsx]Book'!P1163</f>
        <v/>
      </c>
      <c r="K1163" s="3">
        <f>'[01_Entry.xlsx]Book'!F1163</f>
        <v/>
      </c>
      <c r="L1163" s="3">
        <f>'[01_Entry.xlsx]Book'!G1163</f>
        <v/>
      </c>
      <c r="M1163" s="3">
        <f>'[01_Entry.xlsx]Book'!I1163</f>
        <v/>
      </c>
      <c r="N1163" s="2">
        <f>IF($A1163="","",MID($A1163,6,2))</f>
        <v>0</v>
      </c>
      <c r="O1163" s="2">
        <f>IF(OR($C1163="",$C1163&lt;&gt;'Inv'!$D$12),"",N(O$1162)+1)</f>
        <v>0</v>
      </c>
    </row>
    <row r="1164" spans="1:15">
      <c r="A1164" s="2">
        <f>'[01_Entry.xlsx]Book'!A1164</f>
        <v/>
      </c>
      <c r="B1164" s="2">
        <f>'[01_Entry.xlsx]Book'!B1164</f>
        <v/>
      </c>
      <c r="C1164" s="2">
        <f>'[01_Entry.xlsx]Book'!D1164</f>
        <v/>
      </c>
      <c r="D1164" s="2">
        <f>'[01_Entry.xlsx]Book'!E1164</f>
        <v/>
      </c>
      <c r="E1164" s="2">
        <f>'[01_Entry.xlsx]Book'!O1164</f>
        <v/>
      </c>
      <c r="F1164" s="2">
        <f>'[01_Entry.xlsx]Book'!N1164</f>
        <v/>
      </c>
      <c r="G1164" s="3">
        <f>'[01_Entry.xlsx]Book'!L1164</f>
        <v/>
      </c>
      <c r="H1164" s="3">
        <f>'[01_Entry.xlsx]Book'!M1164</f>
        <v/>
      </c>
      <c r="I1164" s="3">
        <f>'[01_Entry.xlsx]Book'!K1164</f>
        <v/>
      </c>
      <c r="J1164" s="3">
        <f>'[01_Entry.xlsx]Book'!P1164</f>
        <v/>
      </c>
      <c r="K1164" s="3">
        <f>'[01_Entry.xlsx]Book'!F1164</f>
        <v/>
      </c>
      <c r="L1164" s="3">
        <f>'[01_Entry.xlsx]Book'!G1164</f>
        <v/>
      </c>
      <c r="M1164" s="3">
        <f>'[01_Entry.xlsx]Book'!I1164</f>
        <v/>
      </c>
      <c r="N1164" s="2">
        <f>IF($A1164="","",MID($A1164,6,2))</f>
        <v>0</v>
      </c>
      <c r="O1164" s="2">
        <f>IF(OR($C1164="",$C1164&lt;&gt;'Inv'!$D$12),"",N(O$1163)+1)</f>
        <v>0</v>
      </c>
    </row>
    <row r="1165" spans="1:15">
      <c r="A1165" s="2">
        <f>'[01_Entry.xlsx]Book'!A1165</f>
        <v/>
      </c>
      <c r="B1165" s="2">
        <f>'[01_Entry.xlsx]Book'!B1165</f>
        <v/>
      </c>
      <c r="C1165" s="2">
        <f>'[01_Entry.xlsx]Book'!D1165</f>
        <v/>
      </c>
      <c r="D1165" s="2">
        <f>'[01_Entry.xlsx]Book'!E1165</f>
        <v/>
      </c>
      <c r="E1165" s="2">
        <f>'[01_Entry.xlsx]Book'!O1165</f>
        <v/>
      </c>
      <c r="F1165" s="2">
        <f>'[01_Entry.xlsx]Book'!N1165</f>
        <v/>
      </c>
      <c r="G1165" s="3">
        <f>'[01_Entry.xlsx]Book'!L1165</f>
        <v/>
      </c>
      <c r="H1165" s="3">
        <f>'[01_Entry.xlsx]Book'!M1165</f>
        <v/>
      </c>
      <c r="I1165" s="3">
        <f>'[01_Entry.xlsx]Book'!K1165</f>
        <v/>
      </c>
      <c r="J1165" s="3">
        <f>'[01_Entry.xlsx]Book'!P1165</f>
        <v/>
      </c>
      <c r="K1165" s="3">
        <f>'[01_Entry.xlsx]Book'!F1165</f>
        <v/>
      </c>
      <c r="L1165" s="3">
        <f>'[01_Entry.xlsx]Book'!G1165</f>
        <v/>
      </c>
      <c r="M1165" s="3">
        <f>'[01_Entry.xlsx]Book'!I1165</f>
        <v/>
      </c>
      <c r="N1165" s="2">
        <f>IF($A1165="","",MID($A1165,6,2))</f>
        <v>0</v>
      </c>
      <c r="O1165" s="2">
        <f>IF(OR($C1165="",$C1165&lt;&gt;'Inv'!$D$12),"",N(O$1164)+1)</f>
        <v>0</v>
      </c>
    </row>
    <row r="1166" spans="1:15">
      <c r="A1166" s="2">
        <f>'[01_Entry.xlsx]Book'!A1166</f>
        <v/>
      </c>
      <c r="B1166" s="2">
        <f>'[01_Entry.xlsx]Book'!B1166</f>
        <v/>
      </c>
      <c r="C1166" s="2">
        <f>'[01_Entry.xlsx]Book'!D1166</f>
        <v/>
      </c>
      <c r="D1166" s="2">
        <f>'[01_Entry.xlsx]Book'!E1166</f>
        <v/>
      </c>
      <c r="E1166" s="2">
        <f>'[01_Entry.xlsx]Book'!O1166</f>
        <v/>
      </c>
      <c r="F1166" s="2">
        <f>'[01_Entry.xlsx]Book'!N1166</f>
        <v/>
      </c>
      <c r="G1166" s="3">
        <f>'[01_Entry.xlsx]Book'!L1166</f>
        <v/>
      </c>
      <c r="H1166" s="3">
        <f>'[01_Entry.xlsx]Book'!M1166</f>
        <v/>
      </c>
      <c r="I1166" s="3">
        <f>'[01_Entry.xlsx]Book'!K1166</f>
        <v/>
      </c>
      <c r="J1166" s="3">
        <f>'[01_Entry.xlsx]Book'!P1166</f>
        <v/>
      </c>
      <c r="K1166" s="3">
        <f>'[01_Entry.xlsx]Book'!F1166</f>
        <v/>
      </c>
      <c r="L1166" s="3">
        <f>'[01_Entry.xlsx]Book'!G1166</f>
        <v/>
      </c>
      <c r="M1166" s="3">
        <f>'[01_Entry.xlsx]Book'!I1166</f>
        <v/>
      </c>
      <c r="N1166" s="2">
        <f>IF($A1166="","",MID($A1166,6,2))</f>
        <v>0</v>
      </c>
      <c r="O1166" s="2">
        <f>IF(OR($C1166="",$C1166&lt;&gt;'Inv'!$D$12),"",N(O$1165)+1)</f>
        <v>0</v>
      </c>
    </row>
    <row r="1167" spans="1:15">
      <c r="A1167" s="2">
        <f>'[01_Entry.xlsx]Book'!A1167</f>
        <v/>
      </c>
      <c r="B1167" s="2">
        <f>'[01_Entry.xlsx]Book'!B1167</f>
        <v/>
      </c>
      <c r="C1167" s="2">
        <f>'[01_Entry.xlsx]Book'!D1167</f>
        <v/>
      </c>
      <c r="D1167" s="2">
        <f>'[01_Entry.xlsx]Book'!E1167</f>
        <v/>
      </c>
      <c r="E1167" s="2">
        <f>'[01_Entry.xlsx]Book'!O1167</f>
        <v/>
      </c>
      <c r="F1167" s="2">
        <f>'[01_Entry.xlsx]Book'!N1167</f>
        <v/>
      </c>
      <c r="G1167" s="3">
        <f>'[01_Entry.xlsx]Book'!L1167</f>
        <v/>
      </c>
      <c r="H1167" s="3">
        <f>'[01_Entry.xlsx]Book'!M1167</f>
        <v/>
      </c>
      <c r="I1167" s="3">
        <f>'[01_Entry.xlsx]Book'!K1167</f>
        <v/>
      </c>
      <c r="J1167" s="3">
        <f>'[01_Entry.xlsx]Book'!P1167</f>
        <v/>
      </c>
      <c r="K1167" s="3">
        <f>'[01_Entry.xlsx]Book'!F1167</f>
        <v/>
      </c>
      <c r="L1167" s="3">
        <f>'[01_Entry.xlsx]Book'!G1167</f>
        <v/>
      </c>
      <c r="M1167" s="3">
        <f>'[01_Entry.xlsx]Book'!I1167</f>
        <v/>
      </c>
      <c r="N1167" s="2">
        <f>IF($A1167="","",MID($A1167,6,2))</f>
        <v>0</v>
      </c>
      <c r="O1167" s="2">
        <f>IF(OR($C1167="",$C1167&lt;&gt;'Inv'!$D$12),"",N(O$1166)+1)</f>
        <v>0</v>
      </c>
    </row>
    <row r="1168" spans="1:15">
      <c r="A1168" s="2">
        <f>'[01_Entry.xlsx]Book'!A1168</f>
        <v/>
      </c>
      <c r="B1168" s="2">
        <f>'[01_Entry.xlsx]Book'!B1168</f>
        <v/>
      </c>
      <c r="C1168" s="2">
        <f>'[01_Entry.xlsx]Book'!D1168</f>
        <v/>
      </c>
      <c r="D1168" s="2">
        <f>'[01_Entry.xlsx]Book'!E1168</f>
        <v/>
      </c>
      <c r="E1168" s="2">
        <f>'[01_Entry.xlsx]Book'!O1168</f>
        <v/>
      </c>
      <c r="F1168" s="2">
        <f>'[01_Entry.xlsx]Book'!N1168</f>
        <v/>
      </c>
      <c r="G1168" s="3">
        <f>'[01_Entry.xlsx]Book'!L1168</f>
        <v/>
      </c>
      <c r="H1168" s="3">
        <f>'[01_Entry.xlsx]Book'!M1168</f>
        <v/>
      </c>
      <c r="I1168" s="3">
        <f>'[01_Entry.xlsx]Book'!K1168</f>
        <v/>
      </c>
      <c r="J1168" s="3">
        <f>'[01_Entry.xlsx]Book'!P1168</f>
        <v/>
      </c>
      <c r="K1168" s="3">
        <f>'[01_Entry.xlsx]Book'!F1168</f>
        <v/>
      </c>
      <c r="L1168" s="3">
        <f>'[01_Entry.xlsx]Book'!G1168</f>
        <v/>
      </c>
      <c r="M1168" s="3">
        <f>'[01_Entry.xlsx]Book'!I1168</f>
        <v/>
      </c>
      <c r="N1168" s="2">
        <f>IF($A1168="","",MID($A1168,6,2))</f>
        <v>0</v>
      </c>
      <c r="O1168" s="2">
        <f>IF(OR($C1168="",$C1168&lt;&gt;'Inv'!$D$12),"",N(O$1167)+1)</f>
        <v>0</v>
      </c>
    </row>
    <row r="1169" spans="1:15">
      <c r="A1169" s="2">
        <f>'[01_Entry.xlsx]Book'!A1169</f>
        <v/>
      </c>
      <c r="B1169" s="2">
        <f>'[01_Entry.xlsx]Book'!B1169</f>
        <v/>
      </c>
      <c r="C1169" s="2">
        <f>'[01_Entry.xlsx]Book'!D1169</f>
        <v/>
      </c>
      <c r="D1169" s="2">
        <f>'[01_Entry.xlsx]Book'!E1169</f>
        <v/>
      </c>
      <c r="E1169" s="2">
        <f>'[01_Entry.xlsx]Book'!O1169</f>
        <v/>
      </c>
      <c r="F1169" s="2">
        <f>'[01_Entry.xlsx]Book'!N1169</f>
        <v/>
      </c>
      <c r="G1169" s="3">
        <f>'[01_Entry.xlsx]Book'!L1169</f>
        <v/>
      </c>
      <c r="H1169" s="3">
        <f>'[01_Entry.xlsx]Book'!M1169</f>
        <v/>
      </c>
      <c r="I1169" s="3">
        <f>'[01_Entry.xlsx]Book'!K1169</f>
        <v/>
      </c>
      <c r="J1169" s="3">
        <f>'[01_Entry.xlsx]Book'!P1169</f>
        <v/>
      </c>
      <c r="K1169" s="3">
        <f>'[01_Entry.xlsx]Book'!F1169</f>
        <v/>
      </c>
      <c r="L1169" s="3">
        <f>'[01_Entry.xlsx]Book'!G1169</f>
        <v/>
      </c>
      <c r="M1169" s="3">
        <f>'[01_Entry.xlsx]Book'!I1169</f>
        <v/>
      </c>
      <c r="N1169" s="2">
        <f>IF($A1169="","",MID($A1169,6,2))</f>
        <v>0</v>
      </c>
      <c r="O1169" s="2">
        <f>IF(OR($C1169="",$C1169&lt;&gt;'Inv'!$D$12),"",N(O$1168)+1)</f>
        <v>0</v>
      </c>
    </row>
    <row r="1170" spans="1:15">
      <c r="A1170" s="2">
        <f>'[01_Entry.xlsx]Book'!A1170</f>
        <v/>
      </c>
      <c r="B1170" s="2">
        <f>'[01_Entry.xlsx]Book'!B1170</f>
        <v/>
      </c>
      <c r="C1170" s="2">
        <f>'[01_Entry.xlsx]Book'!D1170</f>
        <v/>
      </c>
      <c r="D1170" s="2">
        <f>'[01_Entry.xlsx]Book'!E1170</f>
        <v/>
      </c>
      <c r="E1170" s="2">
        <f>'[01_Entry.xlsx]Book'!O1170</f>
        <v/>
      </c>
      <c r="F1170" s="2">
        <f>'[01_Entry.xlsx]Book'!N1170</f>
        <v/>
      </c>
      <c r="G1170" s="3">
        <f>'[01_Entry.xlsx]Book'!L1170</f>
        <v/>
      </c>
      <c r="H1170" s="3">
        <f>'[01_Entry.xlsx]Book'!M1170</f>
        <v/>
      </c>
      <c r="I1170" s="3">
        <f>'[01_Entry.xlsx]Book'!K1170</f>
        <v/>
      </c>
      <c r="J1170" s="3">
        <f>'[01_Entry.xlsx]Book'!P1170</f>
        <v/>
      </c>
      <c r="K1170" s="3">
        <f>'[01_Entry.xlsx]Book'!F1170</f>
        <v/>
      </c>
      <c r="L1170" s="3">
        <f>'[01_Entry.xlsx]Book'!G1170</f>
        <v/>
      </c>
      <c r="M1170" s="3">
        <f>'[01_Entry.xlsx]Book'!I1170</f>
        <v/>
      </c>
      <c r="N1170" s="2">
        <f>IF($A1170="","",MID($A1170,6,2))</f>
        <v>0</v>
      </c>
      <c r="O1170" s="2">
        <f>IF(OR($C1170="",$C1170&lt;&gt;'Inv'!$D$12),"",N(O$1169)+1)</f>
        <v>0</v>
      </c>
    </row>
    <row r="1171" spans="1:15">
      <c r="A1171" s="2">
        <f>'[01_Entry.xlsx]Book'!A1171</f>
        <v/>
      </c>
      <c r="B1171" s="2">
        <f>'[01_Entry.xlsx]Book'!B1171</f>
        <v/>
      </c>
      <c r="C1171" s="2">
        <f>'[01_Entry.xlsx]Book'!D1171</f>
        <v/>
      </c>
      <c r="D1171" s="2">
        <f>'[01_Entry.xlsx]Book'!E1171</f>
        <v/>
      </c>
      <c r="E1171" s="2">
        <f>'[01_Entry.xlsx]Book'!O1171</f>
        <v/>
      </c>
      <c r="F1171" s="2">
        <f>'[01_Entry.xlsx]Book'!N1171</f>
        <v/>
      </c>
      <c r="G1171" s="3">
        <f>'[01_Entry.xlsx]Book'!L1171</f>
        <v/>
      </c>
      <c r="H1171" s="3">
        <f>'[01_Entry.xlsx]Book'!M1171</f>
        <v/>
      </c>
      <c r="I1171" s="3">
        <f>'[01_Entry.xlsx]Book'!K1171</f>
        <v/>
      </c>
      <c r="J1171" s="3">
        <f>'[01_Entry.xlsx]Book'!P1171</f>
        <v/>
      </c>
      <c r="K1171" s="3">
        <f>'[01_Entry.xlsx]Book'!F1171</f>
        <v/>
      </c>
      <c r="L1171" s="3">
        <f>'[01_Entry.xlsx]Book'!G1171</f>
        <v/>
      </c>
      <c r="M1171" s="3">
        <f>'[01_Entry.xlsx]Book'!I1171</f>
        <v/>
      </c>
      <c r="N1171" s="2">
        <f>IF($A1171="","",MID($A1171,6,2))</f>
        <v>0</v>
      </c>
      <c r="O1171" s="2">
        <f>IF(OR($C1171="",$C1171&lt;&gt;'Inv'!$D$12),"",N(O$1170)+1)</f>
        <v>0</v>
      </c>
    </row>
    <row r="1172" spans="1:15">
      <c r="A1172" s="2">
        <f>'[01_Entry.xlsx]Book'!A1172</f>
        <v/>
      </c>
      <c r="B1172" s="2">
        <f>'[01_Entry.xlsx]Book'!B1172</f>
        <v/>
      </c>
      <c r="C1172" s="2">
        <f>'[01_Entry.xlsx]Book'!D1172</f>
        <v/>
      </c>
      <c r="D1172" s="2">
        <f>'[01_Entry.xlsx]Book'!E1172</f>
        <v/>
      </c>
      <c r="E1172" s="2">
        <f>'[01_Entry.xlsx]Book'!O1172</f>
        <v/>
      </c>
      <c r="F1172" s="2">
        <f>'[01_Entry.xlsx]Book'!N1172</f>
        <v/>
      </c>
      <c r="G1172" s="3">
        <f>'[01_Entry.xlsx]Book'!L1172</f>
        <v/>
      </c>
      <c r="H1172" s="3">
        <f>'[01_Entry.xlsx]Book'!M1172</f>
        <v/>
      </c>
      <c r="I1172" s="3">
        <f>'[01_Entry.xlsx]Book'!K1172</f>
        <v/>
      </c>
      <c r="J1172" s="3">
        <f>'[01_Entry.xlsx]Book'!P1172</f>
        <v/>
      </c>
      <c r="K1172" s="3">
        <f>'[01_Entry.xlsx]Book'!F1172</f>
        <v/>
      </c>
      <c r="L1172" s="3">
        <f>'[01_Entry.xlsx]Book'!G1172</f>
        <v/>
      </c>
      <c r="M1172" s="3">
        <f>'[01_Entry.xlsx]Book'!I1172</f>
        <v/>
      </c>
      <c r="N1172" s="2">
        <f>IF($A1172="","",MID($A1172,6,2))</f>
        <v>0</v>
      </c>
      <c r="O1172" s="2">
        <f>IF(OR($C1172="",$C1172&lt;&gt;'Inv'!$D$12),"",N(O$1171)+1)</f>
        <v>0</v>
      </c>
    </row>
    <row r="1173" spans="1:15">
      <c r="A1173" s="2">
        <f>'[01_Entry.xlsx]Book'!A1173</f>
        <v/>
      </c>
      <c r="B1173" s="2">
        <f>'[01_Entry.xlsx]Book'!B1173</f>
        <v/>
      </c>
      <c r="C1173" s="2">
        <f>'[01_Entry.xlsx]Book'!D1173</f>
        <v/>
      </c>
      <c r="D1173" s="2">
        <f>'[01_Entry.xlsx]Book'!E1173</f>
        <v/>
      </c>
      <c r="E1173" s="2">
        <f>'[01_Entry.xlsx]Book'!O1173</f>
        <v/>
      </c>
      <c r="F1173" s="2">
        <f>'[01_Entry.xlsx]Book'!N1173</f>
        <v/>
      </c>
      <c r="G1173" s="3">
        <f>'[01_Entry.xlsx]Book'!L1173</f>
        <v/>
      </c>
      <c r="H1173" s="3">
        <f>'[01_Entry.xlsx]Book'!M1173</f>
        <v/>
      </c>
      <c r="I1173" s="3">
        <f>'[01_Entry.xlsx]Book'!K1173</f>
        <v/>
      </c>
      <c r="J1173" s="3">
        <f>'[01_Entry.xlsx]Book'!P1173</f>
        <v/>
      </c>
      <c r="K1173" s="3">
        <f>'[01_Entry.xlsx]Book'!F1173</f>
        <v/>
      </c>
      <c r="L1173" s="3">
        <f>'[01_Entry.xlsx]Book'!G1173</f>
        <v/>
      </c>
      <c r="M1173" s="3">
        <f>'[01_Entry.xlsx]Book'!I1173</f>
        <v/>
      </c>
      <c r="N1173" s="2">
        <f>IF($A1173="","",MID($A1173,6,2))</f>
        <v>0</v>
      </c>
      <c r="O1173" s="2">
        <f>IF(OR($C1173="",$C1173&lt;&gt;'Inv'!$D$12),"",N(O$1172)+1)</f>
        <v>0</v>
      </c>
    </row>
    <row r="1174" spans="1:15">
      <c r="A1174" s="2">
        <f>'[01_Entry.xlsx]Book'!A1174</f>
        <v/>
      </c>
      <c r="B1174" s="2">
        <f>'[01_Entry.xlsx]Book'!B1174</f>
        <v/>
      </c>
      <c r="C1174" s="2">
        <f>'[01_Entry.xlsx]Book'!D1174</f>
        <v/>
      </c>
      <c r="D1174" s="2">
        <f>'[01_Entry.xlsx]Book'!E1174</f>
        <v/>
      </c>
      <c r="E1174" s="2">
        <f>'[01_Entry.xlsx]Book'!O1174</f>
        <v/>
      </c>
      <c r="F1174" s="2">
        <f>'[01_Entry.xlsx]Book'!N1174</f>
        <v/>
      </c>
      <c r="G1174" s="3">
        <f>'[01_Entry.xlsx]Book'!L1174</f>
        <v/>
      </c>
      <c r="H1174" s="3">
        <f>'[01_Entry.xlsx]Book'!M1174</f>
        <v/>
      </c>
      <c r="I1174" s="3">
        <f>'[01_Entry.xlsx]Book'!K1174</f>
        <v/>
      </c>
      <c r="J1174" s="3">
        <f>'[01_Entry.xlsx]Book'!P1174</f>
        <v/>
      </c>
      <c r="K1174" s="3">
        <f>'[01_Entry.xlsx]Book'!F1174</f>
        <v/>
      </c>
      <c r="L1174" s="3">
        <f>'[01_Entry.xlsx]Book'!G1174</f>
        <v/>
      </c>
      <c r="M1174" s="3">
        <f>'[01_Entry.xlsx]Book'!I1174</f>
        <v/>
      </c>
      <c r="N1174" s="2">
        <f>IF($A1174="","",MID($A1174,6,2))</f>
        <v>0</v>
      </c>
      <c r="O1174" s="2">
        <f>IF(OR($C1174="",$C1174&lt;&gt;'Inv'!$D$12),"",N(O$1173)+1)</f>
        <v>0</v>
      </c>
    </row>
    <row r="1175" spans="1:15">
      <c r="A1175" s="2">
        <f>'[01_Entry.xlsx]Book'!A1175</f>
        <v/>
      </c>
      <c r="B1175" s="2">
        <f>'[01_Entry.xlsx]Book'!B1175</f>
        <v/>
      </c>
      <c r="C1175" s="2">
        <f>'[01_Entry.xlsx]Book'!D1175</f>
        <v/>
      </c>
      <c r="D1175" s="2">
        <f>'[01_Entry.xlsx]Book'!E1175</f>
        <v/>
      </c>
      <c r="E1175" s="2">
        <f>'[01_Entry.xlsx]Book'!O1175</f>
        <v/>
      </c>
      <c r="F1175" s="2">
        <f>'[01_Entry.xlsx]Book'!N1175</f>
        <v/>
      </c>
      <c r="G1175" s="3">
        <f>'[01_Entry.xlsx]Book'!L1175</f>
        <v/>
      </c>
      <c r="H1175" s="3">
        <f>'[01_Entry.xlsx]Book'!M1175</f>
        <v/>
      </c>
      <c r="I1175" s="3">
        <f>'[01_Entry.xlsx]Book'!K1175</f>
        <v/>
      </c>
      <c r="J1175" s="3">
        <f>'[01_Entry.xlsx]Book'!P1175</f>
        <v/>
      </c>
      <c r="K1175" s="3">
        <f>'[01_Entry.xlsx]Book'!F1175</f>
        <v/>
      </c>
      <c r="L1175" s="3">
        <f>'[01_Entry.xlsx]Book'!G1175</f>
        <v/>
      </c>
      <c r="M1175" s="3">
        <f>'[01_Entry.xlsx]Book'!I1175</f>
        <v/>
      </c>
      <c r="N1175" s="2">
        <f>IF($A1175="","",MID($A1175,6,2))</f>
        <v>0</v>
      </c>
      <c r="O1175" s="2">
        <f>IF(OR($C1175="",$C1175&lt;&gt;'Inv'!$D$12),"",N(O$1174)+1)</f>
        <v>0</v>
      </c>
    </row>
    <row r="1176" spans="1:15">
      <c r="A1176" s="2">
        <f>'[01_Entry.xlsx]Book'!A1176</f>
        <v/>
      </c>
      <c r="B1176" s="2">
        <f>'[01_Entry.xlsx]Book'!B1176</f>
        <v/>
      </c>
      <c r="C1176" s="2">
        <f>'[01_Entry.xlsx]Book'!D1176</f>
        <v/>
      </c>
      <c r="D1176" s="2">
        <f>'[01_Entry.xlsx]Book'!E1176</f>
        <v/>
      </c>
      <c r="E1176" s="2">
        <f>'[01_Entry.xlsx]Book'!O1176</f>
        <v/>
      </c>
      <c r="F1176" s="2">
        <f>'[01_Entry.xlsx]Book'!N1176</f>
        <v/>
      </c>
      <c r="G1176" s="3">
        <f>'[01_Entry.xlsx]Book'!L1176</f>
        <v/>
      </c>
      <c r="H1176" s="3">
        <f>'[01_Entry.xlsx]Book'!M1176</f>
        <v/>
      </c>
      <c r="I1176" s="3">
        <f>'[01_Entry.xlsx]Book'!K1176</f>
        <v/>
      </c>
      <c r="J1176" s="3">
        <f>'[01_Entry.xlsx]Book'!P1176</f>
        <v/>
      </c>
      <c r="K1176" s="3">
        <f>'[01_Entry.xlsx]Book'!F1176</f>
        <v/>
      </c>
      <c r="L1176" s="3">
        <f>'[01_Entry.xlsx]Book'!G1176</f>
        <v/>
      </c>
      <c r="M1176" s="3">
        <f>'[01_Entry.xlsx]Book'!I1176</f>
        <v/>
      </c>
      <c r="N1176" s="2">
        <f>IF($A1176="","",MID($A1176,6,2))</f>
        <v>0</v>
      </c>
      <c r="O1176" s="2">
        <f>IF(OR($C1176="",$C1176&lt;&gt;'Inv'!$D$12),"",N(O$1175)+1)</f>
        <v>0</v>
      </c>
    </row>
    <row r="1177" spans="1:15">
      <c r="A1177" s="2">
        <f>'[01_Entry.xlsx]Book'!A1177</f>
        <v/>
      </c>
      <c r="B1177" s="2">
        <f>'[01_Entry.xlsx]Book'!B1177</f>
        <v/>
      </c>
      <c r="C1177" s="2">
        <f>'[01_Entry.xlsx]Book'!D1177</f>
        <v/>
      </c>
      <c r="D1177" s="2">
        <f>'[01_Entry.xlsx]Book'!E1177</f>
        <v/>
      </c>
      <c r="E1177" s="2">
        <f>'[01_Entry.xlsx]Book'!O1177</f>
        <v/>
      </c>
      <c r="F1177" s="2">
        <f>'[01_Entry.xlsx]Book'!N1177</f>
        <v/>
      </c>
      <c r="G1177" s="3">
        <f>'[01_Entry.xlsx]Book'!L1177</f>
        <v/>
      </c>
      <c r="H1177" s="3">
        <f>'[01_Entry.xlsx]Book'!M1177</f>
        <v/>
      </c>
      <c r="I1177" s="3">
        <f>'[01_Entry.xlsx]Book'!K1177</f>
        <v/>
      </c>
      <c r="J1177" s="3">
        <f>'[01_Entry.xlsx]Book'!P1177</f>
        <v/>
      </c>
      <c r="K1177" s="3">
        <f>'[01_Entry.xlsx]Book'!F1177</f>
        <v/>
      </c>
      <c r="L1177" s="3">
        <f>'[01_Entry.xlsx]Book'!G1177</f>
        <v/>
      </c>
      <c r="M1177" s="3">
        <f>'[01_Entry.xlsx]Book'!I1177</f>
        <v/>
      </c>
      <c r="N1177" s="2">
        <f>IF($A1177="","",MID($A1177,6,2))</f>
        <v>0</v>
      </c>
      <c r="O1177" s="2">
        <f>IF(OR($C1177="",$C1177&lt;&gt;'Inv'!$D$12),"",N(O$1176)+1)</f>
        <v>0</v>
      </c>
    </row>
    <row r="1178" spans="1:15">
      <c r="A1178" s="2">
        <f>'[01_Entry.xlsx]Book'!A1178</f>
        <v/>
      </c>
      <c r="B1178" s="2">
        <f>'[01_Entry.xlsx]Book'!B1178</f>
        <v/>
      </c>
      <c r="C1178" s="2">
        <f>'[01_Entry.xlsx]Book'!D1178</f>
        <v/>
      </c>
      <c r="D1178" s="2">
        <f>'[01_Entry.xlsx]Book'!E1178</f>
        <v/>
      </c>
      <c r="E1178" s="2">
        <f>'[01_Entry.xlsx]Book'!O1178</f>
        <v/>
      </c>
      <c r="F1178" s="2">
        <f>'[01_Entry.xlsx]Book'!N1178</f>
        <v/>
      </c>
      <c r="G1178" s="3">
        <f>'[01_Entry.xlsx]Book'!L1178</f>
        <v/>
      </c>
      <c r="H1178" s="3">
        <f>'[01_Entry.xlsx]Book'!M1178</f>
        <v/>
      </c>
      <c r="I1178" s="3">
        <f>'[01_Entry.xlsx]Book'!K1178</f>
        <v/>
      </c>
      <c r="J1178" s="3">
        <f>'[01_Entry.xlsx]Book'!P1178</f>
        <v/>
      </c>
      <c r="K1178" s="3">
        <f>'[01_Entry.xlsx]Book'!F1178</f>
        <v/>
      </c>
      <c r="L1178" s="3">
        <f>'[01_Entry.xlsx]Book'!G1178</f>
        <v/>
      </c>
      <c r="M1178" s="3">
        <f>'[01_Entry.xlsx]Book'!I1178</f>
        <v/>
      </c>
      <c r="N1178" s="2">
        <f>IF($A1178="","",MID($A1178,6,2))</f>
        <v>0</v>
      </c>
      <c r="O1178" s="2">
        <f>IF(OR($C1178="",$C1178&lt;&gt;'Inv'!$D$12),"",N(O$1177)+1)</f>
        <v>0</v>
      </c>
    </row>
    <row r="1179" spans="1:15">
      <c r="A1179" s="2">
        <f>'[01_Entry.xlsx]Book'!A1179</f>
        <v/>
      </c>
      <c r="B1179" s="2">
        <f>'[01_Entry.xlsx]Book'!B1179</f>
        <v/>
      </c>
      <c r="C1179" s="2">
        <f>'[01_Entry.xlsx]Book'!D1179</f>
        <v/>
      </c>
      <c r="D1179" s="2">
        <f>'[01_Entry.xlsx]Book'!E1179</f>
        <v/>
      </c>
      <c r="E1179" s="2">
        <f>'[01_Entry.xlsx]Book'!O1179</f>
        <v/>
      </c>
      <c r="F1179" s="2">
        <f>'[01_Entry.xlsx]Book'!N1179</f>
        <v/>
      </c>
      <c r="G1179" s="3">
        <f>'[01_Entry.xlsx]Book'!L1179</f>
        <v/>
      </c>
      <c r="H1179" s="3">
        <f>'[01_Entry.xlsx]Book'!M1179</f>
        <v/>
      </c>
      <c r="I1179" s="3">
        <f>'[01_Entry.xlsx]Book'!K1179</f>
        <v/>
      </c>
      <c r="J1179" s="3">
        <f>'[01_Entry.xlsx]Book'!P1179</f>
        <v/>
      </c>
      <c r="K1179" s="3">
        <f>'[01_Entry.xlsx]Book'!F1179</f>
        <v/>
      </c>
      <c r="L1179" s="3">
        <f>'[01_Entry.xlsx]Book'!G1179</f>
        <v/>
      </c>
      <c r="M1179" s="3">
        <f>'[01_Entry.xlsx]Book'!I1179</f>
        <v/>
      </c>
      <c r="N1179" s="2">
        <f>IF($A1179="","",MID($A1179,6,2))</f>
        <v>0</v>
      </c>
      <c r="O1179" s="2">
        <f>IF(OR($C1179="",$C1179&lt;&gt;'Inv'!$D$12),"",N(O$1178)+1)</f>
        <v>0</v>
      </c>
    </row>
    <row r="1180" spans="1:15">
      <c r="A1180" s="2">
        <f>'[01_Entry.xlsx]Book'!A1180</f>
        <v/>
      </c>
      <c r="B1180" s="2">
        <f>'[01_Entry.xlsx]Book'!B1180</f>
        <v/>
      </c>
      <c r="C1180" s="2">
        <f>'[01_Entry.xlsx]Book'!D1180</f>
        <v/>
      </c>
      <c r="D1180" s="2">
        <f>'[01_Entry.xlsx]Book'!E1180</f>
        <v/>
      </c>
      <c r="E1180" s="2">
        <f>'[01_Entry.xlsx]Book'!O1180</f>
        <v/>
      </c>
      <c r="F1180" s="2">
        <f>'[01_Entry.xlsx]Book'!N1180</f>
        <v/>
      </c>
      <c r="G1180" s="3">
        <f>'[01_Entry.xlsx]Book'!L1180</f>
        <v/>
      </c>
      <c r="H1180" s="3">
        <f>'[01_Entry.xlsx]Book'!M1180</f>
        <v/>
      </c>
      <c r="I1180" s="3">
        <f>'[01_Entry.xlsx]Book'!K1180</f>
        <v/>
      </c>
      <c r="J1180" s="3">
        <f>'[01_Entry.xlsx]Book'!P1180</f>
        <v/>
      </c>
      <c r="K1180" s="3">
        <f>'[01_Entry.xlsx]Book'!F1180</f>
        <v/>
      </c>
      <c r="L1180" s="3">
        <f>'[01_Entry.xlsx]Book'!G1180</f>
        <v/>
      </c>
      <c r="M1180" s="3">
        <f>'[01_Entry.xlsx]Book'!I1180</f>
        <v/>
      </c>
      <c r="N1180" s="2">
        <f>IF($A1180="","",MID($A1180,6,2))</f>
        <v>0</v>
      </c>
      <c r="O1180" s="2">
        <f>IF(OR($C1180="",$C1180&lt;&gt;'Inv'!$D$12),"",N(O$1179)+1)</f>
        <v>0</v>
      </c>
    </row>
    <row r="1181" spans="1:15">
      <c r="A1181" s="2">
        <f>'[01_Entry.xlsx]Book'!A1181</f>
        <v/>
      </c>
      <c r="B1181" s="2">
        <f>'[01_Entry.xlsx]Book'!B1181</f>
        <v/>
      </c>
      <c r="C1181" s="2">
        <f>'[01_Entry.xlsx]Book'!D1181</f>
        <v/>
      </c>
      <c r="D1181" s="2">
        <f>'[01_Entry.xlsx]Book'!E1181</f>
        <v/>
      </c>
      <c r="E1181" s="2">
        <f>'[01_Entry.xlsx]Book'!O1181</f>
        <v/>
      </c>
      <c r="F1181" s="2">
        <f>'[01_Entry.xlsx]Book'!N1181</f>
        <v/>
      </c>
      <c r="G1181" s="3">
        <f>'[01_Entry.xlsx]Book'!L1181</f>
        <v/>
      </c>
      <c r="H1181" s="3">
        <f>'[01_Entry.xlsx]Book'!M1181</f>
        <v/>
      </c>
      <c r="I1181" s="3">
        <f>'[01_Entry.xlsx]Book'!K1181</f>
        <v/>
      </c>
      <c r="J1181" s="3">
        <f>'[01_Entry.xlsx]Book'!P1181</f>
        <v/>
      </c>
      <c r="K1181" s="3">
        <f>'[01_Entry.xlsx]Book'!F1181</f>
        <v/>
      </c>
      <c r="L1181" s="3">
        <f>'[01_Entry.xlsx]Book'!G1181</f>
        <v/>
      </c>
      <c r="M1181" s="3">
        <f>'[01_Entry.xlsx]Book'!I1181</f>
        <v/>
      </c>
      <c r="N1181" s="2">
        <f>IF($A1181="","",MID($A1181,6,2))</f>
        <v>0</v>
      </c>
      <c r="O1181" s="2">
        <f>IF(OR($C1181="",$C1181&lt;&gt;'Inv'!$D$12),"",N(O$1180)+1)</f>
        <v>0</v>
      </c>
    </row>
    <row r="1182" spans="1:15">
      <c r="A1182" s="2">
        <f>'[01_Entry.xlsx]Book'!A1182</f>
        <v/>
      </c>
      <c r="B1182" s="2">
        <f>'[01_Entry.xlsx]Book'!B1182</f>
        <v/>
      </c>
      <c r="C1182" s="2">
        <f>'[01_Entry.xlsx]Book'!D1182</f>
        <v/>
      </c>
      <c r="D1182" s="2">
        <f>'[01_Entry.xlsx]Book'!E1182</f>
        <v/>
      </c>
      <c r="E1182" s="2">
        <f>'[01_Entry.xlsx]Book'!O1182</f>
        <v/>
      </c>
      <c r="F1182" s="2">
        <f>'[01_Entry.xlsx]Book'!N1182</f>
        <v/>
      </c>
      <c r="G1182" s="3">
        <f>'[01_Entry.xlsx]Book'!L1182</f>
        <v/>
      </c>
      <c r="H1182" s="3">
        <f>'[01_Entry.xlsx]Book'!M1182</f>
        <v/>
      </c>
      <c r="I1182" s="3">
        <f>'[01_Entry.xlsx]Book'!K1182</f>
        <v/>
      </c>
      <c r="J1182" s="3">
        <f>'[01_Entry.xlsx]Book'!P1182</f>
        <v/>
      </c>
      <c r="K1182" s="3">
        <f>'[01_Entry.xlsx]Book'!F1182</f>
        <v/>
      </c>
      <c r="L1182" s="3">
        <f>'[01_Entry.xlsx]Book'!G1182</f>
        <v/>
      </c>
      <c r="M1182" s="3">
        <f>'[01_Entry.xlsx]Book'!I1182</f>
        <v/>
      </c>
      <c r="N1182" s="2">
        <f>IF($A1182="","",MID($A1182,6,2))</f>
        <v>0</v>
      </c>
      <c r="O1182" s="2">
        <f>IF(OR($C1182="",$C1182&lt;&gt;'Inv'!$D$12),"",N(O$1181)+1)</f>
        <v>0</v>
      </c>
    </row>
    <row r="1183" spans="1:15">
      <c r="A1183" s="2">
        <f>'[01_Entry.xlsx]Book'!A1183</f>
        <v/>
      </c>
      <c r="B1183" s="2">
        <f>'[01_Entry.xlsx]Book'!B1183</f>
        <v/>
      </c>
      <c r="C1183" s="2">
        <f>'[01_Entry.xlsx]Book'!D1183</f>
        <v/>
      </c>
      <c r="D1183" s="2">
        <f>'[01_Entry.xlsx]Book'!E1183</f>
        <v/>
      </c>
      <c r="E1183" s="2">
        <f>'[01_Entry.xlsx]Book'!O1183</f>
        <v/>
      </c>
      <c r="F1183" s="2">
        <f>'[01_Entry.xlsx]Book'!N1183</f>
        <v/>
      </c>
      <c r="G1183" s="3">
        <f>'[01_Entry.xlsx]Book'!L1183</f>
        <v/>
      </c>
      <c r="H1183" s="3">
        <f>'[01_Entry.xlsx]Book'!M1183</f>
        <v/>
      </c>
      <c r="I1183" s="3">
        <f>'[01_Entry.xlsx]Book'!K1183</f>
        <v/>
      </c>
      <c r="J1183" s="3">
        <f>'[01_Entry.xlsx]Book'!P1183</f>
        <v/>
      </c>
      <c r="K1183" s="3">
        <f>'[01_Entry.xlsx]Book'!F1183</f>
        <v/>
      </c>
      <c r="L1183" s="3">
        <f>'[01_Entry.xlsx]Book'!G1183</f>
        <v/>
      </c>
      <c r="M1183" s="3">
        <f>'[01_Entry.xlsx]Book'!I1183</f>
        <v/>
      </c>
      <c r="N1183" s="2">
        <f>IF($A1183="","",MID($A1183,6,2))</f>
        <v>0</v>
      </c>
      <c r="O1183" s="2">
        <f>IF(OR($C1183="",$C1183&lt;&gt;'Inv'!$D$12),"",N(O$1182)+1)</f>
        <v>0</v>
      </c>
    </row>
    <row r="1184" spans="1:15">
      <c r="A1184" s="2">
        <f>'[01_Entry.xlsx]Book'!A1184</f>
        <v/>
      </c>
      <c r="B1184" s="2">
        <f>'[01_Entry.xlsx]Book'!B1184</f>
        <v/>
      </c>
      <c r="C1184" s="2">
        <f>'[01_Entry.xlsx]Book'!D1184</f>
        <v/>
      </c>
      <c r="D1184" s="2">
        <f>'[01_Entry.xlsx]Book'!E1184</f>
        <v/>
      </c>
      <c r="E1184" s="2">
        <f>'[01_Entry.xlsx]Book'!O1184</f>
        <v/>
      </c>
      <c r="F1184" s="2">
        <f>'[01_Entry.xlsx]Book'!N1184</f>
        <v/>
      </c>
      <c r="G1184" s="3">
        <f>'[01_Entry.xlsx]Book'!L1184</f>
        <v/>
      </c>
      <c r="H1184" s="3">
        <f>'[01_Entry.xlsx]Book'!M1184</f>
        <v/>
      </c>
      <c r="I1184" s="3">
        <f>'[01_Entry.xlsx]Book'!K1184</f>
        <v/>
      </c>
      <c r="J1184" s="3">
        <f>'[01_Entry.xlsx]Book'!P1184</f>
        <v/>
      </c>
      <c r="K1184" s="3">
        <f>'[01_Entry.xlsx]Book'!F1184</f>
        <v/>
      </c>
      <c r="L1184" s="3">
        <f>'[01_Entry.xlsx]Book'!G1184</f>
        <v/>
      </c>
      <c r="M1184" s="3">
        <f>'[01_Entry.xlsx]Book'!I1184</f>
        <v/>
      </c>
      <c r="N1184" s="2">
        <f>IF($A1184="","",MID($A1184,6,2))</f>
        <v>0</v>
      </c>
      <c r="O1184" s="2">
        <f>IF(OR($C1184="",$C1184&lt;&gt;'Inv'!$D$12),"",N(O$1183)+1)</f>
        <v>0</v>
      </c>
    </row>
    <row r="1185" spans="1:15">
      <c r="A1185" s="2">
        <f>'[01_Entry.xlsx]Book'!A1185</f>
        <v/>
      </c>
      <c r="B1185" s="2">
        <f>'[01_Entry.xlsx]Book'!B1185</f>
        <v/>
      </c>
      <c r="C1185" s="2">
        <f>'[01_Entry.xlsx]Book'!D1185</f>
        <v/>
      </c>
      <c r="D1185" s="2">
        <f>'[01_Entry.xlsx]Book'!E1185</f>
        <v/>
      </c>
      <c r="E1185" s="2">
        <f>'[01_Entry.xlsx]Book'!O1185</f>
        <v/>
      </c>
      <c r="F1185" s="2">
        <f>'[01_Entry.xlsx]Book'!N1185</f>
        <v/>
      </c>
      <c r="G1185" s="3">
        <f>'[01_Entry.xlsx]Book'!L1185</f>
        <v/>
      </c>
      <c r="H1185" s="3">
        <f>'[01_Entry.xlsx]Book'!M1185</f>
        <v/>
      </c>
      <c r="I1185" s="3">
        <f>'[01_Entry.xlsx]Book'!K1185</f>
        <v/>
      </c>
      <c r="J1185" s="3">
        <f>'[01_Entry.xlsx]Book'!P1185</f>
        <v/>
      </c>
      <c r="K1185" s="3">
        <f>'[01_Entry.xlsx]Book'!F1185</f>
        <v/>
      </c>
      <c r="L1185" s="3">
        <f>'[01_Entry.xlsx]Book'!G1185</f>
        <v/>
      </c>
      <c r="M1185" s="3">
        <f>'[01_Entry.xlsx]Book'!I1185</f>
        <v/>
      </c>
      <c r="N1185" s="2">
        <f>IF($A1185="","",MID($A1185,6,2))</f>
        <v>0</v>
      </c>
      <c r="O1185" s="2">
        <f>IF(OR($C1185="",$C1185&lt;&gt;'Inv'!$D$12),"",N(O$1184)+1)</f>
        <v>0</v>
      </c>
    </row>
    <row r="1186" spans="1:15">
      <c r="A1186" s="2">
        <f>'[01_Entry.xlsx]Book'!A1186</f>
        <v/>
      </c>
      <c r="B1186" s="2">
        <f>'[01_Entry.xlsx]Book'!B1186</f>
        <v/>
      </c>
      <c r="C1186" s="2">
        <f>'[01_Entry.xlsx]Book'!D1186</f>
        <v/>
      </c>
      <c r="D1186" s="2">
        <f>'[01_Entry.xlsx]Book'!E1186</f>
        <v/>
      </c>
      <c r="E1186" s="2">
        <f>'[01_Entry.xlsx]Book'!O1186</f>
        <v/>
      </c>
      <c r="F1186" s="2">
        <f>'[01_Entry.xlsx]Book'!N1186</f>
        <v/>
      </c>
      <c r="G1186" s="3">
        <f>'[01_Entry.xlsx]Book'!L1186</f>
        <v/>
      </c>
      <c r="H1186" s="3">
        <f>'[01_Entry.xlsx]Book'!M1186</f>
        <v/>
      </c>
      <c r="I1186" s="3">
        <f>'[01_Entry.xlsx]Book'!K1186</f>
        <v/>
      </c>
      <c r="J1186" s="3">
        <f>'[01_Entry.xlsx]Book'!P1186</f>
        <v/>
      </c>
      <c r="K1186" s="3">
        <f>'[01_Entry.xlsx]Book'!F1186</f>
        <v/>
      </c>
      <c r="L1186" s="3">
        <f>'[01_Entry.xlsx]Book'!G1186</f>
        <v/>
      </c>
      <c r="M1186" s="3">
        <f>'[01_Entry.xlsx]Book'!I1186</f>
        <v/>
      </c>
      <c r="N1186" s="2">
        <f>IF($A1186="","",MID($A1186,6,2))</f>
        <v>0</v>
      </c>
      <c r="O1186" s="2">
        <f>IF(OR($C1186="",$C1186&lt;&gt;'Inv'!$D$12),"",N(O$1185)+1)</f>
        <v>0</v>
      </c>
    </row>
    <row r="1187" spans="1:15">
      <c r="A1187" s="2">
        <f>'[01_Entry.xlsx]Book'!A1187</f>
        <v/>
      </c>
      <c r="B1187" s="2">
        <f>'[01_Entry.xlsx]Book'!B1187</f>
        <v/>
      </c>
      <c r="C1187" s="2">
        <f>'[01_Entry.xlsx]Book'!D1187</f>
        <v/>
      </c>
      <c r="D1187" s="2">
        <f>'[01_Entry.xlsx]Book'!E1187</f>
        <v/>
      </c>
      <c r="E1187" s="2">
        <f>'[01_Entry.xlsx]Book'!O1187</f>
        <v/>
      </c>
      <c r="F1187" s="2">
        <f>'[01_Entry.xlsx]Book'!N1187</f>
        <v/>
      </c>
      <c r="G1187" s="3">
        <f>'[01_Entry.xlsx]Book'!L1187</f>
        <v/>
      </c>
      <c r="H1187" s="3">
        <f>'[01_Entry.xlsx]Book'!M1187</f>
        <v/>
      </c>
      <c r="I1187" s="3">
        <f>'[01_Entry.xlsx]Book'!K1187</f>
        <v/>
      </c>
      <c r="J1187" s="3">
        <f>'[01_Entry.xlsx]Book'!P1187</f>
        <v/>
      </c>
      <c r="K1187" s="3">
        <f>'[01_Entry.xlsx]Book'!F1187</f>
        <v/>
      </c>
      <c r="L1187" s="3">
        <f>'[01_Entry.xlsx]Book'!G1187</f>
        <v/>
      </c>
      <c r="M1187" s="3">
        <f>'[01_Entry.xlsx]Book'!I1187</f>
        <v/>
      </c>
      <c r="N1187" s="2">
        <f>IF($A1187="","",MID($A1187,6,2))</f>
        <v>0</v>
      </c>
      <c r="O1187" s="2">
        <f>IF(OR($C1187="",$C1187&lt;&gt;'Inv'!$D$12),"",N(O$1186)+1)</f>
        <v>0</v>
      </c>
    </row>
    <row r="1188" spans="1:15">
      <c r="A1188" s="2">
        <f>'[01_Entry.xlsx]Book'!A1188</f>
        <v/>
      </c>
      <c r="B1188" s="2">
        <f>'[01_Entry.xlsx]Book'!B1188</f>
        <v/>
      </c>
      <c r="C1188" s="2">
        <f>'[01_Entry.xlsx]Book'!D1188</f>
        <v/>
      </c>
      <c r="D1188" s="2">
        <f>'[01_Entry.xlsx]Book'!E1188</f>
        <v/>
      </c>
      <c r="E1188" s="2">
        <f>'[01_Entry.xlsx]Book'!O1188</f>
        <v/>
      </c>
      <c r="F1188" s="2">
        <f>'[01_Entry.xlsx]Book'!N1188</f>
        <v/>
      </c>
      <c r="G1188" s="3">
        <f>'[01_Entry.xlsx]Book'!L1188</f>
        <v/>
      </c>
      <c r="H1188" s="3">
        <f>'[01_Entry.xlsx]Book'!M1188</f>
        <v/>
      </c>
      <c r="I1188" s="3">
        <f>'[01_Entry.xlsx]Book'!K1188</f>
        <v/>
      </c>
      <c r="J1188" s="3">
        <f>'[01_Entry.xlsx]Book'!P1188</f>
        <v/>
      </c>
      <c r="K1188" s="3">
        <f>'[01_Entry.xlsx]Book'!F1188</f>
        <v/>
      </c>
      <c r="L1188" s="3">
        <f>'[01_Entry.xlsx]Book'!G1188</f>
        <v/>
      </c>
      <c r="M1188" s="3">
        <f>'[01_Entry.xlsx]Book'!I1188</f>
        <v/>
      </c>
      <c r="N1188" s="2">
        <f>IF($A1188="","",MID($A1188,6,2))</f>
        <v>0</v>
      </c>
      <c r="O1188" s="2">
        <f>IF(OR($C1188="",$C1188&lt;&gt;'Inv'!$D$12),"",N(O$1187)+1)</f>
        <v>0</v>
      </c>
    </row>
    <row r="1189" spans="1:15">
      <c r="A1189" s="2">
        <f>'[01_Entry.xlsx]Book'!A1189</f>
        <v/>
      </c>
      <c r="B1189" s="2">
        <f>'[01_Entry.xlsx]Book'!B1189</f>
        <v/>
      </c>
      <c r="C1189" s="2">
        <f>'[01_Entry.xlsx]Book'!D1189</f>
        <v/>
      </c>
      <c r="D1189" s="2">
        <f>'[01_Entry.xlsx]Book'!E1189</f>
        <v/>
      </c>
      <c r="E1189" s="2">
        <f>'[01_Entry.xlsx]Book'!O1189</f>
        <v/>
      </c>
      <c r="F1189" s="2">
        <f>'[01_Entry.xlsx]Book'!N1189</f>
        <v/>
      </c>
      <c r="G1189" s="3">
        <f>'[01_Entry.xlsx]Book'!L1189</f>
        <v/>
      </c>
      <c r="H1189" s="3">
        <f>'[01_Entry.xlsx]Book'!M1189</f>
        <v/>
      </c>
      <c r="I1189" s="3">
        <f>'[01_Entry.xlsx]Book'!K1189</f>
        <v/>
      </c>
      <c r="J1189" s="3">
        <f>'[01_Entry.xlsx]Book'!P1189</f>
        <v/>
      </c>
      <c r="K1189" s="3">
        <f>'[01_Entry.xlsx]Book'!F1189</f>
        <v/>
      </c>
      <c r="L1189" s="3">
        <f>'[01_Entry.xlsx]Book'!G1189</f>
        <v/>
      </c>
      <c r="M1189" s="3">
        <f>'[01_Entry.xlsx]Book'!I1189</f>
        <v/>
      </c>
      <c r="N1189" s="2">
        <f>IF($A1189="","",MID($A1189,6,2))</f>
        <v>0</v>
      </c>
      <c r="O1189" s="2">
        <f>IF(OR($C1189="",$C1189&lt;&gt;'Inv'!$D$12),"",N(O$1188)+1)</f>
        <v>0</v>
      </c>
    </row>
    <row r="1190" spans="1:15">
      <c r="A1190" s="2">
        <f>'[01_Entry.xlsx]Book'!A1190</f>
        <v/>
      </c>
      <c r="B1190" s="2">
        <f>'[01_Entry.xlsx]Book'!B1190</f>
        <v/>
      </c>
      <c r="C1190" s="2">
        <f>'[01_Entry.xlsx]Book'!D1190</f>
        <v/>
      </c>
      <c r="D1190" s="2">
        <f>'[01_Entry.xlsx]Book'!E1190</f>
        <v/>
      </c>
      <c r="E1190" s="2">
        <f>'[01_Entry.xlsx]Book'!O1190</f>
        <v/>
      </c>
      <c r="F1190" s="2">
        <f>'[01_Entry.xlsx]Book'!N1190</f>
        <v/>
      </c>
      <c r="G1190" s="3">
        <f>'[01_Entry.xlsx]Book'!L1190</f>
        <v/>
      </c>
      <c r="H1190" s="3">
        <f>'[01_Entry.xlsx]Book'!M1190</f>
        <v/>
      </c>
      <c r="I1190" s="3">
        <f>'[01_Entry.xlsx]Book'!K1190</f>
        <v/>
      </c>
      <c r="J1190" s="3">
        <f>'[01_Entry.xlsx]Book'!P1190</f>
        <v/>
      </c>
      <c r="K1190" s="3">
        <f>'[01_Entry.xlsx]Book'!F1190</f>
        <v/>
      </c>
      <c r="L1190" s="3">
        <f>'[01_Entry.xlsx]Book'!G1190</f>
        <v/>
      </c>
      <c r="M1190" s="3">
        <f>'[01_Entry.xlsx]Book'!I1190</f>
        <v/>
      </c>
      <c r="N1190" s="2">
        <f>IF($A1190="","",MID($A1190,6,2))</f>
        <v>0</v>
      </c>
      <c r="O1190" s="2">
        <f>IF(OR($C1190="",$C1190&lt;&gt;'Inv'!$D$12),"",N(O$1189)+1)</f>
        <v>0</v>
      </c>
    </row>
    <row r="1191" spans="1:15">
      <c r="A1191" s="2">
        <f>'[01_Entry.xlsx]Book'!A1191</f>
        <v/>
      </c>
      <c r="B1191" s="2">
        <f>'[01_Entry.xlsx]Book'!B1191</f>
        <v/>
      </c>
      <c r="C1191" s="2">
        <f>'[01_Entry.xlsx]Book'!D1191</f>
        <v/>
      </c>
      <c r="D1191" s="2">
        <f>'[01_Entry.xlsx]Book'!E1191</f>
        <v/>
      </c>
      <c r="E1191" s="2">
        <f>'[01_Entry.xlsx]Book'!O1191</f>
        <v/>
      </c>
      <c r="F1191" s="2">
        <f>'[01_Entry.xlsx]Book'!N1191</f>
        <v/>
      </c>
      <c r="G1191" s="3">
        <f>'[01_Entry.xlsx]Book'!L1191</f>
        <v/>
      </c>
      <c r="H1191" s="3">
        <f>'[01_Entry.xlsx]Book'!M1191</f>
        <v/>
      </c>
      <c r="I1191" s="3">
        <f>'[01_Entry.xlsx]Book'!K1191</f>
        <v/>
      </c>
      <c r="J1191" s="3">
        <f>'[01_Entry.xlsx]Book'!P1191</f>
        <v/>
      </c>
      <c r="K1191" s="3">
        <f>'[01_Entry.xlsx]Book'!F1191</f>
        <v/>
      </c>
      <c r="L1191" s="3">
        <f>'[01_Entry.xlsx]Book'!G1191</f>
        <v/>
      </c>
      <c r="M1191" s="3">
        <f>'[01_Entry.xlsx]Book'!I1191</f>
        <v/>
      </c>
      <c r="N1191" s="2">
        <f>IF($A1191="","",MID($A1191,6,2))</f>
        <v>0</v>
      </c>
      <c r="O1191" s="2">
        <f>IF(OR($C1191="",$C1191&lt;&gt;'Inv'!$D$12),"",N(O$1190)+1)</f>
        <v>0</v>
      </c>
    </row>
    <row r="1192" spans="1:15">
      <c r="A1192" s="2">
        <f>'[01_Entry.xlsx]Book'!A1192</f>
        <v/>
      </c>
      <c r="B1192" s="2">
        <f>'[01_Entry.xlsx]Book'!B1192</f>
        <v/>
      </c>
      <c r="C1192" s="2">
        <f>'[01_Entry.xlsx]Book'!D1192</f>
        <v/>
      </c>
      <c r="D1192" s="2">
        <f>'[01_Entry.xlsx]Book'!E1192</f>
        <v/>
      </c>
      <c r="E1192" s="2">
        <f>'[01_Entry.xlsx]Book'!O1192</f>
        <v/>
      </c>
      <c r="F1192" s="2">
        <f>'[01_Entry.xlsx]Book'!N1192</f>
        <v/>
      </c>
      <c r="G1192" s="3">
        <f>'[01_Entry.xlsx]Book'!L1192</f>
        <v/>
      </c>
      <c r="H1192" s="3">
        <f>'[01_Entry.xlsx]Book'!M1192</f>
        <v/>
      </c>
      <c r="I1192" s="3">
        <f>'[01_Entry.xlsx]Book'!K1192</f>
        <v/>
      </c>
      <c r="J1192" s="3">
        <f>'[01_Entry.xlsx]Book'!P1192</f>
        <v/>
      </c>
      <c r="K1192" s="3">
        <f>'[01_Entry.xlsx]Book'!F1192</f>
        <v/>
      </c>
      <c r="L1192" s="3">
        <f>'[01_Entry.xlsx]Book'!G1192</f>
        <v/>
      </c>
      <c r="M1192" s="3">
        <f>'[01_Entry.xlsx]Book'!I1192</f>
        <v/>
      </c>
      <c r="N1192" s="2">
        <f>IF($A1192="","",MID($A1192,6,2))</f>
        <v>0</v>
      </c>
      <c r="O1192" s="2">
        <f>IF(OR($C1192="",$C1192&lt;&gt;'Inv'!$D$12),"",N(O$1191)+1)</f>
        <v>0</v>
      </c>
    </row>
    <row r="1193" spans="1:15">
      <c r="A1193" s="2">
        <f>'[01_Entry.xlsx]Book'!A1193</f>
        <v/>
      </c>
      <c r="B1193" s="2">
        <f>'[01_Entry.xlsx]Book'!B1193</f>
        <v/>
      </c>
      <c r="C1193" s="2">
        <f>'[01_Entry.xlsx]Book'!D1193</f>
        <v/>
      </c>
      <c r="D1193" s="2">
        <f>'[01_Entry.xlsx]Book'!E1193</f>
        <v/>
      </c>
      <c r="E1193" s="2">
        <f>'[01_Entry.xlsx]Book'!O1193</f>
        <v/>
      </c>
      <c r="F1193" s="2">
        <f>'[01_Entry.xlsx]Book'!N1193</f>
        <v/>
      </c>
      <c r="G1193" s="3">
        <f>'[01_Entry.xlsx]Book'!L1193</f>
        <v/>
      </c>
      <c r="H1193" s="3">
        <f>'[01_Entry.xlsx]Book'!M1193</f>
        <v/>
      </c>
      <c r="I1193" s="3">
        <f>'[01_Entry.xlsx]Book'!K1193</f>
        <v/>
      </c>
      <c r="J1193" s="3">
        <f>'[01_Entry.xlsx]Book'!P1193</f>
        <v/>
      </c>
      <c r="K1193" s="3">
        <f>'[01_Entry.xlsx]Book'!F1193</f>
        <v/>
      </c>
      <c r="L1193" s="3">
        <f>'[01_Entry.xlsx]Book'!G1193</f>
        <v/>
      </c>
      <c r="M1193" s="3">
        <f>'[01_Entry.xlsx]Book'!I1193</f>
        <v/>
      </c>
      <c r="N1193" s="2">
        <f>IF($A1193="","",MID($A1193,6,2))</f>
        <v>0</v>
      </c>
      <c r="O1193" s="2">
        <f>IF(OR($C1193="",$C1193&lt;&gt;'Inv'!$D$12),"",N(O$1192)+1)</f>
        <v>0</v>
      </c>
    </row>
    <row r="1194" spans="1:15">
      <c r="A1194" s="2">
        <f>'[01_Entry.xlsx]Book'!A1194</f>
        <v/>
      </c>
      <c r="B1194" s="2">
        <f>'[01_Entry.xlsx]Book'!B1194</f>
        <v/>
      </c>
      <c r="C1194" s="2">
        <f>'[01_Entry.xlsx]Book'!D1194</f>
        <v/>
      </c>
      <c r="D1194" s="2">
        <f>'[01_Entry.xlsx]Book'!E1194</f>
        <v/>
      </c>
      <c r="E1194" s="2">
        <f>'[01_Entry.xlsx]Book'!O1194</f>
        <v/>
      </c>
      <c r="F1194" s="2">
        <f>'[01_Entry.xlsx]Book'!N1194</f>
        <v/>
      </c>
      <c r="G1194" s="3">
        <f>'[01_Entry.xlsx]Book'!L1194</f>
        <v/>
      </c>
      <c r="H1194" s="3">
        <f>'[01_Entry.xlsx]Book'!M1194</f>
        <v/>
      </c>
      <c r="I1194" s="3">
        <f>'[01_Entry.xlsx]Book'!K1194</f>
        <v/>
      </c>
      <c r="J1194" s="3">
        <f>'[01_Entry.xlsx]Book'!P1194</f>
        <v/>
      </c>
      <c r="K1194" s="3">
        <f>'[01_Entry.xlsx]Book'!F1194</f>
        <v/>
      </c>
      <c r="L1194" s="3">
        <f>'[01_Entry.xlsx]Book'!G1194</f>
        <v/>
      </c>
      <c r="M1194" s="3">
        <f>'[01_Entry.xlsx]Book'!I1194</f>
        <v/>
      </c>
      <c r="N1194" s="2">
        <f>IF($A1194="","",MID($A1194,6,2))</f>
        <v>0</v>
      </c>
      <c r="O1194" s="2">
        <f>IF(OR($C1194="",$C1194&lt;&gt;'Inv'!$D$12),"",N(O$1193)+1)</f>
        <v>0</v>
      </c>
    </row>
    <row r="1195" spans="1:15">
      <c r="A1195" s="2">
        <f>'[01_Entry.xlsx]Book'!A1195</f>
        <v/>
      </c>
      <c r="B1195" s="2">
        <f>'[01_Entry.xlsx]Book'!B1195</f>
        <v/>
      </c>
      <c r="C1195" s="2">
        <f>'[01_Entry.xlsx]Book'!D1195</f>
        <v/>
      </c>
      <c r="D1195" s="2">
        <f>'[01_Entry.xlsx]Book'!E1195</f>
        <v/>
      </c>
      <c r="E1195" s="2">
        <f>'[01_Entry.xlsx]Book'!O1195</f>
        <v/>
      </c>
      <c r="F1195" s="2">
        <f>'[01_Entry.xlsx]Book'!N1195</f>
        <v/>
      </c>
      <c r="G1195" s="3">
        <f>'[01_Entry.xlsx]Book'!L1195</f>
        <v/>
      </c>
      <c r="H1195" s="3">
        <f>'[01_Entry.xlsx]Book'!M1195</f>
        <v/>
      </c>
      <c r="I1195" s="3">
        <f>'[01_Entry.xlsx]Book'!K1195</f>
        <v/>
      </c>
      <c r="J1195" s="3">
        <f>'[01_Entry.xlsx]Book'!P1195</f>
        <v/>
      </c>
      <c r="K1195" s="3">
        <f>'[01_Entry.xlsx]Book'!F1195</f>
        <v/>
      </c>
      <c r="L1195" s="3">
        <f>'[01_Entry.xlsx]Book'!G1195</f>
        <v/>
      </c>
      <c r="M1195" s="3">
        <f>'[01_Entry.xlsx]Book'!I1195</f>
        <v/>
      </c>
      <c r="N1195" s="2">
        <f>IF($A1195="","",MID($A1195,6,2))</f>
        <v>0</v>
      </c>
      <c r="O1195" s="2">
        <f>IF(OR($C1195="",$C1195&lt;&gt;'Inv'!$D$12),"",N(O$1194)+1)</f>
        <v>0</v>
      </c>
    </row>
    <row r="1196" spans="1:15">
      <c r="A1196" s="2">
        <f>'[01_Entry.xlsx]Book'!A1196</f>
        <v/>
      </c>
      <c r="B1196" s="2">
        <f>'[01_Entry.xlsx]Book'!B1196</f>
        <v/>
      </c>
      <c r="C1196" s="2">
        <f>'[01_Entry.xlsx]Book'!D1196</f>
        <v/>
      </c>
      <c r="D1196" s="2">
        <f>'[01_Entry.xlsx]Book'!E1196</f>
        <v/>
      </c>
      <c r="E1196" s="2">
        <f>'[01_Entry.xlsx]Book'!O1196</f>
        <v/>
      </c>
      <c r="F1196" s="2">
        <f>'[01_Entry.xlsx]Book'!N1196</f>
        <v/>
      </c>
      <c r="G1196" s="3">
        <f>'[01_Entry.xlsx]Book'!L1196</f>
        <v/>
      </c>
      <c r="H1196" s="3">
        <f>'[01_Entry.xlsx]Book'!M1196</f>
        <v/>
      </c>
      <c r="I1196" s="3">
        <f>'[01_Entry.xlsx]Book'!K1196</f>
        <v/>
      </c>
      <c r="J1196" s="3">
        <f>'[01_Entry.xlsx]Book'!P1196</f>
        <v/>
      </c>
      <c r="K1196" s="3">
        <f>'[01_Entry.xlsx]Book'!F1196</f>
        <v/>
      </c>
      <c r="L1196" s="3">
        <f>'[01_Entry.xlsx]Book'!G1196</f>
        <v/>
      </c>
      <c r="M1196" s="3">
        <f>'[01_Entry.xlsx]Book'!I1196</f>
        <v/>
      </c>
      <c r="N1196" s="2">
        <f>IF($A1196="","",MID($A1196,6,2))</f>
        <v>0</v>
      </c>
      <c r="O1196" s="2">
        <f>IF(OR($C1196="",$C1196&lt;&gt;'Inv'!$D$12),"",N(O$1195)+1)</f>
        <v>0</v>
      </c>
    </row>
    <row r="1197" spans="1:15">
      <c r="A1197" s="2">
        <f>'[01_Entry.xlsx]Book'!A1197</f>
        <v/>
      </c>
      <c r="B1197" s="2">
        <f>'[01_Entry.xlsx]Book'!B1197</f>
        <v/>
      </c>
      <c r="C1197" s="2">
        <f>'[01_Entry.xlsx]Book'!D1197</f>
        <v/>
      </c>
      <c r="D1197" s="2">
        <f>'[01_Entry.xlsx]Book'!E1197</f>
        <v/>
      </c>
      <c r="E1197" s="2">
        <f>'[01_Entry.xlsx]Book'!O1197</f>
        <v/>
      </c>
      <c r="F1197" s="2">
        <f>'[01_Entry.xlsx]Book'!N1197</f>
        <v/>
      </c>
      <c r="G1197" s="3">
        <f>'[01_Entry.xlsx]Book'!L1197</f>
        <v/>
      </c>
      <c r="H1197" s="3">
        <f>'[01_Entry.xlsx]Book'!M1197</f>
        <v/>
      </c>
      <c r="I1197" s="3">
        <f>'[01_Entry.xlsx]Book'!K1197</f>
        <v/>
      </c>
      <c r="J1197" s="3">
        <f>'[01_Entry.xlsx]Book'!P1197</f>
        <v/>
      </c>
      <c r="K1197" s="3">
        <f>'[01_Entry.xlsx]Book'!F1197</f>
        <v/>
      </c>
      <c r="L1197" s="3">
        <f>'[01_Entry.xlsx]Book'!G1197</f>
        <v/>
      </c>
      <c r="M1197" s="3">
        <f>'[01_Entry.xlsx]Book'!I1197</f>
        <v/>
      </c>
      <c r="N1197" s="2">
        <f>IF($A1197="","",MID($A1197,6,2))</f>
        <v>0</v>
      </c>
      <c r="O1197" s="2">
        <f>IF(OR($C1197="",$C1197&lt;&gt;'Inv'!$D$12),"",N(O$1196)+1)</f>
        <v>0</v>
      </c>
    </row>
    <row r="1198" spans="1:15">
      <c r="A1198" s="2">
        <f>'[01_Entry.xlsx]Book'!A1198</f>
        <v/>
      </c>
      <c r="B1198" s="2">
        <f>'[01_Entry.xlsx]Book'!B1198</f>
        <v/>
      </c>
      <c r="C1198" s="2">
        <f>'[01_Entry.xlsx]Book'!D1198</f>
        <v/>
      </c>
      <c r="D1198" s="2">
        <f>'[01_Entry.xlsx]Book'!E1198</f>
        <v/>
      </c>
      <c r="E1198" s="2">
        <f>'[01_Entry.xlsx]Book'!O1198</f>
        <v/>
      </c>
      <c r="F1198" s="2">
        <f>'[01_Entry.xlsx]Book'!N1198</f>
        <v/>
      </c>
      <c r="G1198" s="3">
        <f>'[01_Entry.xlsx]Book'!L1198</f>
        <v/>
      </c>
      <c r="H1198" s="3">
        <f>'[01_Entry.xlsx]Book'!M1198</f>
        <v/>
      </c>
      <c r="I1198" s="3">
        <f>'[01_Entry.xlsx]Book'!K1198</f>
        <v/>
      </c>
      <c r="J1198" s="3">
        <f>'[01_Entry.xlsx]Book'!P1198</f>
        <v/>
      </c>
      <c r="K1198" s="3">
        <f>'[01_Entry.xlsx]Book'!F1198</f>
        <v/>
      </c>
      <c r="L1198" s="3">
        <f>'[01_Entry.xlsx]Book'!G1198</f>
        <v/>
      </c>
      <c r="M1198" s="3">
        <f>'[01_Entry.xlsx]Book'!I1198</f>
        <v/>
      </c>
      <c r="N1198" s="2">
        <f>IF($A1198="","",MID($A1198,6,2))</f>
        <v>0</v>
      </c>
      <c r="O1198" s="2">
        <f>IF(OR($C1198="",$C1198&lt;&gt;'Inv'!$D$12),"",N(O$1197)+1)</f>
        <v>0</v>
      </c>
    </row>
    <row r="1199" spans="1:15">
      <c r="A1199" s="2">
        <f>'[01_Entry.xlsx]Book'!A1199</f>
        <v/>
      </c>
      <c r="B1199" s="2">
        <f>'[01_Entry.xlsx]Book'!B1199</f>
        <v/>
      </c>
      <c r="C1199" s="2">
        <f>'[01_Entry.xlsx]Book'!D1199</f>
        <v/>
      </c>
      <c r="D1199" s="2">
        <f>'[01_Entry.xlsx]Book'!E1199</f>
        <v/>
      </c>
      <c r="E1199" s="2">
        <f>'[01_Entry.xlsx]Book'!O1199</f>
        <v/>
      </c>
      <c r="F1199" s="2">
        <f>'[01_Entry.xlsx]Book'!N1199</f>
        <v/>
      </c>
      <c r="G1199" s="3">
        <f>'[01_Entry.xlsx]Book'!L1199</f>
        <v/>
      </c>
      <c r="H1199" s="3">
        <f>'[01_Entry.xlsx]Book'!M1199</f>
        <v/>
      </c>
      <c r="I1199" s="3">
        <f>'[01_Entry.xlsx]Book'!K1199</f>
        <v/>
      </c>
      <c r="J1199" s="3">
        <f>'[01_Entry.xlsx]Book'!P1199</f>
        <v/>
      </c>
      <c r="K1199" s="3">
        <f>'[01_Entry.xlsx]Book'!F1199</f>
        <v/>
      </c>
      <c r="L1199" s="3">
        <f>'[01_Entry.xlsx]Book'!G1199</f>
        <v/>
      </c>
      <c r="M1199" s="3">
        <f>'[01_Entry.xlsx]Book'!I1199</f>
        <v/>
      </c>
      <c r="N1199" s="2">
        <f>IF($A1199="","",MID($A1199,6,2))</f>
        <v>0</v>
      </c>
      <c r="O1199" s="2">
        <f>IF(OR($C1199="",$C1199&lt;&gt;'Inv'!$D$12),"",N(O$1198)+1)</f>
        <v>0</v>
      </c>
    </row>
    <row r="1200" spans="1:15">
      <c r="A1200" s="2">
        <f>'[01_Entry.xlsx]Book'!A1200</f>
        <v/>
      </c>
      <c r="B1200" s="2">
        <f>'[01_Entry.xlsx]Book'!B1200</f>
        <v/>
      </c>
      <c r="C1200" s="2">
        <f>'[01_Entry.xlsx]Book'!D1200</f>
        <v/>
      </c>
      <c r="D1200" s="2">
        <f>'[01_Entry.xlsx]Book'!E1200</f>
        <v/>
      </c>
      <c r="E1200" s="2">
        <f>'[01_Entry.xlsx]Book'!O1200</f>
        <v/>
      </c>
      <c r="F1200" s="2">
        <f>'[01_Entry.xlsx]Book'!N1200</f>
        <v/>
      </c>
      <c r="G1200" s="3">
        <f>'[01_Entry.xlsx]Book'!L1200</f>
        <v/>
      </c>
      <c r="H1200" s="3">
        <f>'[01_Entry.xlsx]Book'!M1200</f>
        <v/>
      </c>
      <c r="I1200" s="3">
        <f>'[01_Entry.xlsx]Book'!K1200</f>
        <v/>
      </c>
      <c r="J1200" s="3">
        <f>'[01_Entry.xlsx]Book'!P1200</f>
        <v/>
      </c>
      <c r="K1200" s="3">
        <f>'[01_Entry.xlsx]Book'!F1200</f>
        <v/>
      </c>
      <c r="L1200" s="3">
        <f>'[01_Entry.xlsx]Book'!G1200</f>
        <v/>
      </c>
      <c r="M1200" s="3">
        <f>'[01_Entry.xlsx]Book'!I1200</f>
        <v/>
      </c>
      <c r="N1200" s="2">
        <f>IF($A1200="","",MID($A1200,6,2))</f>
        <v>0</v>
      </c>
      <c r="O1200" s="2">
        <f>IF(OR($C1200="",$C1200&lt;&gt;'Inv'!$D$12),"",N(O$1199)+1)</f>
        <v>0</v>
      </c>
    </row>
    <row r="1201" spans="1:15">
      <c r="A1201" s="2">
        <f>'[01_Entry.xlsx]Book'!A1201</f>
        <v/>
      </c>
      <c r="B1201" s="2">
        <f>'[01_Entry.xlsx]Book'!B1201</f>
        <v/>
      </c>
      <c r="C1201" s="2">
        <f>'[01_Entry.xlsx]Book'!D1201</f>
        <v/>
      </c>
      <c r="D1201" s="2">
        <f>'[01_Entry.xlsx]Book'!E1201</f>
        <v/>
      </c>
      <c r="E1201" s="2">
        <f>'[01_Entry.xlsx]Book'!O1201</f>
        <v/>
      </c>
      <c r="F1201" s="2">
        <f>'[01_Entry.xlsx]Book'!N1201</f>
        <v/>
      </c>
      <c r="G1201" s="3">
        <f>'[01_Entry.xlsx]Book'!L1201</f>
        <v/>
      </c>
      <c r="H1201" s="3">
        <f>'[01_Entry.xlsx]Book'!M1201</f>
        <v/>
      </c>
      <c r="I1201" s="3">
        <f>'[01_Entry.xlsx]Book'!K1201</f>
        <v/>
      </c>
      <c r="J1201" s="3">
        <f>'[01_Entry.xlsx]Book'!P1201</f>
        <v/>
      </c>
      <c r="K1201" s="3">
        <f>'[01_Entry.xlsx]Book'!F1201</f>
        <v/>
      </c>
      <c r="L1201" s="3">
        <f>'[01_Entry.xlsx]Book'!G1201</f>
        <v/>
      </c>
      <c r="M1201" s="3">
        <f>'[01_Entry.xlsx]Book'!I1201</f>
        <v/>
      </c>
      <c r="N1201" s="2">
        <f>IF($A1201="","",MID($A1201,6,2))</f>
        <v>0</v>
      </c>
      <c r="O1201" s="2">
        <f>IF(OR($C1201="",$C1201&lt;&gt;'Inv'!$D$12),"",N(O$1200)+1)</f>
        <v>0</v>
      </c>
    </row>
    <row r="1202" spans="1:15">
      <c r="A1202" s="2">
        <f>'[01_Entry.xlsx]Book'!A1202</f>
        <v/>
      </c>
      <c r="B1202" s="2">
        <f>'[01_Entry.xlsx]Book'!B1202</f>
        <v/>
      </c>
      <c r="C1202" s="2">
        <f>'[01_Entry.xlsx]Book'!D1202</f>
        <v/>
      </c>
      <c r="D1202" s="2">
        <f>'[01_Entry.xlsx]Book'!E1202</f>
        <v/>
      </c>
      <c r="E1202" s="2">
        <f>'[01_Entry.xlsx]Book'!O1202</f>
        <v/>
      </c>
      <c r="F1202" s="2">
        <f>'[01_Entry.xlsx]Book'!N1202</f>
        <v/>
      </c>
      <c r="G1202" s="3">
        <f>'[01_Entry.xlsx]Book'!L1202</f>
        <v/>
      </c>
      <c r="H1202" s="3">
        <f>'[01_Entry.xlsx]Book'!M1202</f>
        <v/>
      </c>
      <c r="I1202" s="3">
        <f>'[01_Entry.xlsx]Book'!K1202</f>
        <v/>
      </c>
      <c r="J1202" s="3">
        <f>'[01_Entry.xlsx]Book'!P1202</f>
        <v/>
      </c>
      <c r="K1202" s="3">
        <f>'[01_Entry.xlsx]Book'!F1202</f>
        <v/>
      </c>
      <c r="L1202" s="3">
        <f>'[01_Entry.xlsx]Book'!G1202</f>
        <v/>
      </c>
      <c r="M1202" s="3">
        <f>'[01_Entry.xlsx]Book'!I1202</f>
        <v/>
      </c>
      <c r="N1202" s="2">
        <f>IF($A1202="","",MID($A1202,6,2))</f>
        <v>0</v>
      </c>
      <c r="O1202" s="2">
        <f>IF(OR($C1202="",$C1202&lt;&gt;'Inv'!$D$12),"",N(O$1201)+1)</f>
        <v>0</v>
      </c>
    </row>
    <row r="1203" spans="1:15">
      <c r="A1203" s="2">
        <f>'[01_Entry.xlsx]Book'!A1203</f>
        <v/>
      </c>
      <c r="B1203" s="2">
        <f>'[01_Entry.xlsx]Book'!B1203</f>
        <v/>
      </c>
      <c r="C1203" s="2">
        <f>'[01_Entry.xlsx]Book'!D1203</f>
        <v/>
      </c>
      <c r="D1203" s="2">
        <f>'[01_Entry.xlsx]Book'!E1203</f>
        <v/>
      </c>
      <c r="E1203" s="2">
        <f>'[01_Entry.xlsx]Book'!O1203</f>
        <v/>
      </c>
      <c r="F1203" s="2">
        <f>'[01_Entry.xlsx]Book'!N1203</f>
        <v/>
      </c>
      <c r="G1203" s="3">
        <f>'[01_Entry.xlsx]Book'!L1203</f>
        <v/>
      </c>
      <c r="H1203" s="3">
        <f>'[01_Entry.xlsx]Book'!M1203</f>
        <v/>
      </c>
      <c r="I1203" s="3">
        <f>'[01_Entry.xlsx]Book'!K1203</f>
        <v/>
      </c>
      <c r="J1203" s="3">
        <f>'[01_Entry.xlsx]Book'!P1203</f>
        <v/>
      </c>
      <c r="K1203" s="3">
        <f>'[01_Entry.xlsx]Book'!F1203</f>
        <v/>
      </c>
      <c r="L1203" s="3">
        <f>'[01_Entry.xlsx]Book'!G1203</f>
        <v/>
      </c>
      <c r="M1203" s="3">
        <f>'[01_Entry.xlsx]Book'!I1203</f>
        <v/>
      </c>
      <c r="N1203" s="2">
        <f>IF($A1203="","",MID($A1203,6,2))</f>
        <v>0</v>
      </c>
      <c r="O1203" s="2">
        <f>IF(OR($C1203="",$C1203&lt;&gt;'Inv'!$D$12),"",N(O$1202)+1)</f>
        <v>0</v>
      </c>
    </row>
    <row r="1204" spans="1:15">
      <c r="A1204" s="2">
        <f>'[01_Entry.xlsx]Book'!A1204</f>
        <v/>
      </c>
      <c r="B1204" s="2">
        <f>'[01_Entry.xlsx]Book'!B1204</f>
        <v/>
      </c>
      <c r="C1204" s="2">
        <f>'[01_Entry.xlsx]Book'!D1204</f>
        <v/>
      </c>
      <c r="D1204" s="2">
        <f>'[01_Entry.xlsx]Book'!E1204</f>
        <v/>
      </c>
      <c r="E1204" s="2">
        <f>'[01_Entry.xlsx]Book'!O1204</f>
        <v/>
      </c>
      <c r="F1204" s="2">
        <f>'[01_Entry.xlsx]Book'!N1204</f>
        <v/>
      </c>
      <c r="G1204" s="3">
        <f>'[01_Entry.xlsx]Book'!L1204</f>
        <v/>
      </c>
      <c r="H1204" s="3">
        <f>'[01_Entry.xlsx]Book'!M1204</f>
        <v/>
      </c>
      <c r="I1204" s="3">
        <f>'[01_Entry.xlsx]Book'!K1204</f>
        <v/>
      </c>
      <c r="J1204" s="3">
        <f>'[01_Entry.xlsx]Book'!P1204</f>
        <v/>
      </c>
      <c r="K1204" s="3">
        <f>'[01_Entry.xlsx]Book'!F1204</f>
        <v/>
      </c>
      <c r="L1204" s="3">
        <f>'[01_Entry.xlsx]Book'!G1204</f>
        <v/>
      </c>
      <c r="M1204" s="3">
        <f>'[01_Entry.xlsx]Book'!I1204</f>
        <v/>
      </c>
      <c r="N1204" s="2">
        <f>IF($A1204="","",MID($A1204,6,2))</f>
        <v>0</v>
      </c>
      <c r="O1204" s="2">
        <f>IF(OR($C1204="",$C1204&lt;&gt;'Inv'!$D$12),"",N(O$1203)+1)</f>
        <v>0</v>
      </c>
    </row>
    <row r="1205" spans="1:15">
      <c r="A1205" s="2">
        <f>'[01_Entry.xlsx]Book'!A1205</f>
        <v/>
      </c>
      <c r="B1205" s="2">
        <f>'[01_Entry.xlsx]Book'!B1205</f>
        <v/>
      </c>
      <c r="C1205" s="2">
        <f>'[01_Entry.xlsx]Book'!D1205</f>
        <v/>
      </c>
      <c r="D1205" s="2">
        <f>'[01_Entry.xlsx]Book'!E1205</f>
        <v/>
      </c>
      <c r="E1205" s="2">
        <f>'[01_Entry.xlsx]Book'!O1205</f>
        <v/>
      </c>
      <c r="F1205" s="2">
        <f>'[01_Entry.xlsx]Book'!N1205</f>
        <v/>
      </c>
      <c r="G1205" s="3">
        <f>'[01_Entry.xlsx]Book'!L1205</f>
        <v/>
      </c>
      <c r="H1205" s="3">
        <f>'[01_Entry.xlsx]Book'!M1205</f>
        <v/>
      </c>
      <c r="I1205" s="3">
        <f>'[01_Entry.xlsx]Book'!K1205</f>
        <v/>
      </c>
      <c r="J1205" s="3">
        <f>'[01_Entry.xlsx]Book'!P1205</f>
        <v/>
      </c>
      <c r="K1205" s="3">
        <f>'[01_Entry.xlsx]Book'!F1205</f>
        <v/>
      </c>
      <c r="L1205" s="3">
        <f>'[01_Entry.xlsx]Book'!G1205</f>
        <v/>
      </c>
      <c r="M1205" s="3">
        <f>'[01_Entry.xlsx]Book'!I1205</f>
        <v/>
      </c>
      <c r="N1205" s="2">
        <f>IF($A1205="","",MID($A1205,6,2))</f>
        <v>0</v>
      </c>
      <c r="O1205" s="2">
        <f>IF(OR($C1205="",$C1205&lt;&gt;'Inv'!$D$12),"",N(O$1204)+1)</f>
        <v>0</v>
      </c>
    </row>
    <row r="1206" spans="1:15">
      <c r="A1206" s="2">
        <f>'[01_Entry.xlsx]Book'!A1206</f>
        <v/>
      </c>
      <c r="B1206" s="2">
        <f>'[01_Entry.xlsx]Book'!B1206</f>
        <v/>
      </c>
      <c r="C1206" s="2">
        <f>'[01_Entry.xlsx]Book'!D1206</f>
        <v/>
      </c>
      <c r="D1206" s="2">
        <f>'[01_Entry.xlsx]Book'!E1206</f>
        <v/>
      </c>
      <c r="E1206" s="2">
        <f>'[01_Entry.xlsx]Book'!O1206</f>
        <v/>
      </c>
      <c r="F1206" s="2">
        <f>'[01_Entry.xlsx]Book'!N1206</f>
        <v/>
      </c>
      <c r="G1206" s="3">
        <f>'[01_Entry.xlsx]Book'!L1206</f>
        <v/>
      </c>
      <c r="H1206" s="3">
        <f>'[01_Entry.xlsx]Book'!M1206</f>
        <v/>
      </c>
      <c r="I1206" s="3">
        <f>'[01_Entry.xlsx]Book'!K1206</f>
        <v/>
      </c>
      <c r="J1206" s="3">
        <f>'[01_Entry.xlsx]Book'!P1206</f>
        <v/>
      </c>
      <c r="K1206" s="3">
        <f>'[01_Entry.xlsx]Book'!F1206</f>
        <v/>
      </c>
      <c r="L1206" s="3">
        <f>'[01_Entry.xlsx]Book'!G1206</f>
        <v/>
      </c>
      <c r="M1206" s="3">
        <f>'[01_Entry.xlsx]Book'!I1206</f>
        <v/>
      </c>
      <c r="N1206" s="2">
        <f>IF($A1206="","",MID($A1206,6,2))</f>
        <v>0</v>
      </c>
      <c r="O1206" s="2">
        <f>IF(OR($C1206="",$C1206&lt;&gt;'Inv'!$D$12),"",N(O$1205)+1)</f>
        <v>0</v>
      </c>
    </row>
    <row r="1207" spans="1:15">
      <c r="A1207" s="2">
        <f>'[01_Entry.xlsx]Book'!A1207</f>
        <v/>
      </c>
      <c r="B1207" s="2">
        <f>'[01_Entry.xlsx]Book'!B1207</f>
        <v/>
      </c>
      <c r="C1207" s="2">
        <f>'[01_Entry.xlsx]Book'!D1207</f>
        <v/>
      </c>
      <c r="D1207" s="2">
        <f>'[01_Entry.xlsx]Book'!E1207</f>
        <v/>
      </c>
      <c r="E1207" s="2">
        <f>'[01_Entry.xlsx]Book'!O1207</f>
        <v/>
      </c>
      <c r="F1207" s="2">
        <f>'[01_Entry.xlsx]Book'!N1207</f>
        <v/>
      </c>
      <c r="G1207" s="3">
        <f>'[01_Entry.xlsx]Book'!L1207</f>
        <v/>
      </c>
      <c r="H1207" s="3">
        <f>'[01_Entry.xlsx]Book'!M1207</f>
        <v/>
      </c>
      <c r="I1207" s="3">
        <f>'[01_Entry.xlsx]Book'!K1207</f>
        <v/>
      </c>
      <c r="J1207" s="3">
        <f>'[01_Entry.xlsx]Book'!P1207</f>
        <v/>
      </c>
      <c r="K1207" s="3">
        <f>'[01_Entry.xlsx]Book'!F1207</f>
        <v/>
      </c>
      <c r="L1207" s="3">
        <f>'[01_Entry.xlsx]Book'!G1207</f>
        <v/>
      </c>
      <c r="M1207" s="3">
        <f>'[01_Entry.xlsx]Book'!I1207</f>
        <v/>
      </c>
      <c r="N1207" s="2">
        <f>IF($A1207="","",MID($A1207,6,2))</f>
        <v>0</v>
      </c>
      <c r="O1207" s="2">
        <f>IF(OR($C1207="",$C1207&lt;&gt;'Inv'!$D$12),"",N(O$1206)+1)</f>
        <v>0</v>
      </c>
    </row>
    <row r="1208" spans="1:15">
      <c r="A1208" s="2">
        <f>'[01_Entry.xlsx]Book'!A1208</f>
        <v/>
      </c>
      <c r="B1208" s="2">
        <f>'[01_Entry.xlsx]Book'!B1208</f>
        <v/>
      </c>
      <c r="C1208" s="2">
        <f>'[01_Entry.xlsx]Book'!D1208</f>
        <v/>
      </c>
      <c r="D1208" s="2">
        <f>'[01_Entry.xlsx]Book'!E1208</f>
        <v/>
      </c>
      <c r="E1208" s="2">
        <f>'[01_Entry.xlsx]Book'!O1208</f>
        <v/>
      </c>
      <c r="F1208" s="2">
        <f>'[01_Entry.xlsx]Book'!N1208</f>
        <v/>
      </c>
      <c r="G1208" s="3">
        <f>'[01_Entry.xlsx]Book'!L1208</f>
        <v/>
      </c>
      <c r="H1208" s="3">
        <f>'[01_Entry.xlsx]Book'!M1208</f>
        <v/>
      </c>
      <c r="I1208" s="3">
        <f>'[01_Entry.xlsx]Book'!K1208</f>
        <v/>
      </c>
      <c r="J1208" s="3">
        <f>'[01_Entry.xlsx]Book'!P1208</f>
        <v/>
      </c>
      <c r="K1208" s="3">
        <f>'[01_Entry.xlsx]Book'!F1208</f>
        <v/>
      </c>
      <c r="L1208" s="3">
        <f>'[01_Entry.xlsx]Book'!G1208</f>
        <v/>
      </c>
      <c r="M1208" s="3">
        <f>'[01_Entry.xlsx]Book'!I1208</f>
        <v/>
      </c>
      <c r="N1208" s="2">
        <f>IF($A1208="","",MID($A1208,6,2))</f>
        <v>0</v>
      </c>
      <c r="O1208" s="2">
        <f>IF(OR($C1208="",$C1208&lt;&gt;'Inv'!$D$12),"",N(O$1207)+1)</f>
        <v>0</v>
      </c>
    </row>
    <row r="1209" spans="1:15">
      <c r="A1209" s="2">
        <f>'[01_Entry.xlsx]Book'!A1209</f>
        <v/>
      </c>
      <c r="B1209" s="2">
        <f>'[01_Entry.xlsx]Book'!B1209</f>
        <v/>
      </c>
      <c r="C1209" s="2">
        <f>'[01_Entry.xlsx]Book'!D1209</f>
        <v/>
      </c>
      <c r="D1209" s="2">
        <f>'[01_Entry.xlsx]Book'!E1209</f>
        <v/>
      </c>
      <c r="E1209" s="2">
        <f>'[01_Entry.xlsx]Book'!O1209</f>
        <v/>
      </c>
      <c r="F1209" s="2">
        <f>'[01_Entry.xlsx]Book'!N1209</f>
        <v/>
      </c>
      <c r="G1209" s="3">
        <f>'[01_Entry.xlsx]Book'!L1209</f>
        <v/>
      </c>
      <c r="H1209" s="3">
        <f>'[01_Entry.xlsx]Book'!M1209</f>
        <v/>
      </c>
      <c r="I1209" s="3">
        <f>'[01_Entry.xlsx]Book'!K1209</f>
        <v/>
      </c>
      <c r="J1209" s="3">
        <f>'[01_Entry.xlsx]Book'!P1209</f>
        <v/>
      </c>
      <c r="K1209" s="3">
        <f>'[01_Entry.xlsx]Book'!F1209</f>
        <v/>
      </c>
      <c r="L1209" s="3">
        <f>'[01_Entry.xlsx]Book'!G1209</f>
        <v/>
      </c>
      <c r="M1209" s="3">
        <f>'[01_Entry.xlsx]Book'!I1209</f>
        <v/>
      </c>
      <c r="N1209" s="2">
        <f>IF($A1209="","",MID($A1209,6,2))</f>
        <v>0</v>
      </c>
      <c r="O1209" s="2">
        <f>IF(OR($C1209="",$C1209&lt;&gt;'Inv'!$D$12),"",N(O$1208)+1)</f>
        <v>0</v>
      </c>
    </row>
    <row r="1210" spans="1:15">
      <c r="A1210" s="2" t="str">
        <f>'[01_Entry.xlsx]Book'!A1210</f>
        <v>1405/07/06</v>
      </c>
      <c r="B1210" s="2" t="str">
        <f>'[01_Entry.xlsx]Book'!B1210</f>
        <v>PV-001</v>
      </c>
      <c r="C1210" s="2" t="str">
        <f>'[01_Entry.xlsx]Book'!D1210</f>
        <v>C001</v>
      </c>
      <c r="D1210" s="2" t="str">
        <f>'[01_Entry.xlsx]Book'!E1210</f>
        <v>علی‌الحساب خرید</v>
      </c>
      <c r="E1210" s="2" t="str">
        <f>'[01_Entry.xlsx]Book'!O1210</f>
        <v>باغدار</v>
      </c>
      <c r="F1210" s="2" t="str">
        <f>'[01_Entry.xlsx]Book'!N1210</f>
        <v>پرداخت — نقد</v>
      </c>
      <c r="G1210" s="3">
        <f>'[01_Entry.xlsx]Book'!L1210</f>
        <v>150000000</v>
      </c>
      <c r="H1210" s="3">
        <f>'[01_Entry.xlsx]Book'!M1210</f>
        <v/>
      </c>
      <c r="I1210" s="3">
        <f>'[01_Entry.xlsx]Book'!K1210</f>
        <v>150000000</v>
      </c>
      <c r="J1210" s="3">
        <f>'[01_Entry.xlsx]Book'!P1210</f>
        <v/>
      </c>
      <c r="K1210" s="3">
        <f>'[01_Entry.xlsx]Book'!F1210</f>
        <v/>
      </c>
      <c r="L1210" s="3">
        <f>'[01_Entry.xlsx]Book'!G1210</f>
        <v/>
      </c>
      <c r="M1210" s="3">
        <f>'[01_Entry.xlsx]Book'!I1210</f>
        <v/>
      </c>
      <c r="N1210" s="2">
        <f>IF($A1210="","",MID($A1210,6,2))</f>
        <v>0</v>
      </c>
      <c r="O1210" s="2">
        <f>IF(OR($C1210="",$C1210&lt;&gt;'Inv'!$D$12),"",N(O$1209)+1)</f>
        <v>0</v>
      </c>
    </row>
    <row r="1211" spans="1:15">
      <c r="A1211" s="2" t="str">
        <f>'[01_Entry.xlsx]Book'!A1211</f>
        <v>1405/07/06</v>
      </c>
      <c r="B1211" s="2" t="str">
        <f>'[01_Entry.xlsx]Book'!B1211</f>
        <v>PV-001</v>
      </c>
      <c r="C1211" s="2" t="str">
        <f>'[01_Entry.xlsx]Book'!D1211</f>
        <v>X003</v>
      </c>
      <c r="D1211" s="2" t="str">
        <f>'[01_Entry.xlsx]Book'!E1211</f>
        <v>علی‌الحساب خرید</v>
      </c>
      <c r="E1211" s="2" t="str">
        <f>'[01_Entry.xlsx]Book'!O1211</f>
        <v>سایر حساب</v>
      </c>
      <c r="F1211" s="2" t="str">
        <f>'[01_Entry.xlsx]Book'!N1211</f>
        <v>پرداخت — نقد</v>
      </c>
      <c r="G1211" s="3">
        <f>'[01_Entry.xlsx]Book'!L1211</f>
        <v/>
      </c>
      <c r="H1211" s="3">
        <f>'[01_Entry.xlsx]Book'!M1211</f>
        <v>150000000</v>
      </c>
      <c r="I1211" s="3">
        <f>'[01_Entry.xlsx]Book'!K1211</f>
        <v>150000000</v>
      </c>
      <c r="J1211" s="3">
        <f>'[01_Entry.xlsx]Book'!P1211</f>
        <v/>
      </c>
      <c r="K1211" s="3">
        <f>'[01_Entry.xlsx]Book'!F1211</f>
        <v/>
      </c>
      <c r="L1211" s="3">
        <f>'[01_Entry.xlsx]Book'!G1211</f>
        <v/>
      </c>
      <c r="M1211" s="3">
        <f>'[01_Entry.xlsx]Book'!I1211</f>
        <v/>
      </c>
      <c r="N1211" s="2">
        <f>IF($A1211="","",MID($A1211,6,2))</f>
        <v>0</v>
      </c>
      <c r="O1211" s="2">
        <f>IF(OR($C1211="",$C1211&lt;&gt;'Inv'!$D$12),"",N(O$1210)+1)</f>
        <v>0</v>
      </c>
    </row>
    <row r="1212" spans="1:15">
      <c r="A1212" s="2" t="str">
        <f>'[01_Entry.xlsx]Book'!A1212</f>
        <v>1405/07/06</v>
      </c>
      <c r="B1212" s="2" t="str">
        <f>'[01_Entry.xlsx]Book'!B1212</f>
        <v>RV-001</v>
      </c>
      <c r="C1212" s="2" t="str">
        <f>'[01_Entry.xlsx]Book'!D1212</f>
        <v>BN01</v>
      </c>
      <c r="D1212" s="2" t="str">
        <f>'[01_Entry.xlsx]Book'!E1212</f>
        <v>تسویه بار</v>
      </c>
      <c r="E1212" s="2" t="str">
        <f>'[01_Entry.xlsx]Book'!O1212</f>
        <v>بانک و صندوق</v>
      </c>
      <c r="F1212" s="2" t="str">
        <f>'[01_Entry.xlsx]Book'!N1212</f>
        <v>دریافت — انتقال بانکی</v>
      </c>
      <c r="G1212" s="3">
        <f>'[01_Entry.xlsx]Book'!L1212</f>
        <v>300000000</v>
      </c>
      <c r="H1212" s="3">
        <f>'[01_Entry.xlsx]Book'!M1212</f>
        <v/>
      </c>
      <c r="I1212" s="3">
        <f>'[01_Entry.xlsx]Book'!K1212</f>
        <v>300000000</v>
      </c>
      <c r="J1212" s="3">
        <f>'[01_Entry.xlsx]Book'!P1212</f>
        <v/>
      </c>
      <c r="K1212" s="3">
        <f>'[01_Entry.xlsx]Book'!F1212</f>
        <v/>
      </c>
      <c r="L1212" s="3">
        <f>'[01_Entry.xlsx]Book'!G1212</f>
        <v/>
      </c>
      <c r="M1212" s="3">
        <f>'[01_Entry.xlsx]Book'!I1212</f>
        <v/>
      </c>
      <c r="N1212" s="2">
        <f>IF($A1212="","",MID($A1212,6,2))</f>
        <v>0</v>
      </c>
      <c r="O1212" s="2">
        <f>IF(OR($C1212="",$C1212&lt;&gt;'Inv'!$D$12),"",N(O$1211)+1)</f>
        <v>0</v>
      </c>
    </row>
    <row r="1213" spans="1:15">
      <c r="A1213" s="2" t="str">
        <f>'[01_Entry.xlsx]Book'!A1213</f>
        <v>1405/07/06</v>
      </c>
      <c r="B1213" s="2" t="str">
        <f>'[01_Entry.xlsx]Book'!B1213</f>
        <v>RV-001</v>
      </c>
      <c r="C1213" s="2" t="str">
        <f>'[01_Entry.xlsx]Book'!D1213</f>
        <v>SL001</v>
      </c>
      <c r="D1213" s="2" t="str">
        <f>'[01_Entry.xlsx]Book'!E1213</f>
        <v>تسویه بار</v>
      </c>
      <c r="E1213" s="2" t="str">
        <f>'[01_Entry.xlsx]Book'!O1213</f>
        <v>بارفروش</v>
      </c>
      <c r="F1213" s="2" t="str">
        <f>'[01_Entry.xlsx]Book'!N1213</f>
        <v>دریافت — انتقال بانکی</v>
      </c>
      <c r="G1213" s="3">
        <f>'[01_Entry.xlsx]Book'!L1213</f>
        <v/>
      </c>
      <c r="H1213" s="3">
        <f>'[01_Entry.xlsx]Book'!M1213</f>
        <v>300000000</v>
      </c>
      <c r="I1213" s="3">
        <f>'[01_Entry.xlsx]Book'!K1213</f>
        <v>300000000</v>
      </c>
      <c r="J1213" s="3">
        <f>'[01_Entry.xlsx]Book'!P1213</f>
        <v/>
      </c>
      <c r="K1213" s="3">
        <f>'[01_Entry.xlsx]Book'!F1213</f>
        <v/>
      </c>
      <c r="L1213" s="3">
        <f>'[01_Entry.xlsx]Book'!G1213</f>
        <v/>
      </c>
      <c r="M1213" s="3">
        <f>'[01_Entry.xlsx]Book'!I1213</f>
        <v/>
      </c>
      <c r="N1213" s="2">
        <f>IF($A1213="","",MID($A1213,6,2))</f>
        <v>0</v>
      </c>
      <c r="O1213" s="2">
        <f>IF(OR($C1213="",$C1213&lt;&gt;'Inv'!$D$12),"",N(O$1212)+1)</f>
        <v>0</v>
      </c>
    </row>
    <row r="1214" spans="1:15">
      <c r="A1214" s="2" t="str">
        <f>'[01_Entry.xlsx]Book'!A1214</f>
        <v>1405/07/07</v>
      </c>
      <c r="B1214" s="2" t="str">
        <f>'[01_Entry.xlsx]Book'!B1214</f>
        <v>PV-002</v>
      </c>
      <c r="C1214" s="2" t="str">
        <f>'[01_Entry.xlsx]Book'!D1214</f>
        <v>C002</v>
      </c>
      <c r="D1214" s="2" t="str">
        <f>'[01_Entry.xlsx]Book'!E1214</f>
        <v>چک ۳۰ روزه</v>
      </c>
      <c r="E1214" s="2" t="str">
        <f>'[01_Entry.xlsx]Book'!O1214</f>
        <v>باغدار</v>
      </c>
      <c r="F1214" s="2" t="str">
        <f>'[01_Entry.xlsx]Book'!N1214</f>
        <v>پرداخت — چک</v>
      </c>
      <c r="G1214" s="3">
        <f>'[01_Entry.xlsx]Book'!L1214</f>
        <v>200000000</v>
      </c>
      <c r="H1214" s="3">
        <f>'[01_Entry.xlsx]Book'!M1214</f>
        <v/>
      </c>
      <c r="I1214" s="3">
        <f>'[01_Entry.xlsx]Book'!K1214</f>
        <v>200000000</v>
      </c>
      <c r="J1214" s="3">
        <f>'[01_Entry.xlsx]Book'!P1214</f>
        <v/>
      </c>
      <c r="K1214" s="3">
        <f>'[01_Entry.xlsx]Book'!F1214</f>
        <v/>
      </c>
      <c r="L1214" s="3">
        <f>'[01_Entry.xlsx]Book'!G1214</f>
        <v/>
      </c>
      <c r="M1214" s="3">
        <f>'[01_Entry.xlsx]Book'!I1214</f>
        <v/>
      </c>
      <c r="N1214" s="2">
        <f>IF($A1214="","",MID($A1214,6,2))</f>
        <v>0</v>
      </c>
      <c r="O1214" s="2">
        <f>IF(OR($C1214="",$C1214&lt;&gt;'Inv'!$D$12),"",N(O$1213)+1)</f>
        <v>0</v>
      </c>
    </row>
    <row r="1215" spans="1:15">
      <c r="A1215" s="2" t="str">
        <f>'[01_Entry.xlsx]Book'!A1215</f>
        <v>1405/07/07</v>
      </c>
      <c r="B1215" s="2" t="str">
        <f>'[01_Entry.xlsx]Book'!B1215</f>
        <v>PV-002</v>
      </c>
      <c r="C1215" s="2" t="str">
        <f>'[01_Entry.xlsx]Book'!D1215</f>
        <v>X010</v>
      </c>
      <c r="D1215" s="2" t="str">
        <f>'[01_Entry.xlsx]Book'!E1215</f>
        <v>چک ۳۰ روزه</v>
      </c>
      <c r="E1215" s="2" t="str">
        <f>'[01_Entry.xlsx]Book'!O1215</f>
        <v>سایر حساب</v>
      </c>
      <c r="F1215" s="2" t="str">
        <f>'[01_Entry.xlsx]Book'!N1215</f>
        <v>پرداخت — چک</v>
      </c>
      <c r="G1215" s="3">
        <f>'[01_Entry.xlsx]Book'!L1215</f>
        <v/>
      </c>
      <c r="H1215" s="3">
        <f>'[01_Entry.xlsx]Book'!M1215</f>
        <v>200000000</v>
      </c>
      <c r="I1215" s="3">
        <f>'[01_Entry.xlsx]Book'!K1215</f>
        <v>200000000</v>
      </c>
      <c r="J1215" s="3">
        <f>'[01_Entry.xlsx]Book'!P1215</f>
        <v/>
      </c>
      <c r="K1215" s="3">
        <f>'[01_Entry.xlsx]Book'!F1215</f>
        <v/>
      </c>
      <c r="L1215" s="3">
        <f>'[01_Entry.xlsx]Book'!G1215</f>
        <v/>
      </c>
      <c r="M1215" s="3">
        <f>'[01_Entry.xlsx]Book'!I1215</f>
        <v/>
      </c>
      <c r="N1215" s="2">
        <f>IF($A1215="","",MID($A1215,6,2))</f>
        <v>0</v>
      </c>
      <c r="O1215" s="2">
        <f>IF(OR($C1215="",$C1215&lt;&gt;'Inv'!$D$12),"",N(O$1214)+1)</f>
        <v>0</v>
      </c>
    </row>
    <row r="1216" spans="1:15">
      <c r="A1216" s="2" t="str">
        <f>'[01_Entry.xlsx]Book'!A1216</f>
        <v>1405/07/08</v>
      </c>
      <c r="B1216" s="2" t="str">
        <f>'[01_Entry.xlsx]Book'!B1216</f>
        <v>PV-003</v>
      </c>
      <c r="C1216" s="2" t="str">
        <f>'[01_Entry.xlsx]Book'!D1216</f>
        <v>C003</v>
      </c>
      <c r="D1216" s="2">
        <f>'[01_Entry.xlsx]Book'!E1216</f>
        <v/>
      </c>
      <c r="E1216" s="2" t="str">
        <f>'[01_Entry.xlsx]Book'!O1216</f>
        <v>باغدار</v>
      </c>
      <c r="F1216" s="2" t="str">
        <f>'[01_Entry.xlsx]Book'!N1216</f>
        <v>پرداخت — انتقال بانکی</v>
      </c>
      <c r="G1216" s="3">
        <f>'[01_Entry.xlsx]Book'!L1216</f>
        <v>80000000</v>
      </c>
      <c r="H1216" s="3">
        <f>'[01_Entry.xlsx]Book'!M1216</f>
        <v/>
      </c>
      <c r="I1216" s="3">
        <f>'[01_Entry.xlsx]Book'!K1216</f>
        <v>80000000</v>
      </c>
      <c r="J1216" s="3">
        <f>'[01_Entry.xlsx]Book'!P1216</f>
        <v/>
      </c>
      <c r="K1216" s="3">
        <f>'[01_Entry.xlsx]Book'!F1216</f>
        <v/>
      </c>
      <c r="L1216" s="3">
        <f>'[01_Entry.xlsx]Book'!G1216</f>
        <v/>
      </c>
      <c r="M1216" s="3">
        <f>'[01_Entry.xlsx]Book'!I1216</f>
        <v/>
      </c>
      <c r="N1216" s="2">
        <f>IF($A1216="","",MID($A1216,6,2))</f>
        <v>0</v>
      </c>
      <c r="O1216" s="2">
        <f>IF(OR($C1216="",$C1216&lt;&gt;'Inv'!$D$12),"",N(O$1215)+1)</f>
        <v>0</v>
      </c>
    </row>
    <row r="1217" spans="1:15">
      <c r="A1217" s="2" t="str">
        <f>'[01_Entry.xlsx]Book'!A1217</f>
        <v>1405/07/08</v>
      </c>
      <c r="B1217" s="2" t="str">
        <f>'[01_Entry.xlsx]Book'!B1217</f>
        <v>PV-003</v>
      </c>
      <c r="C1217" s="2" t="str">
        <f>'[01_Entry.xlsx]Book'!D1217</f>
        <v>BN02</v>
      </c>
      <c r="D1217" s="2">
        <f>'[01_Entry.xlsx]Book'!E1217</f>
        <v/>
      </c>
      <c r="E1217" s="2" t="str">
        <f>'[01_Entry.xlsx]Book'!O1217</f>
        <v>بانک و صندوق</v>
      </c>
      <c r="F1217" s="2" t="str">
        <f>'[01_Entry.xlsx]Book'!N1217</f>
        <v>پرداخت — انتقال بانکی</v>
      </c>
      <c r="G1217" s="3">
        <f>'[01_Entry.xlsx]Book'!L1217</f>
        <v/>
      </c>
      <c r="H1217" s="3">
        <f>'[01_Entry.xlsx]Book'!M1217</f>
        <v>80000000</v>
      </c>
      <c r="I1217" s="3">
        <f>'[01_Entry.xlsx]Book'!K1217</f>
        <v>80000000</v>
      </c>
      <c r="J1217" s="3">
        <f>'[01_Entry.xlsx]Book'!P1217</f>
        <v/>
      </c>
      <c r="K1217" s="3">
        <f>'[01_Entry.xlsx]Book'!F1217</f>
        <v/>
      </c>
      <c r="L1217" s="3">
        <f>'[01_Entry.xlsx]Book'!G1217</f>
        <v/>
      </c>
      <c r="M1217" s="3">
        <f>'[01_Entry.xlsx]Book'!I1217</f>
        <v/>
      </c>
      <c r="N1217" s="2">
        <f>IF($A1217="","",MID($A1217,6,2))</f>
        <v>0</v>
      </c>
      <c r="O1217" s="2">
        <f>IF(OR($C1217="",$C1217&lt;&gt;'Inv'!$D$12),"",N(O$1216)+1)</f>
        <v>0</v>
      </c>
    </row>
    <row r="1218" spans="1:15">
      <c r="A1218" s="2" t="str">
        <f>'[01_Entry.xlsx]Book'!A1218</f>
        <v>1405/07/09</v>
      </c>
      <c r="B1218" s="2" t="str">
        <f>'[01_Entry.xlsx]Book'!B1218</f>
        <v>RV-002</v>
      </c>
      <c r="C1218" s="2" t="str">
        <f>'[01_Entry.xlsx]Book'!D1218</f>
        <v>BN02</v>
      </c>
      <c r="D1218" s="2">
        <f>'[01_Entry.xlsx]Book'!E1218</f>
        <v/>
      </c>
      <c r="E1218" s="2" t="str">
        <f>'[01_Entry.xlsx]Book'!O1218</f>
        <v>بانک و صندوق</v>
      </c>
      <c r="F1218" s="2" t="str">
        <f>'[01_Entry.xlsx]Book'!N1218</f>
        <v>دریافت — کارت/پوز</v>
      </c>
      <c r="G1218" s="3">
        <f>'[01_Entry.xlsx]Book'!L1218</f>
        <v>120000000</v>
      </c>
      <c r="H1218" s="3">
        <f>'[01_Entry.xlsx]Book'!M1218</f>
        <v/>
      </c>
      <c r="I1218" s="3">
        <f>'[01_Entry.xlsx]Book'!K1218</f>
        <v>120000000</v>
      </c>
      <c r="J1218" s="3">
        <f>'[01_Entry.xlsx]Book'!P1218</f>
        <v/>
      </c>
      <c r="K1218" s="3">
        <f>'[01_Entry.xlsx]Book'!F1218</f>
        <v/>
      </c>
      <c r="L1218" s="3">
        <f>'[01_Entry.xlsx]Book'!G1218</f>
        <v/>
      </c>
      <c r="M1218" s="3">
        <f>'[01_Entry.xlsx]Book'!I1218</f>
        <v/>
      </c>
      <c r="N1218" s="2">
        <f>IF($A1218="","",MID($A1218,6,2))</f>
        <v>0</v>
      </c>
      <c r="O1218" s="2">
        <f>IF(OR($C1218="",$C1218&lt;&gt;'Inv'!$D$12),"",N(O$1217)+1)</f>
        <v>0</v>
      </c>
    </row>
    <row r="1219" spans="1:15">
      <c r="A1219" s="2" t="str">
        <f>'[01_Entry.xlsx]Book'!A1219</f>
        <v>1405/07/09</v>
      </c>
      <c r="B1219" s="2" t="str">
        <f>'[01_Entry.xlsx]Book'!B1219</f>
        <v>RV-002</v>
      </c>
      <c r="C1219" s="2" t="str">
        <f>'[01_Entry.xlsx]Book'!D1219</f>
        <v>SL002</v>
      </c>
      <c r="D1219" s="2">
        <f>'[01_Entry.xlsx]Book'!E1219</f>
        <v/>
      </c>
      <c r="E1219" s="2" t="str">
        <f>'[01_Entry.xlsx]Book'!O1219</f>
        <v>بارفروش</v>
      </c>
      <c r="F1219" s="2" t="str">
        <f>'[01_Entry.xlsx]Book'!N1219</f>
        <v>دریافت — کارت/پوز</v>
      </c>
      <c r="G1219" s="3">
        <f>'[01_Entry.xlsx]Book'!L1219</f>
        <v/>
      </c>
      <c r="H1219" s="3">
        <f>'[01_Entry.xlsx]Book'!M1219</f>
        <v>120000000</v>
      </c>
      <c r="I1219" s="3">
        <f>'[01_Entry.xlsx]Book'!K1219</f>
        <v>120000000</v>
      </c>
      <c r="J1219" s="3">
        <f>'[01_Entry.xlsx]Book'!P1219</f>
        <v/>
      </c>
      <c r="K1219" s="3">
        <f>'[01_Entry.xlsx]Book'!F1219</f>
        <v/>
      </c>
      <c r="L1219" s="3">
        <f>'[01_Entry.xlsx]Book'!G1219</f>
        <v/>
      </c>
      <c r="M1219" s="3">
        <f>'[01_Entry.xlsx]Book'!I1219</f>
        <v/>
      </c>
      <c r="N1219" s="2">
        <f>IF($A1219="","",MID($A1219,6,2))</f>
        <v>0</v>
      </c>
      <c r="O1219" s="2">
        <f>IF(OR($C1219="",$C1219&lt;&gt;'Inv'!$D$12),"",N(O$1218)+1)</f>
        <v>0</v>
      </c>
    </row>
    <row r="1220" spans="1:15">
      <c r="A1220" s="2" t="str">
        <f>'[01_Entry.xlsx]Book'!A1220</f>
        <v>1405/07/10</v>
      </c>
      <c r="B1220" s="2" t="str">
        <f>'[01_Entry.xlsx]Book'!B1220</f>
        <v>PV-004</v>
      </c>
      <c r="C1220" s="2" t="str">
        <f>'[01_Entry.xlsx]Book'!D1220</f>
        <v>X010</v>
      </c>
      <c r="D1220" s="2" t="str">
        <f>'[01_Entry.xlsx]Book'!E1220</f>
        <v>پاس شدن چک</v>
      </c>
      <c r="E1220" s="2" t="str">
        <f>'[01_Entry.xlsx]Book'!O1220</f>
        <v>سایر حساب</v>
      </c>
      <c r="F1220" s="2" t="str">
        <f>'[01_Entry.xlsx]Book'!N1220</f>
        <v>پرداخت — پاس چک</v>
      </c>
      <c r="G1220" s="3">
        <f>'[01_Entry.xlsx]Book'!L1220</f>
        <v>200000000</v>
      </c>
      <c r="H1220" s="3">
        <f>'[01_Entry.xlsx]Book'!M1220</f>
        <v/>
      </c>
      <c r="I1220" s="3">
        <f>'[01_Entry.xlsx]Book'!K1220</f>
        <v>200000000</v>
      </c>
      <c r="J1220" s="3">
        <f>'[01_Entry.xlsx]Book'!P1220</f>
        <v/>
      </c>
      <c r="K1220" s="3">
        <f>'[01_Entry.xlsx]Book'!F1220</f>
        <v/>
      </c>
      <c r="L1220" s="3">
        <f>'[01_Entry.xlsx]Book'!G1220</f>
        <v/>
      </c>
      <c r="M1220" s="3">
        <f>'[01_Entry.xlsx]Book'!I1220</f>
        <v/>
      </c>
      <c r="N1220" s="2">
        <f>IF($A1220="","",MID($A1220,6,2))</f>
        <v>0</v>
      </c>
      <c r="O1220" s="2">
        <f>IF(OR($C1220="",$C1220&lt;&gt;'Inv'!$D$12),"",N(O$1219)+1)</f>
        <v>0</v>
      </c>
    </row>
    <row r="1221" spans="1:15">
      <c r="A1221" s="2" t="str">
        <f>'[01_Entry.xlsx]Book'!A1221</f>
        <v>1405/07/10</v>
      </c>
      <c r="B1221" s="2" t="str">
        <f>'[01_Entry.xlsx]Book'!B1221</f>
        <v>PV-004</v>
      </c>
      <c r="C1221" s="2" t="str">
        <f>'[01_Entry.xlsx]Book'!D1221</f>
        <v>BN01</v>
      </c>
      <c r="D1221" s="2" t="str">
        <f>'[01_Entry.xlsx]Book'!E1221</f>
        <v>پاس شدن چک</v>
      </c>
      <c r="E1221" s="2" t="str">
        <f>'[01_Entry.xlsx]Book'!O1221</f>
        <v>بانک و صندوق</v>
      </c>
      <c r="F1221" s="2" t="str">
        <f>'[01_Entry.xlsx]Book'!N1221</f>
        <v>پرداخت — پاس چک</v>
      </c>
      <c r="G1221" s="3">
        <f>'[01_Entry.xlsx]Book'!L1221</f>
        <v/>
      </c>
      <c r="H1221" s="3">
        <f>'[01_Entry.xlsx]Book'!M1221</f>
        <v>200000000</v>
      </c>
      <c r="I1221" s="3">
        <f>'[01_Entry.xlsx]Book'!K1221</f>
        <v>200000000</v>
      </c>
      <c r="J1221" s="3">
        <f>'[01_Entry.xlsx]Book'!P1221</f>
        <v/>
      </c>
      <c r="K1221" s="3">
        <f>'[01_Entry.xlsx]Book'!F1221</f>
        <v/>
      </c>
      <c r="L1221" s="3">
        <f>'[01_Entry.xlsx]Book'!G1221</f>
        <v/>
      </c>
      <c r="M1221" s="3">
        <f>'[01_Entry.xlsx]Book'!I1221</f>
        <v/>
      </c>
      <c r="N1221" s="2">
        <f>IF($A1221="","",MID($A1221,6,2))</f>
        <v>0</v>
      </c>
      <c r="O1221" s="2">
        <f>IF(OR($C1221="",$C1221&lt;&gt;'Inv'!$D$12),"",N(O$1220)+1)</f>
        <v>0</v>
      </c>
    </row>
    <row r="1222" spans="1:15">
      <c r="A1222" s="2" t="str">
        <f>'[01_Entry.xlsx]Book'!A1222</f>
        <v>1405/07/10</v>
      </c>
      <c r="B1222" s="2" t="str">
        <f>'[01_Entry.xlsx]Book'!B1222</f>
        <v>PV-005</v>
      </c>
      <c r="C1222" s="2" t="str">
        <f>'[01_Entry.xlsx]Book'!D1222</f>
        <v>C006</v>
      </c>
      <c r="D1222" s="2">
        <f>'[01_Entry.xlsx]Book'!E1222</f>
        <v/>
      </c>
      <c r="E1222" s="2" t="str">
        <f>'[01_Entry.xlsx]Book'!O1222</f>
        <v>باغدار</v>
      </c>
      <c r="F1222" s="2" t="str">
        <f>'[01_Entry.xlsx]Book'!N1222</f>
        <v>پرداخت — نقد</v>
      </c>
      <c r="G1222" s="3">
        <f>'[01_Entry.xlsx]Book'!L1222</f>
        <v>30000000</v>
      </c>
      <c r="H1222" s="3">
        <f>'[01_Entry.xlsx]Book'!M1222</f>
        <v/>
      </c>
      <c r="I1222" s="3">
        <f>'[01_Entry.xlsx]Book'!K1222</f>
        <v>30000000</v>
      </c>
      <c r="J1222" s="3">
        <f>'[01_Entry.xlsx]Book'!P1222</f>
        <v/>
      </c>
      <c r="K1222" s="3">
        <f>'[01_Entry.xlsx]Book'!F1222</f>
        <v/>
      </c>
      <c r="L1222" s="3">
        <f>'[01_Entry.xlsx]Book'!G1222</f>
        <v/>
      </c>
      <c r="M1222" s="3">
        <f>'[01_Entry.xlsx]Book'!I1222</f>
        <v/>
      </c>
      <c r="N1222" s="2">
        <f>IF($A1222="","",MID($A1222,6,2))</f>
        <v>0</v>
      </c>
      <c r="O1222" s="2">
        <f>IF(OR($C1222="",$C1222&lt;&gt;'Inv'!$D$12),"",N(O$1221)+1)</f>
        <v>0</v>
      </c>
    </row>
    <row r="1223" spans="1:15">
      <c r="A1223" s="2" t="str">
        <f>'[01_Entry.xlsx]Book'!A1223</f>
        <v>1405/07/10</v>
      </c>
      <c r="B1223" s="2" t="str">
        <f>'[01_Entry.xlsx]Book'!B1223</f>
        <v>PV-005</v>
      </c>
      <c r="C1223" s="2" t="str">
        <f>'[01_Entry.xlsx]Book'!D1223</f>
        <v>X003</v>
      </c>
      <c r="D1223" s="2">
        <f>'[01_Entry.xlsx]Book'!E1223</f>
        <v/>
      </c>
      <c r="E1223" s="2" t="str">
        <f>'[01_Entry.xlsx]Book'!O1223</f>
        <v>سایر حساب</v>
      </c>
      <c r="F1223" s="2" t="str">
        <f>'[01_Entry.xlsx]Book'!N1223</f>
        <v>پرداخت — نقد</v>
      </c>
      <c r="G1223" s="3">
        <f>'[01_Entry.xlsx]Book'!L1223</f>
        <v/>
      </c>
      <c r="H1223" s="3">
        <f>'[01_Entry.xlsx]Book'!M1223</f>
        <v>30000000</v>
      </c>
      <c r="I1223" s="3">
        <f>'[01_Entry.xlsx]Book'!K1223</f>
        <v>30000000</v>
      </c>
      <c r="J1223" s="3">
        <f>'[01_Entry.xlsx]Book'!P1223</f>
        <v/>
      </c>
      <c r="K1223" s="3">
        <f>'[01_Entry.xlsx]Book'!F1223</f>
        <v/>
      </c>
      <c r="L1223" s="3">
        <f>'[01_Entry.xlsx]Book'!G1223</f>
        <v/>
      </c>
      <c r="M1223" s="3">
        <f>'[01_Entry.xlsx]Book'!I1223</f>
        <v/>
      </c>
      <c r="N1223" s="2">
        <f>IF($A1223="","",MID($A1223,6,2))</f>
        <v>0</v>
      </c>
      <c r="O1223" s="2">
        <f>IF(OR($C1223="",$C1223&lt;&gt;'Inv'!$D$12),"",N(O$1222)+1)</f>
        <v>0</v>
      </c>
    </row>
    <row r="1224" spans="1:15">
      <c r="A1224" s="2" t="str">
        <f>'[01_Entry.xlsx]Book'!A1224</f>
        <v>1405/07/11</v>
      </c>
      <c r="B1224" s="2" t="str">
        <f>'[01_Entry.xlsx]Book'!B1224</f>
        <v>RV-003</v>
      </c>
      <c r="C1224" s="2" t="str">
        <f>'[01_Entry.xlsx]Book'!D1224</f>
        <v>BN02</v>
      </c>
      <c r="D1224" s="2">
        <f>'[01_Entry.xlsx]Book'!E1224</f>
        <v/>
      </c>
      <c r="E1224" s="2" t="str">
        <f>'[01_Entry.xlsx]Book'!O1224</f>
        <v>بانک و صندوق</v>
      </c>
      <c r="F1224" s="2" t="str">
        <f>'[01_Entry.xlsx]Book'!N1224</f>
        <v>دریافت — انتقال بانکی</v>
      </c>
      <c r="G1224" s="3">
        <f>'[01_Entry.xlsx]Book'!L1224</f>
        <v>100000000</v>
      </c>
      <c r="H1224" s="3">
        <f>'[01_Entry.xlsx]Book'!M1224</f>
        <v/>
      </c>
      <c r="I1224" s="3">
        <f>'[01_Entry.xlsx]Book'!K1224</f>
        <v>100000000</v>
      </c>
      <c r="J1224" s="3">
        <f>'[01_Entry.xlsx]Book'!P1224</f>
        <v/>
      </c>
      <c r="K1224" s="3">
        <f>'[01_Entry.xlsx]Book'!F1224</f>
        <v/>
      </c>
      <c r="L1224" s="3">
        <f>'[01_Entry.xlsx]Book'!G1224</f>
        <v/>
      </c>
      <c r="M1224" s="3">
        <f>'[01_Entry.xlsx]Book'!I1224</f>
        <v/>
      </c>
      <c r="N1224" s="2">
        <f>IF($A1224="","",MID($A1224,6,2))</f>
        <v>0</v>
      </c>
      <c r="O1224" s="2">
        <f>IF(OR($C1224="",$C1224&lt;&gt;'Inv'!$D$12),"",N(O$1223)+1)</f>
        <v>0</v>
      </c>
    </row>
    <row r="1225" spans="1:15">
      <c r="A1225" s="2" t="str">
        <f>'[01_Entry.xlsx]Book'!A1225</f>
        <v>1405/07/11</v>
      </c>
      <c r="B1225" s="2" t="str">
        <f>'[01_Entry.xlsx]Book'!B1225</f>
        <v>RV-003</v>
      </c>
      <c r="C1225" s="2" t="str">
        <f>'[01_Entry.xlsx]Book'!D1225</f>
        <v>SL001</v>
      </c>
      <c r="D1225" s="2">
        <f>'[01_Entry.xlsx]Book'!E1225</f>
        <v/>
      </c>
      <c r="E1225" s="2" t="str">
        <f>'[01_Entry.xlsx]Book'!O1225</f>
        <v>بارفروش</v>
      </c>
      <c r="F1225" s="2" t="str">
        <f>'[01_Entry.xlsx]Book'!N1225</f>
        <v>دریافت — انتقال بانکی</v>
      </c>
      <c r="G1225" s="3">
        <f>'[01_Entry.xlsx]Book'!L1225</f>
        <v/>
      </c>
      <c r="H1225" s="3">
        <f>'[01_Entry.xlsx]Book'!M1225</f>
        <v>100000000</v>
      </c>
      <c r="I1225" s="3">
        <f>'[01_Entry.xlsx]Book'!K1225</f>
        <v>100000000</v>
      </c>
      <c r="J1225" s="3">
        <f>'[01_Entry.xlsx]Book'!P1225</f>
        <v/>
      </c>
      <c r="K1225" s="3">
        <f>'[01_Entry.xlsx]Book'!F1225</f>
        <v/>
      </c>
      <c r="L1225" s="3">
        <f>'[01_Entry.xlsx]Book'!G1225</f>
        <v/>
      </c>
      <c r="M1225" s="3">
        <f>'[01_Entry.xlsx]Book'!I1225</f>
        <v/>
      </c>
      <c r="N1225" s="2">
        <f>IF($A1225="","",MID($A1225,6,2))</f>
        <v>0</v>
      </c>
      <c r="O1225" s="2">
        <f>IF(OR($C1225="",$C1225&lt;&gt;'Inv'!$D$12),"",N(O$1224)+1)</f>
        <v>0</v>
      </c>
    </row>
    <row r="1226" spans="1:15">
      <c r="A1226" s="2" t="str">
        <f>'[01_Entry.xlsx]Book'!A1226</f>
        <v>1405/07/11</v>
      </c>
      <c r="B1226" s="2" t="str">
        <f>'[01_Entry.xlsx]Book'!B1226</f>
        <v>PV-006</v>
      </c>
      <c r="C1226" s="2" t="str">
        <f>'[01_Entry.xlsx]Book'!D1226</f>
        <v>X001</v>
      </c>
      <c r="D1226" s="2" t="str">
        <f>'[01_Entry.xlsx]Book'!E1226</f>
        <v>تسویه انعام مصطفی</v>
      </c>
      <c r="E1226" s="2" t="str">
        <f>'[01_Entry.xlsx]Book'!O1226</f>
        <v>سایر حساب</v>
      </c>
      <c r="F1226" s="2" t="str">
        <f>'[01_Entry.xlsx]Book'!N1226</f>
        <v>پرداخت — نقد</v>
      </c>
      <c r="G1226" s="3">
        <f>'[01_Entry.xlsx]Book'!L1226</f>
        <v>500000</v>
      </c>
      <c r="H1226" s="3">
        <f>'[01_Entry.xlsx]Book'!M1226</f>
        <v/>
      </c>
      <c r="I1226" s="3">
        <f>'[01_Entry.xlsx]Book'!K1226</f>
        <v>500000</v>
      </c>
      <c r="J1226" s="3">
        <f>'[01_Entry.xlsx]Book'!P1226</f>
        <v/>
      </c>
      <c r="K1226" s="3">
        <f>'[01_Entry.xlsx]Book'!F1226</f>
        <v/>
      </c>
      <c r="L1226" s="3">
        <f>'[01_Entry.xlsx]Book'!G1226</f>
        <v/>
      </c>
      <c r="M1226" s="3">
        <f>'[01_Entry.xlsx]Book'!I1226</f>
        <v/>
      </c>
      <c r="N1226" s="2">
        <f>IF($A1226="","",MID($A1226,6,2))</f>
        <v>0</v>
      </c>
      <c r="O1226" s="2">
        <f>IF(OR($C1226="",$C1226&lt;&gt;'Inv'!$D$12),"",N(O$1225)+1)</f>
        <v>0</v>
      </c>
    </row>
    <row r="1227" spans="1:15">
      <c r="A1227" s="2" t="str">
        <f>'[01_Entry.xlsx]Book'!A1227</f>
        <v>1405/07/11</v>
      </c>
      <c r="B1227" s="2" t="str">
        <f>'[01_Entry.xlsx]Book'!B1227</f>
        <v>PV-006</v>
      </c>
      <c r="C1227" s="2" t="str">
        <f>'[01_Entry.xlsx]Book'!D1227</f>
        <v>X003</v>
      </c>
      <c r="D1227" s="2" t="str">
        <f>'[01_Entry.xlsx]Book'!E1227</f>
        <v>تسویه انعام مصطفی</v>
      </c>
      <c r="E1227" s="2" t="str">
        <f>'[01_Entry.xlsx]Book'!O1227</f>
        <v>سایر حساب</v>
      </c>
      <c r="F1227" s="2" t="str">
        <f>'[01_Entry.xlsx]Book'!N1227</f>
        <v>پرداخت — نقد</v>
      </c>
      <c r="G1227" s="3">
        <f>'[01_Entry.xlsx]Book'!L1227</f>
        <v/>
      </c>
      <c r="H1227" s="3">
        <f>'[01_Entry.xlsx]Book'!M1227</f>
        <v>500000</v>
      </c>
      <c r="I1227" s="3">
        <f>'[01_Entry.xlsx]Book'!K1227</f>
        <v>500000</v>
      </c>
      <c r="J1227" s="3">
        <f>'[01_Entry.xlsx]Book'!P1227</f>
        <v/>
      </c>
      <c r="K1227" s="3">
        <f>'[01_Entry.xlsx]Book'!F1227</f>
        <v/>
      </c>
      <c r="L1227" s="3">
        <f>'[01_Entry.xlsx]Book'!G1227</f>
        <v/>
      </c>
      <c r="M1227" s="3">
        <f>'[01_Entry.xlsx]Book'!I1227</f>
        <v/>
      </c>
      <c r="N1227" s="2">
        <f>IF($A1227="","",MID($A1227,6,2))</f>
        <v>0</v>
      </c>
      <c r="O1227" s="2">
        <f>IF(OR($C1227="",$C1227&lt;&gt;'Inv'!$D$12),"",N(O$1226)+1)</f>
        <v>0</v>
      </c>
    </row>
    <row r="1228" spans="1:15">
      <c r="A1228" s="2" t="str">
        <f>'[01_Entry.xlsx]Book'!A1228</f>
        <v>1405/07/12</v>
      </c>
      <c r="B1228" s="2" t="str">
        <f>'[01_Entry.xlsx]Book'!B1228</f>
        <v>PV-007</v>
      </c>
      <c r="C1228" s="2" t="str">
        <f>'[01_Entry.xlsx]Book'!D1228</f>
        <v>BN01</v>
      </c>
      <c r="D1228" s="2" t="str">
        <f>'[01_Entry.xlsx]Book'!E1228</f>
        <v>انتقال بین بانکی</v>
      </c>
      <c r="E1228" s="2" t="str">
        <f>'[01_Entry.xlsx]Book'!O1228</f>
        <v>بانک و صندوق</v>
      </c>
      <c r="F1228" s="2" t="str">
        <f>'[01_Entry.xlsx]Book'!N1228</f>
        <v>پرداخت — انتقال داخلی</v>
      </c>
      <c r="G1228" s="3">
        <f>'[01_Entry.xlsx]Book'!L1228</f>
        <v>50000000</v>
      </c>
      <c r="H1228" s="3">
        <f>'[01_Entry.xlsx]Book'!M1228</f>
        <v/>
      </c>
      <c r="I1228" s="3">
        <f>'[01_Entry.xlsx]Book'!K1228</f>
        <v>50000000</v>
      </c>
      <c r="J1228" s="3">
        <f>'[01_Entry.xlsx]Book'!P1228</f>
        <v/>
      </c>
      <c r="K1228" s="3">
        <f>'[01_Entry.xlsx]Book'!F1228</f>
        <v/>
      </c>
      <c r="L1228" s="3">
        <f>'[01_Entry.xlsx]Book'!G1228</f>
        <v/>
      </c>
      <c r="M1228" s="3">
        <f>'[01_Entry.xlsx]Book'!I1228</f>
        <v/>
      </c>
      <c r="N1228" s="2">
        <f>IF($A1228="","",MID($A1228,6,2))</f>
        <v>0</v>
      </c>
      <c r="O1228" s="2">
        <f>IF(OR($C1228="",$C1228&lt;&gt;'Inv'!$D$12),"",N(O$1227)+1)</f>
        <v>0</v>
      </c>
    </row>
    <row r="1229" spans="1:15">
      <c r="A1229" s="2" t="str">
        <f>'[01_Entry.xlsx]Book'!A1229</f>
        <v>1405/07/12</v>
      </c>
      <c r="B1229" s="2" t="str">
        <f>'[01_Entry.xlsx]Book'!B1229</f>
        <v>PV-007</v>
      </c>
      <c r="C1229" s="2" t="str">
        <f>'[01_Entry.xlsx]Book'!D1229</f>
        <v>X003</v>
      </c>
      <c r="D1229" s="2" t="str">
        <f>'[01_Entry.xlsx]Book'!E1229</f>
        <v>انتقال بین بانکی</v>
      </c>
      <c r="E1229" s="2" t="str">
        <f>'[01_Entry.xlsx]Book'!O1229</f>
        <v>سایر حساب</v>
      </c>
      <c r="F1229" s="2" t="str">
        <f>'[01_Entry.xlsx]Book'!N1229</f>
        <v>پرداخت — انتقال داخلی</v>
      </c>
      <c r="G1229" s="3">
        <f>'[01_Entry.xlsx]Book'!L1229</f>
        <v/>
      </c>
      <c r="H1229" s="3">
        <f>'[01_Entry.xlsx]Book'!M1229</f>
        <v>50000000</v>
      </c>
      <c r="I1229" s="3">
        <f>'[01_Entry.xlsx]Book'!K1229</f>
        <v>50000000</v>
      </c>
      <c r="J1229" s="3">
        <f>'[01_Entry.xlsx]Book'!P1229</f>
        <v/>
      </c>
      <c r="K1229" s="3">
        <f>'[01_Entry.xlsx]Book'!F1229</f>
        <v/>
      </c>
      <c r="L1229" s="3">
        <f>'[01_Entry.xlsx]Book'!G1229</f>
        <v/>
      </c>
      <c r="M1229" s="3">
        <f>'[01_Entry.xlsx]Book'!I1229</f>
        <v/>
      </c>
      <c r="N1229" s="2">
        <f>IF($A1229="","",MID($A1229,6,2))</f>
        <v>0</v>
      </c>
      <c r="O1229" s="2">
        <f>IF(OR($C1229="",$C1229&lt;&gt;'Inv'!$D$12),"",N(O$1228)+1)</f>
        <v>0</v>
      </c>
    </row>
    <row r="1230" spans="1:15">
      <c r="A1230" s="2" t="str">
        <f>'[01_Entry.xlsx]Book'!A1230</f>
        <v>1405/07/07</v>
      </c>
      <c r="B1230" s="2" t="str">
        <f>'[01_Entry.xlsx]Book'!B1230</f>
        <v>PV-008</v>
      </c>
      <c r="C1230" s="2" t="str">
        <f>'[01_Entry.xlsx]Book'!D1230</f>
        <v>C004</v>
      </c>
      <c r="D1230" s="2" t="str">
        <f>'[01_Entry.xlsx]Book'!E1230</f>
        <v>در جریان</v>
      </c>
      <c r="E1230" s="2" t="str">
        <f>'[01_Entry.xlsx]Book'!O1230</f>
        <v>باغدار</v>
      </c>
      <c r="F1230" s="2" t="str">
        <f>'[01_Entry.xlsx]Book'!N1230</f>
        <v>پرداخت — چک</v>
      </c>
      <c r="G1230" s="3">
        <f>'[01_Entry.xlsx]Book'!L1230</f>
        <v>60000000</v>
      </c>
      <c r="H1230" s="3">
        <f>'[01_Entry.xlsx]Book'!M1230</f>
        <v/>
      </c>
      <c r="I1230" s="3">
        <f>'[01_Entry.xlsx]Book'!K1230</f>
        <v>60000000</v>
      </c>
      <c r="J1230" s="3">
        <f>'[01_Entry.xlsx]Book'!P1230</f>
        <v/>
      </c>
      <c r="K1230" s="3">
        <f>'[01_Entry.xlsx]Book'!F1230</f>
        <v/>
      </c>
      <c r="L1230" s="3">
        <f>'[01_Entry.xlsx]Book'!G1230</f>
        <v/>
      </c>
      <c r="M1230" s="3">
        <f>'[01_Entry.xlsx]Book'!I1230</f>
        <v/>
      </c>
      <c r="N1230" s="2">
        <f>IF($A1230="","",MID($A1230,6,2))</f>
        <v>0</v>
      </c>
      <c r="O1230" s="2">
        <f>IF(OR($C1230="",$C1230&lt;&gt;'Inv'!$D$12),"",N(O$1229)+1)</f>
        <v>0</v>
      </c>
    </row>
    <row r="1231" spans="1:15">
      <c r="A1231" s="2" t="str">
        <f>'[01_Entry.xlsx]Book'!A1231</f>
        <v>1405/07/07</v>
      </c>
      <c r="B1231" s="2" t="str">
        <f>'[01_Entry.xlsx]Book'!B1231</f>
        <v>PV-008</v>
      </c>
      <c r="C1231" s="2" t="str">
        <f>'[01_Entry.xlsx]Book'!D1231</f>
        <v>X010</v>
      </c>
      <c r="D1231" s="2" t="str">
        <f>'[01_Entry.xlsx]Book'!E1231</f>
        <v>در جریان</v>
      </c>
      <c r="E1231" s="2" t="str">
        <f>'[01_Entry.xlsx]Book'!O1231</f>
        <v>سایر حساب</v>
      </c>
      <c r="F1231" s="2" t="str">
        <f>'[01_Entry.xlsx]Book'!N1231</f>
        <v>پرداخت — چک</v>
      </c>
      <c r="G1231" s="3">
        <f>'[01_Entry.xlsx]Book'!L1231</f>
        <v/>
      </c>
      <c r="H1231" s="3">
        <f>'[01_Entry.xlsx]Book'!M1231</f>
        <v>60000000</v>
      </c>
      <c r="I1231" s="3">
        <f>'[01_Entry.xlsx]Book'!K1231</f>
        <v>60000000</v>
      </c>
      <c r="J1231" s="3">
        <f>'[01_Entry.xlsx]Book'!P1231</f>
        <v/>
      </c>
      <c r="K1231" s="3">
        <f>'[01_Entry.xlsx]Book'!F1231</f>
        <v/>
      </c>
      <c r="L1231" s="3">
        <f>'[01_Entry.xlsx]Book'!G1231</f>
        <v/>
      </c>
      <c r="M1231" s="3">
        <f>'[01_Entry.xlsx]Book'!I1231</f>
        <v/>
      </c>
      <c r="N1231" s="2">
        <f>IF($A1231="","",MID($A1231,6,2))</f>
        <v>0</v>
      </c>
      <c r="O1231" s="2">
        <f>IF(OR($C1231="",$C1231&lt;&gt;'Inv'!$D$12),"",N(O$1230)+1)</f>
        <v>0</v>
      </c>
    </row>
    <row r="1232" spans="1:15">
      <c r="A1232" s="2" t="str">
        <f>'[01_Entry.xlsx]Book'!A1232</f>
        <v>1405/07/12</v>
      </c>
      <c r="B1232" s="2" t="str">
        <f>'[01_Entry.xlsx]Book'!B1232</f>
        <v>RV-004</v>
      </c>
      <c r="C1232" s="2" t="str">
        <f>'[01_Entry.xlsx]Book'!D1232</f>
        <v>BN01</v>
      </c>
      <c r="D1232" s="2">
        <f>'[01_Entry.xlsx]Book'!E1232</f>
        <v/>
      </c>
      <c r="E1232" s="2" t="str">
        <f>'[01_Entry.xlsx]Book'!O1232</f>
        <v>بانک و صندوق</v>
      </c>
      <c r="F1232" s="2" t="str">
        <f>'[01_Entry.xlsx]Book'!N1232</f>
        <v>دریافت — انتقال بانکی</v>
      </c>
      <c r="G1232" s="3">
        <f>'[01_Entry.xlsx]Book'!L1232</f>
        <v>50000000</v>
      </c>
      <c r="H1232" s="3">
        <f>'[01_Entry.xlsx]Book'!M1232</f>
        <v/>
      </c>
      <c r="I1232" s="3">
        <f>'[01_Entry.xlsx]Book'!K1232</f>
        <v>50000000</v>
      </c>
      <c r="J1232" s="3">
        <f>'[01_Entry.xlsx]Book'!P1232</f>
        <v/>
      </c>
      <c r="K1232" s="3">
        <f>'[01_Entry.xlsx]Book'!F1232</f>
        <v/>
      </c>
      <c r="L1232" s="3">
        <f>'[01_Entry.xlsx]Book'!G1232</f>
        <v/>
      </c>
      <c r="M1232" s="3">
        <f>'[01_Entry.xlsx]Book'!I1232</f>
        <v/>
      </c>
      <c r="N1232" s="2">
        <f>IF($A1232="","",MID($A1232,6,2))</f>
        <v>0</v>
      </c>
      <c r="O1232" s="2">
        <f>IF(OR($C1232="",$C1232&lt;&gt;'Inv'!$D$12),"",N(O$1231)+1)</f>
        <v>0</v>
      </c>
    </row>
    <row r="1233" spans="1:15">
      <c r="A1233" s="2" t="str">
        <f>'[01_Entry.xlsx]Book'!A1233</f>
        <v>1405/07/12</v>
      </c>
      <c r="B1233" s="2" t="str">
        <f>'[01_Entry.xlsx]Book'!B1233</f>
        <v>RV-004</v>
      </c>
      <c r="C1233" s="2" t="str">
        <f>'[01_Entry.xlsx]Book'!D1233</f>
        <v>SL002</v>
      </c>
      <c r="D1233" s="2">
        <f>'[01_Entry.xlsx]Book'!E1233</f>
        <v/>
      </c>
      <c r="E1233" s="2" t="str">
        <f>'[01_Entry.xlsx]Book'!O1233</f>
        <v>بارفروش</v>
      </c>
      <c r="F1233" s="2" t="str">
        <f>'[01_Entry.xlsx]Book'!N1233</f>
        <v>دریافت — انتقال بانکی</v>
      </c>
      <c r="G1233" s="3">
        <f>'[01_Entry.xlsx]Book'!L1233</f>
        <v/>
      </c>
      <c r="H1233" s="3">
        <f>'[01_Entry.xlsx]Book'!M1233</f>
        <v>50000000</v>
      </c>
      <c r="I1233" s="3">
        <f>'[01_Entry.xlsx]Book'!K1233</f>
        <v>50000000</v>
      </c>
      <c r="J1233" s="3">
        <f>'[01_Entry.xlsx]Book'!P1233</f>
        <v/>
      </c>
      <c r="K1233" s="3">
        <f>'[01_Entry.xlsx]Book'!F1233</f>
        <v/>
      </c>
      <c r="L1233" s="3">
        <f>'[01_Entry.xlsx]Book'!G1233</f>
        <v/>
      </c>
      <c r="M1233" s="3">
        <f>'[01_Entry.xlsx]Book'!I1233</f>
        <v/>
      </c>
      <c r="N1233" s="2">
        <f>IF($A1233="","",MID($A1233,6,2))</f>
        <v>0</v>
      </c>
      <c r="O1233" s="2">
        <f>IF(OR($C1233="",$C1233&lt;&gt;'Inv'!$D$12),"",N(O$1232)+1)</f>
        <v>0</v>
      </c>
    </row>
    <row r="1234" spans="1:15">
      <c r="A1234" s="2">
        <f>'[01_Entry.xlsx]Book'!A1234</f>
        <v/>
      </c>
      <c r="B1234" s="2">
        <f>'[01_Entry.xlsx]Book'!B1234</f>
        <v/>
      </c>
      <c r="C1234" s="2">
        <f>'[01_Entry.xlsx]Book'!D1234</f>
        <v/>
      </c>
      <c r="D1234" s="2">
        <f>'[01_Entry.xlsx]Book'!E1234</f>
        <v/>
      </c>
      <c r="E1234" s="2">
        <f>'[01_Entry.xlsx]Book'!O1234</f>
        <v/>
      </c>
      <c r="F1234" s="2">
        <f>'[01_Entry.xlsx]Book'!N1234</f>
        <v/>
      </c>
      <c r="G1234" s="3">
        <f>'[01_Entry.xlsx]Book'!L1234</f>
        <v/>
      </c>
      <c r="H1234" s="3">
        <f>'[01_Entry.xlsx]Book'!M1234</f>
        <v/>
      </c>
      <c r="I1234" s="3">
        <f>'[01_Entry.xlsx]Book'!K1234</f>
        <v/>
      </c>
      <c r="J1234" s="3">
        <f>'[01_Entry.xlsx]Book'!P1234</f>
        <v/>
      </c>
      <c r="K1234" s="3">
        <f>'[01_Entry.xlsx]Book'!F1234</f>
        <v/>
      </c>
      <c r="L1234" s="3">
        <f>'[01_Entry.xlsx]Book'!G1234</f>
        <v/>
      </c>
      <c r="M1234" s="3">
        <f>'[01_Entry.xlsx]Book'!I1234</f>
        <v/>
      </c>
      <c r="N1234" s="2">
        <f>IF($A1234="","",MID($A1234,6,2))</f>
        <v>0</v>
      </c>
      <c r="O1234" s="2">
        <f>IF(OR($C1234="",$C1234&lt;&gt;'Inv'!$D$12),"",N(O$1233)+1)</f>
        <v>0</v>
      </c>
    </row>
    <row r="1235" spans="1:15">
      <c r="A1235" s="2">
        <f>'[01_Entry.xlsx]Book'!A1235</f>
        <v/>
      </c>
      <c r="B1235" s="2">
        <f>'[01_Entry.xlsx]Book'!B1235</f>
        <v/>
      </c>
      <c r="C1235" s="2">
        <f>'[01_Entry.xlsx]Book'!D1235</f>
        <v/>
      </c>
      <c r="D1235" s="2">
        <f>'[01_Entry.xlsx]Book'!E1235</f>
        <v/>
      </c>
      <c r="E1235" s="2">
        <f>'[01_Entry.xlsx]Book'!O1235</f>
        <v/>
      </c>
      <c r="F1235" s="2">
        <f>'[01_Entry.xlsx]Book'!N1235</f>
        <v/>
      </c>
      <c r="G1235" s="3">
        <f>'[01_Entry.xlsx]Book'!L1235</f>
        <v/>
      </c>
      <c r="H1235" s="3">
        <f>'[01_Entry.xlsx]Book'!M1235</f>
        <v/>
      </c>
      <c r="I1235" s="3">
        <f>'[01_Entry.xlsx]Book'!K1235</f>
        <v/>
      </c>
      <c r="J1235" s="3">
        <f>'[01_Entry.xlsx]Book'!P1235</f>
        <v/>
      </c>
      <c r="K1235" s="3">
        <f>'[01_Entry.xlsx]Book'!F1235</f>
        <v/>
      </c>
      <c r="L1235" s="3">
        <f>'[01_Entry.xlsx]Book'!G1235</f>
        <v/>
      </c>
      <c r="M1235" s="3">
        <f>'[01_Entry.xlsx]Book'!I1235</f>
        <v/>
      </c>
      <c r="N1235" s="2">
        <f>IF($A1235="","",MID($A1235,6,2))</f>
        <v>0</v>
      </c>
      <c r="O1235" s="2">
        <f>IF(OR($C1235="",$C1235&lt;&gt;'Inv'!$D$12),"",N(O$1234)+1)</f>
        <v>0</v>
      </c>
    </row>
    <row r="1236" spans="1:15">
      <c r="A1236" s="2">
        <f>'[01_Entry.xlsx]Book'!A1236</f>
        <v/>
      </c>
      <c r="B1236" s="2">
        <f>'[01_Entry.xlsx]Book'!B1236</f>
        <v/>
      </c>
      <c r="C1236" s="2">
        <f>'[01_Entry.xlsx]Book'!D1236</f>
        <v/>
      </c>
      <c r="D1236" s="2">
        <f>'[01_Entry.xlsx]Book'!E1236</f>
        <v/>
      </c>
      <c r="E1236" s="2">
        <f>'[01_Entry.xlsx]Book'!O1236</f>
        <v/>
      </c>
      <c r="F1236" s="2">
        <f>'[01_Entry.xlsx]Book'!N1236</f>
        <v/>
      </c>
      <c r="G1236" s="3">
        <f>'[01_Entry.xlsx]Book'!L1236</f>
        <v/>
      </c>
      <c r="H1236" s="3">
        <f>'[01_Entry.xlsx]Book'!M1236</f>
        <v/>
      </c>
      <c r="I1236" s="3">
        <f>'[01_Entry.xlsx]Book'!K1236</f>
        <v/>
      </c>
      <c r="J1236" s="3">
        <f>'[01_Entry.xlsx]Book'!P1236</f>
        <v/>
      </c>
      <c r="K1236" s="3">
        <f>'[01_Entry.xlsx]Book'!F1236</f>
        <v/>
      </c>
      <c r="L1236" s="3">
        <f>'[01_Entry.xlsx]Book'!G1236</f>
        <v/>
      </c>
      <c r="M1236" s="3">
        <f>'[01_Entry.xlsx]Book'!I1236</f>
        <v/>
      </c>
      <c r="N1236" s="2">
        <f>IF($A1236="","",MID($A1236,6,2))</f>
        <v>0</v>
      </c>
      <c r="O1236" s="2">
        <f>IF(OR($C1236="",$C1236&lt;&gt;'Inv'!$D$12),"",N(O$1235)+1)</f>
        <v>0</v>
      </c>
    </row>
    <row r="1237" spans="1:15">
      <c r="A1237" s="2">
        <f>'[01_Entry.xlsx]Book'!A1237</f>
        <v/>
      </c>
      <c r="B1237" s="2">
        <f>'[01_Entry.xlsx]Book'!B1237</f>
        <v/>
      </c>
      <c r="C1237" s="2">
        <f>'[01_Entry.xlsx]Book'!D1237</f>
        <v/>
      </c>
      <c r="D1237" s="2">
        <f>'[01_Entry.xlsx]Book'!E1237</f>
        <v/>
      </c>
      <c r="E1237" s="2">
        <f>'[01_Entry.xlsx]Book'!O1237</f>
        <v/>
      </c>
      <c r="F1237" s="2">
        <f>'[01_Entry.xlsx]Book'!N1237</f>
        <v/>
      </c>
      <c r="G1237" s="3">
        <f>'[01_Entry.xlsx]Book'!L1237</f>
        <v/>
      </c>
      <c r="H1237" s="3">
        <f>'[01_Entry.xlsx]Book'!M1237</f>
        <v/>
      </c>
      <c r="I1237" s="3">
        <f>'[01_Entry.xlsx]Book'!K1237</f>
        <v/>
      </c>
      <c r="J1237" s="3">
        <f>'[01_Entry.xlsx]Book'!P1237</f>
        <v/>
      </c>
      <c r="K1237" s="3">
        <f>'[01_Entry.xlsx]Book'!F1237</f>
        <v/>
      </c>
      <c r="L1237" s="3">
        <f>'[01_Entry.xlsx]Book'!G1237</f>
        <v/>
      </c>
      <c r="M1237" s="3">
        <f>'[01_Entry.xlsx]Book'!I1237</f>
        <v/>
      </c>
      <c r="N1237" s="2">
        <f>IF($A1237="","",MID($A1237,6,2))</f>
        <v>0</v>
      </c>
      <c r="O1237" s="2">
        <f>IF(OR($C1237="",$C1237&lt;&gt;'Inv'!$D$12),"",N(O$1236)+1)</f>
        <v>0</v>
      </c>
    </row>
    <row r="1238" spans="1:15">
      <c r="A1238" s="2">
        <f>'[01_Entry.xlsx]Book'!A1238</f>
        <v/>
      </c>
      <c r="B1238" s="2">
        <f>'[01_Entry.xlsx]Book'!B1238</f>
        <v/>
      </c>
      <c r="C1238" s="2">
        <f>'[01_Entry.xlsx]Book'!D1238</f>
        <v/>
      </c>
      <c r="D1238" s="2">
        <f>'[01_Entry.xlsx]Book'!E1238</f>
        <v/>
      </c>
      <c r="E1238" s="2">
        <f>'[01_Entry.xlsx]Book'!O1238</f>
        <v/>
      </c>
      <c r="F1238" s="2">
        <f>'[01_Entry.xlsx]Book'!N1238</f>
        <v/>
      </c>
      <c r="G1238" s="3">
        <f>'[01_Entry.xlsx]Book'!L1238</f>
        <v/>
      </c>
      <c r="H1238" s="3">
        <f>'[01_Entry.xlsx]Book'!M1238</f>
        <v/>
      </c>
      <c r="I1238" s="3">
        <f>'[01_Entry.xlsx]Book'!K1238</f>
        <v/>
      </c>
      <c r="J1238" s="3">
        <f>'[01_Entry.xlsx]Book'!P1238</f>
        <v/>
      </c>
      <c r="K1238" s="3">
        <f>'[01_Entry.xlsx]Book'!F1238</f>
        <v/>
      </c>
      <c r="L1238" s="3">
        <f>'[01_Entry.xlsx]Book'!G1238</f>
        <v/>
      </c>
      <c r="M1238" s="3">
        <f>'[01_Entry.xlsx]Book'!I1238</f>
        <v/>
      </c>
      <c r="N1238" s="2">
        <f>IF($A1238="","",MID($A1238,6,2))</f>
        <v>0</v>
      </c>
      <c r="O1238" s="2">
        <f>IF(OR($C1238="",$C1238&lt;&gt;'Inv'!$D$12),"",N(O$1237)+1)</f>
        <v>0</v>
      </c>
    </row>
    <row r="1239" spans="1:15">
      <c r="A1239" s="2">
        <f>'[01_Entry.xlsx]Book'!A1239</f>
        <v/>
      </c>
      <c r="B1239" s="2">
        <f>'[01_Entry.xlsx]Book'!B1239</f>
        <v/>
      </c>
      <c r="C1239" s="2">
        <f>'[01_Entry.xlsx]Book'!D1239</f>
        <v/>
      </c>
      <c r="D1239" s="2">
        <f>'[01_Entry.xlsx]Book'!E1239</f>
        <v/>
      </c>
      <c r="E1239" s="2">
        <f>'[01_Entry.xlsx]Book'!O1239</f>
        <v/>
      </c>
      <c r="F1239" s="2">
        <f>'[01_Entry.xlsx]Book'!N1239</f>
        <v/>
      </c>
      <c r="G1239" s="3">
        <f>'[01_Entry.xlsx]Book'!L1239</f>
        <v/>
      </c>
      <c r="H1239" s="3">
        <f>'[01_Entry.xlsx]Book'!M1239</f>
        <v/>
      </c>
      <c r="I1239" s="3">
        <f>'[01_Entry.xlsx]Book'!K1239</f>
        <v/>
      </c>
      <c r="J1239" s="3">
        <f>'[01_Entry.xlsx]Book'!P1239</f>
        <v/>
      </c>
      <c r="K1239" s="3">
        <f>'[01_Entry.xlsx]Book'!F1239</f>
        <v/>
      </c>
      <c r="L1239" s="3">
        <f>'[01_Entry.xlsx]Book'!G1239</f>
        <v/>
      </c>
      <c r="M1239" s="3">
        <f>'[01_Entry.xlsx]Book'!I1239</f>
        <v/>
      </c>
      <c r="N1239" s="2">
        <f>IF($A1239="","",MID($A1239,6,2))</f>
        <v>0</v>
      </c>
      <c r="O1239" s="2">
        <f>IF(OR($C1239="",$C1239&lt;&gt;'Inv'!$D$12),"",N(O$1238)+1)</f>
        <v>0</v>
      </c>
    </row>
    <row r="1240" spans="1:15">
      <c r="A1240" s="2">
        <f>'[01_Entry.xlsx]Book'!A1240</f>
        <v/>
      </c>
      <c r="B1240" s="2">
        <f>'[01_Entry.xlsx]Book'!B1240</f>
        <v/>
      </c>
      <c r="C1240" s="2">
        <f>'[01_Entry.xlsx]Book'!D1240</f>
        <v/>
      </c>
      <c r="D1240" s="2">
        <f>'[01_Entry.xlsx]Book'!E1240</f>
        <v/>
      </c>
      <c r="E1240" s="2">
        <f>'[01_Entry.xlsx]Book'!O1240</f>
        <v/>
      </c>
      <c r="F1240" s="2">
        <f>'[01_Entry.xlsx]Book'!N1240</f>
        <v/>
      </c>
      <c r="G1240" s="3">
        <f>'[01_Entry.xlsx]Book'!L1240</f>
        <v/>
      </c>
      <c r="H1240" s="3">
        <f>'[01_Entry.xlsx]Book'!M1240</f>
        <v/>
      </c>
      <c r="I1240" s="3">
        <f>'[01_Entry.xlsx]Book'!K1240</f>
        <v/>
      </c>
      <c r="J1240" s="3">
        <f>'[01_Entry.xlsx]Book'!P1240</f>
        <v/>
      </c>
      <c r="K1240" s="3">
        <f>'[01_Entry.xlsx]Book'!F1240</f>
        <v/>
      </c>
      <c r="L1240" s="3">
        <f>'[01_Entry.xlsx]Book'!G1240</f>
        <v/>
      </c>
      <c r="M1240" s="3">
        <f>'[01_Entry.xlsx]Book'!I1240</f>
        <v/>
      </c>
      <c r="N1240" s="2">
        <f>IF($A1240="","",MID($A1240,6,2))</f>
        <v>0</v>
      </c>
      <c r="O1240" s="2">
        <f>IF(OR($C1240="",$C1240&lt;&gt;'Inv'!$D$12),"",N(O$1239)+1)</f>
        <v>0</v>
      </c>
    </row>
    <row r="1241" spans="1:15">
      <c r="A1241" s="2">
        <f>'[01_Entry.xlsx]Book'!A1241</f>
        <v/>
      </c>
      <c r="B1241" s="2">
        <f>'[01_Entry.xlsx]Book'!B1241</f>
        <v/>
      </c>
      <c r="C1241" s="2">
        <f>'[01_Entry.xlsx]Book'!D1241</f>
        <v/>
      </c>
      <c r="D1241" s="2">
        <f>'[01_Entry.xlsx]Book'!E1241</f>
        <v/>
      </c>
      <c r="E1241" s="2">
        <f>'[01_Entry.xlsx]Book'!O1241</f>
        <v/>
      </c>
      <c r="F1241" s="2">
        <f>'[01_Entry.xlsx]Book'!N1241</f>
        <v/>
      </c>
      <c r="G1241" s="3">
        <f>'[01_Entry.xlsx]Book'!L1241</f>
        <v/>
      </c>
      <c r="H1241" s="3">
        <f>'[01_Entry.xlsx]Book'!M1241</f>
        <v/>
      </c>
      <c r="I1241" s="3">
        <f>'[01_Entry.xlsx]Book'!K1241</f>
        <v/>
      </c>
      <c r="J1241" s="3">
        <f>'[01_Entry.xlsx]Book'!P1241</f>
        <v/>
      </c>
      <c r="K1241" s="3">
        <f>'[01_Entry.xlsx]Book'!F1241</f>
        <v/>
      </c>
      <c r="L1241" s="3">
        <f>'[01_Entry.xlsx]Book'!G1241</f>
        <v/>
      </c>
      <c r="M1241" s="3">
        <f>'[01_Entry.xlsx]Book'!I1241</f>
        <v/>
      </c>
      <c r="N1241" s="2">
        <f>IF($A1241="","",MID($A1241,6,2))</f>
        <v>0</v>
      </c>
      <c r="O1241" s="2">
        <f>IF(OR($C1241="",$C1241&lt;&gt;'Inv'!$D$12),"",N(O$1240)+1)</f>
        <v>0</v>
      </c>
    </row>
    <row r="1242" spans="1:15">
      <c r="A1242" s="2">
        <f>'[01_Entry.xlsx]Book'!A1242</f>
        <v/>
      </c>
      <c r="B1242" s="2">
        <f>'[01_Entry.xlsx]Book'!B1242</f>
        <v/>
      </c>
      <c r="C1242" s="2">
        <f>'[01_Entry.xlsx]Book'!D1242</f>
        <v/>
      </c>
      <c r="D1242" s="2">
        <f>'[01_Entry.xlsx]Book'!E1242</f>
        <v/>
      </c>
      <c r="E1242" s="2">
        <f>'[01_Entry.xlsx]Book'!O1242</f>
        <v/>
      </c>
      <c r="F1242" s="2">
        <f>'[01_Entry.xlsx]Book'!N1242</f>
        <v/>
      </c>
      <c r="G1242" s="3">
        <f>'[01_Entry.xlsx]Book'!L1242</f>
        <v/>
      </c>
      <c r="H1242" s="3">
        <f>'[01_Entry.xlsx]Book'!M1242</f>
        <v/>
      </c>
      <c r="I1242" s="3">
        <f>'[01_Entry.xlsx]Book'!K1242</f>
        <v/>
      </c>
      <c r="J1242" s="3">
        <f>'[01_Entry.xlsx]Book'!P1242</f>
        <v/>
      </c>
      <c r="K1242" s="3">
        <f>'[01_Entry.xlsx]Book'!F1242</f>
        <v/>
      </c>
      <c r="L1242" s="3">
        <f>'[01_Entry.xlsx]Book'!G1242</f>
        <v/>
      </c>
      <c r="M1242" s="3">
        <f>'[01_Entry.xlsx]Book'!I1242</f>
        <v/>
      </c>
      <c r="N1242" s="2">
        <f>IF($A1242="","",MID($A1242,6,2))</f>
        <v>0</v>
      </c>
      <c r="O1242" s="2">
        <f>IF(OR($C1242="",$C1242&lt;&gt;'Inv'!$D$12),"",N(O$1241)+1)</f>
        <v>0</v>
      </c>
    </row>
    <row r="1243" spans="1:15">
      <c r="A1243" s="2">
        <f>'[01_Entry.xlsx]Book'!A1243</f>
        <v/>
      </c>
      <c r="B1243" s="2">
        <f>'[01_Entry.xlsx]Book'!B1243</f>
        <v/>
      </c>
      <c r="C1243" s="2">
        <f>'[01_Entry.xlsx]Book'!D1243</f>
        <v/>
      </c>
      <c r="D1243" s="2">
        <f>'[01_Entry.xlsx]Book'!E1243</f>
        <v/>
      </c>
      <c r="E1243" s="2">
        <f>'[01_Entry.xlsx]Book'!O1243</f>
        <v/>
      </c>
      <c r="F1243" s="2">
        <f>'[01_Entry.xlsx]Book'!N1243</f>
        <v/>
      </c>
      <c r="G1243" s="3">
        <f>'[01_Entry.xlsx]Book'!L1243</f>
        <v/>
      </c>
      <c r="H1243" s="3">
        <f>'[01_Entry.xlsx]Book'!M1243</f>
        <v/>
      </c>
      <c r="I1243" s="3">
        <f>'[01_Entry.xlsx]Book'!K1243</f>
        <v/>
      </c>
      <c r="J1243" s="3">
        <f>'[01_Entry.xlsx]Book'!P1243</f>
        <v/>
      </c>
      <c r="K1243" s="3">
        <f>'[01_Entry.xlsx]Book'!F1243</f>
        <v/>
      </c>
      <c r="L1243" s="3">
        <f>'[01_Entry.xlsx]Book'!G1243</f>
        <v/>
      </c>
      <c r="M1243" s="3">
        <f>'[01_Entry.xlsx]Book'!I1243</f>
        <v/>
      </c>
      <c r="N1243" s="2">
        <f>IF($A1243="","",MID($A1243,6,2))</f>
        <v>0</v>
      </c>
      <c r="O1243" s="2">
        <f>IF(OR($C1243="",$C1243&lt;&gt;'Inv'!$D$12),"",N(O$1242)+1)</f>
        <v>0</v>
      </c>
    </row>
    <row r="1244" spans="1:15">
      <c r="A1244" s="2">
        <f>'[01_Entry.xlsx]Book'!A1244</f>
        <v/>
      </c>
      <c r="B1244" s="2">
        <f>'[01_Entry.xlsx]Book'!B1244</f>
        <v/>
      </c>
      <c r="C1244" s="2">
        <f>'[01_Entry.xlsx]Book'!D1244</f>
        <v/>
      </c>
      <c r="D1244" s="2">
        <f>'[01_Entry.xlsx]Book'!E1244</f>
        <v/>
      </c>
      <c r="E1244" s="2">
        <f>'[01_Entry.xlsx]Book'!O1244</f>
        <v/>
      </c>
      <c r="F1244" s="2">
        <f>'[01_Entry.xlsx]Book'!N1244</f>
        <v/>
      </c>
      <c r="G1244" s="3">
        <f>'[01_Entry.xlsx]Book'!L1244</f>
        <v/>
      </c>
      <c r="H1244" s="3">
        <f>'[01_Entry.xlsx]Book'!M1244</f>
        <v/>
      </c>
      <c r="I1244" s="3">
        <f>'[01_Entry.xlsx]Book'!K1244</f>
        <v/>
      </c>
      <c r="J1244" s="3">
        <f>'[01_Entry.xlsx]Book'!P1244</f>
        <v/>
      </c>
      <c r="K1244" s="3">
        <f>'[01_Entry.xlsx]Book'!F1244</f>
        <v/>
      </c>
      <c r="L1244" s="3">
        <f>'[01_Entry.xlsx]Book'!G1244</f>
        <v/>
      </c>
      <c r="M1244" s="3">
        <f>'[01_Entry.xlsx]Book'!I1244</f>
        <v/>
      </c>
      <c r="N1244" s="2">
        <f>IF($A1244="","",MID($A1244,6,2))</f>
        <v>0</v>
      </c>
      <c r="O1244" s="2">
        <f>IF(OR($C1244="",$C1244&lt;&gt;'Inv'!$D$12),"",N(O$1243)+1)</f>
        <v>0</v>
      </c>
    </row>
    <row r="1245" spans="1:15">
      <c r="A1245" s="2">
        <f>'[01_Entry.xlsx]Book'!A1245</f>
        <v/>
      </c>
      <c r="B1245" s="2">
        <f>'[01_Entry.xlsx]Book'!B1245</f>
        <v/>
      </c>
      <c r="C1245" s="2">
        <f>'[01_Entry.xlsx]Book'!D1245</f>
        <v/>
      </c>
      <c r="D1245" s="2">
        <f>'[01_Entry.xlsx]Book'!E1245</f>
        <v/>
      </c>
      <c r="E1245" s="2">
        <f>'[01_Entry.xlsx]Book'!O1245</f>
        <v/>
      </c>
      <c r="F1245" s="2">
        <f>'[01_Entry.xlsx]Book'!N1245</f>
        <v/>
      </c>
      <c r="G1245" s="3">
        <f>'[01_Entry.xlsx]Book'!L1245</f>
        <v/>
      </c>
      <c r="H1245" s="3">
        <f>'[01_Entry.xlsx]Book'!M1245</f>
        <v/>
      </c>
      <c r="I1245" s="3">
        <f>'[01_Entry.xlsx]Book'!K1245</f>
        <v/>
      </c>
      <c r="J1245" s="3">
        <f>'[01_Entry.xlsx]Book'!P1245</f>
        <v/>
      </c>
      <c r="K1245" s="3">
        <f>'[01_Entry.xlsx]Book'!F1245</f>
        <v/>
      </c>
      <c r="L1245" s="3">
        <f>'[01_Entry.xlsx]Book'!G1245</f>
        <v/>
      </c>
      <c r="M1245" s="3">
        <f>'[01_Entry.xlsx]Book'!I1245</f>
        <v/>
      </c>
      <c r="N1245" s="2">
        <f>IF($A1245="","",MID($A1245,6,2))</f>
        <v>0</v>
      </c>
      <c r="O1245" s="2">
        <f>IF(OR($C1245="",$C1245&lt;&gt;'Inv'!$D$12),"",N(O$1244)+1)</f>
        <v>0</v>
      </c>
    </row>
    <row r="1246" spans="1:15">
      <c r="A1246" s="2">
        <f>'[01_Entry.xlsx]Book'!A1246</f>
        <v/>
      </c>
      <c r="B1246" s="2">
        <f>'[01_Entry.xlsx]Book'!B1246</f>
        <v/>
      </c>
      <c r="C1246" s="2">
        <f>'[01_Entry.xlsx]Book'!D1246</f>
        <v/>
      </c>
      <c r="D1246" s="2">
        <f>'[01_Entry.xlsx]Book'!E1246</f>
        <v/>
      </c>
      <c r="E1246" s="2">
        <f>'[01_Entry.xlsx]Book'!O1246</f>
        <v/>
      </c>
      <c r="F1246" s="2">
        <f>'[01_Entry.xlsx]Book'!N1246</f>
        <v/>
      </c>
      <c r="G1246" s="3">
        <f>'[01_Entry.xlsx]Book'!L1246</f>
        <v/>
      </c>
      <c r="H1246" s="3">
        <f>'[01_Entry.xlsx]Book'!M1246</f>
        <v/>
      </c>
      <c r="I1246" s="3">
        <f>'[01_Entry.xlsx]Book'!K1246</f>
        <v/>
      </c>
      <c r="J1246" s="3">
        <f>'[01_Entry.xlsx]Book'!P1246</f>
        <v/>
      </c>
      <c r="K1246" s="3">
        <f>'[01_Entry.xlsx]Book'!F1246</f>
        <v/>
      </c>
      <c r="L1246" s="3">
        <f>'[01_Entry.xlsx]Book'!G1246</f>
        <v/>
      </c>
      <c r="M1246" s="3">
        <f>'[01_Entry.xlsx]Book'!I1246</f>
        <v/>
      </c>
      <c r="N1246" s="2">
        <f>IF($A1246="","",MID($A1246,6,2))</f>
        <v>0</v>
      </c>
      <c r="O1246" s="2">
        <f>IF(OR($C1246="",$C1246&lt;&gt;'Inv'!$D$12),"",N(O$1245)+1)</f>
        <v>0</v>
      </c>
    </row>
    <row r="1247" spans="1:15">
      <c r="A1247" s="2">
        <f>'[01_Entry.xlsx]Book'!A1247</f>
        <v/>
      </c>
      <c r="B1247" s="2">
        <f>'[01_Entry.xlsx]Book'!B1247</f>
        <v/>
      </c>
      <c r="C1247" s="2">
        <f>'[01_Entry.xlsx]Book'!D1247</f>
        <v/>
      </c>
      <c r="D1247" s="2">
        <f>'[01_Entry.xlsx]Book'!E1247</f>
        <v/>
      </c>
      <c r="E1247" s="2">
        <f>'[01_Entry.xlsx]Book'!O1247</f>
        <v/>
      </c>
      <c r="F1247" s="2">
        <f>'[01_Entry.xlsx]Book'!N1247</f>
        <v/>
      </c>
      <c r="G1247" s="3">
        <f>'[01_Entry.xlsx]Book'!L1247</f>
        <v/>
      </c>
      <c r="H1247" s="3">
        <f>'[01_Entry.xlsx]Book'!M1247</f>
        <v/>
      </c>
      <c r="I1247" s="3">
        <f>'[01_Entry.xlsx]Book'!K1247</f>
        <v/>
      </c>
      <c r="J1247" s="3">
        <f>'[01_Entry.xlsx]Book'!P1247</f>
        <v/>
      </c>
      <c r="K1247" s="3">
        <f>'[01_Entry.xlsx]Book'!F1247</f>
        <v/>
      </c>
      <c r="L1247" s="3">
        <f>'[01_Entry.xlsx]Book'!G1247</f>
        <v/>
      </c>
      <c r="M1247" s="3">
        <f>'[01_Entry.xlsx]Book'!I1247</f>
        <v/>
      </c>
      <c r="N1247" s="2">
        <f>IF($A1247="","",MID($A1247,6,2))</f>
        <v>0</v>
      </c>
      <c r="O1247" s="2">
        <f>IF(OR($C1247="",$C1247&lt;&gt;'Inv'!$D$12),"",N(O$1246)+1)</f>
        <v>0</v>
      </c>
    </row>
    <row r="1248" spans="1:15">
      <c r="A1248" s="2">
        <f>'[01_Entry.xlsx]Book'!A1248</f>
        <v/>
      </c>
      <c r="B1248" s="2">
        <f>'[01_Entry.xlsx]Book'!B1248</f>
        <v/>
      </c>
      <c r="C1248" s="2">
        <f>'[01_Entry.xlsx]Book'!D1248</f>
        <v/>
      </c>
      <c r="D1248" s="2">
        <f>'[01_Entry.xlsx]Book'!E1248</f>
        <v/>
      </c>
      <c r="E1248" s="2">
        <f>'[01_Entry.xlsx]Book'!O1248</f>
        <v/>
      </c>
      <c r="F1248" s="2">
        <f>'[01_Entry.xlsx]Book'!N1248</f>
        <v/>
      </c>
      <c r="G1248" s="3">
        <f>'[01_Entry.xlsx]Book'!L1248</f>
        <v/>
      </c>
      <c r="H1248" s="3">
        <f>'[01_Entry.xlsx]Book'!M1248</f>
        <v/>
      </c>
      <c r="I1248" s="3">
        <f>'[01_Entry.xlsx]Book'!K1248</f>
        <v/>
      </c>
      <c r="J1248" s="3">
        <f>'[01_Entry.xlsx]Book'!P1248</f>
        <v/>
      </c>
      <c r="K1248" s="3">
        <f>'[01_Entry.xlsx]Book'!F1248</f>
        <v/>
      </c>
      <c r="L1248" s="3">
        <f>'[01_Entry.xlsx]Book'!G1248</f>
        <v/>
      </c>
      <c r="M1248" s="3">
        <f>'[01_Entry.xlsx]Book'!I1248</f>
        <v/>
      </c>
      <c r="N1248" s="2">
        <f>IF($A1248="","",MID($A1248,6,2))</f>
        <v>0</v>
      </c>
      <c r="O1248" s="2">
        <f>IF(OR($C1248="",$C1248&lt;&gt;'Inv'!$D$12),"",N(O$1247)+1)</f>
        <v>0</v>
      </c>
    </row>
    <row r="1249" spans="1:15">
      <c r="A1249" s="2">
        <f>'[01_Entry.xlsx]Book'!A1249</f>
        <v/>
      </c>
      <c r="B1249" s="2">
        <f>'[01_Entry.xlsx]Book'!B1249</f>
        <v/>
      </c>
      <c r="C1249" s="2">
        <f>'[01_Entry.xlsx]Book'!D1249</f>
        <v/>
      </c>
      <c r="D1249" s="2">
        <f>'[01_Entry.xlsx]Book'!E1249</f>
        <v/>
      </c>
      <c r="E1249" s="2">
        <f>'[01_Entry.xlsx]Book'!O1249</f>
        <v/>
      </c>
      <c r="F1249" s="2">
        <f>'[01_Entry.xlsx]Book'!N1249</f>
        <v/>
      </c>
      <c r="G1249" s="3">
        <f>'[01_Entry.xlsx]Book'!L1249</f>
        <v/>
      </c>
      <c r="H1249" s="3">
        <f>'[01_Entry.xlsx]Book'!M1249</f>
        <v/>
      </c>
      <c r="I1249" s="3">
        <f>'[01_Entry.xlsx]Book'!K1249</f>
        <v/>
      </c>
      <c r="J1249" s="3">
        <f>'[01_Entry.xlsx]Book'!P1249</f>
        <v/>
      </c>
      <c r="K1249" s="3">
        <f>'[01_Entry.xlsx]Book'!F1249</f>
        <v/>
      </c>
      <c r="L1249" s="3">
        <f>'[01_Entry.xlsx]Book'!G1249</f>
        <v/>
      </c>
      <c r="M1249" s="3">
        <f>'[01_Entry.xlsx]Book'!I1249</f>
        <v/>
      </c>
      <c r="N1249" s="2">
        <f>IF($A1249="","",MID($A1249,6,2))</f>
        <v>0</v>
      </c>
      <c r="O1249" s="2">
        <f>IF(OR($C1249="",$C1249&lt;&gt;'Inv'!$D$12),"",N(O$1248)+1)</f>
        <v>0</v>
      </c>
    </row>
    <row r="1250" spans="1:15">
      <c r="A1250" s="2">
        <f>'[01_Entry.xlsx]Book'!A1250</f>
        <v/>
      </c>
      <c r="B1250" s="2">
        <f>'[01_Entry.xlsx]Book'!B1250</f>
        <v/>
      </c>
      <c r="C1250" s="2">
        <f>'[01_Entry.xlsx]Book'!D1250</f>
        <v/>
      </c>
      <c r="D1250" s="2">
        <f>'[01_Entry.xlsx]Book'!E1250</f>
        <v/>
      </c>
      <c r="E1250" s="2">
        <f>'[01_Entry.xlsx]Book'!O1250</f>
        <v/>
      </c>
      <c r="F1250" s="2">
        <f>'[01_Entry.xlsx]Book'!N1250</f>
        <v/>
      </c>
      <c r="G1250" s="3">
        <f>'[01_Entry.xlsx]Book'!L1250</f>
        <v/>
      </c>
      <c r="H1250" s="3">
        <f>'[01_Entry.xlsx]Book'!M1250</f>
        <v/>
      </c>
      <c r="I1250" s="3">
        <f>'[01_Entry.xlsx]Book'!K1250</f>
        <v/>
      </c>
      <c r="J1250" s="3">
        <f>'[01_Entry.xlsx]Book'!P1250</f>
        <v/>
      </c>
      <c r="K1250" s="3">
        <f>'[01_Entry.xlsx]Book'!F1250</f>
        <v/>
      </c>
      <c r="L1250" s="3">
        <f>'[01_Entry.xlsx]Book'!G1250</f>
        <v/>
      </c>
      <c r="M1250" s="3">
        <f>'[01_Entry.xlsx]Book'!I1250</f>
        <v/>
      </c>
      <c r="N1250" s="2">
        <f>IF($A1250="","",MID($A1250,6,2))</f>
        <v>0</v>
      </c>
      <c r="O1250" s="2">
        <f>IF(OR($C1250="",$C1250&lt;&gt;'Inv'!$D$12),"",N(O$1249)+1)</f>
        <v>0</v>
      </c>
    </row>
    <row r="1251" spans="1:15">
      <c r="A1251" s="2">
        <f>'[01_Entry.xlsx]Book'!A1251</f>
        <v/>
      </c>
      <c r="B1251" s="2">
        <f>'[01_Entry.xlsx]Book'!B1251</f>
        <v/>
      </c>
      <c r="C1251" s="2">
        <f>'[01_Entry.xlsx]Book'!D1251</f>
        <v/>
      </c>
      <c r="D1251" s="2">
        <f>'[01_Entry.xlsx]Book'!E1251</f>
        <v/>
      </c>
      <c r="E1251" s="2">
        <f>'[01_Entry.xlsx]Book'!O1251</f>
        <v/>
      </c>
      <c r="F1251" s="2">
        <f>'[01_Entry.xlsx]Book'!N1251</f>
        <v/>
      </c>
      <c r="G1251" s="3">
        <f>'[01_Entry.xlsx]Book'!L1251</f>
        <v/>
      </c>
      <c r="H1251" s="3">
        <f>'[01_Entry.xlsx]Book'!M1251</f>
        <v/>
      </c>
      <c r="I1251" s="3">
        <f>'[01_Entry.xlsx]Book'!K1251</f>
        <v/>
      </c>
      <c r="J1251" s="3">
        <f>'[01_Entry.xlsx]Book'!P1251</f>
        <v/>
      </c>
      <c r="K1251" s="3">
        <f>'[01_Entry.xlsx]Book'!F1251</f>
        <v/>
      </c>
      <c r="L1251" s="3">
        <f>'[01_Entry.xlsx]Book'!G1251</f>
        <v/>
      </c>
      <c r="M1251" s="3">
        <f>'[01_Entry.xlsx]Book'!I1251</f>
        <v/>
      </c>
      <c r="N1251" s="2">
        <f>IF($A1251="","",MID($A1251,6,2))</f>
        <v>0</v>
      </c>
      <c r="O1251" s="2">
        <f>IF(OR($C1251="",$C1251&lt;&gt;'Inv'!$D$12),"",N(O$1250)+1)</f>
        <v>0</v>
      </c>
    </row>
    <row r="1252" spans="1:15">
      <c r="A1252" s="2">
        <f>'[01_Entry.xlsx]Book'!A1252</f>
        <v/>
      </c>
      <c r="B1252" s="2">
        <f>'[01_Entry.xlsx]Book'!B1252</f>
        <v/>
      </c>
      <c r="C1252" s="2">
        <f>'[01_Entry.xlsx]Book'!D1252</f>
        <v/>
      </c>
      <c r="D1252" s="2">
        <f>'[01_Entry.xlsx]Book'!E1252</f>
        <v/>
      </c>
      <c r="E1252" s="2">
        <f>'[01_Entry.xlsx]Book'!O1252</f>
        <v/>
      </c>
      <c r="F1252" s="2">
        <f>'[01_Entry.xlsx]Book'!N1252</f>
        <v/>
      </c>
      <c r="G1252" s="3">
        <f>'[01_Entry.xlsx]Book'!L1252</f>
        <v/>
      </c>
      <c r="H1252" s="3">
        <f>'[01_Entry.xlsx]Book'!M1252</f>
        <v/>
      </c>
      <c r="I1252" s="3">
        <f>'[01_Entry.xlsx]Book'!K1252</f>
        <v/>
      </c>
      <c r="J1252" s="3">
        <f>'[01_Entry.xlsx]Book'!P1252</f>
        <v/>
      </c>
      <c r="K1252" s="3">
        <f>'[01_Entry.xlsx]Book'!F1252</f>
        <v/>
      </c>
      <c r="L1252" s="3">
        <f>'[01_Entry.xlsx]Book'!G1252</f>
        <v/>
      </c>
      <c r="M1252" s="3">
        <f>'[01_Entry.xlsx]Book'!I1252</f>
        <v/>
      </c>
      <c r="N1252" s="2">
        <f>IF($A1252="","",MID($A1252,6,2))</f>
        <v>0</v>
      </c>
      <c r="O1252" s="2">
        <f>IF(OR($C1252="",$C1252&lt;&gt;'Inv'!$D$12),"",N(O$1251)+1)</f>
        <v>0</v>
      </c>
    </row>
    <row r="1253" spans="1:15">
      <c r="A1253" s="2">
        <f>'[01_Entry.xlsx]Book'!A1253</f>
        <v/>
      </c>
      <c r="B1253" s="2">
        <f>'[01_Entry.xlsx]Book'!B1253</f>
        <v/>
      </c>
      <c r="C1253" s="2">
        <f>'[01_Entry.xlsx]Book'!D1253</f>
        <v/>
      </c>
      <c r="D1253" s="2">
        <f>'[01_Entry.xlsx]Book'!E1253</f>
        <v/>
      </c>
      <c r="E1253" s="2">
        <f>'[01_Entry.xlsx]Book'!O1253</f>
        <v/>
      </c>
      <c r="F1253" s="2">
        <f>'[01_Entry.xlsx]Book'!N1253</f>
        <v/>
      </c>
      <c r="G1253" s="3">
        <f>'[01_Entry.xlsx]Book'!L1253</f>
        <v/>
      </c>
      <c r="H1253" s="3">
        <f>'[01_Entry.xlsx]Book'!M1253</f>
        <v/>
      </c>
      <c r="I1253" s="3">
        <f>'[01_Entry.xlsx]Book'!K1253</f>
        <v/>
      </c>
      <c r="J1253" s="3">
        <f>'[01_Entry.xlsx]Book'!P1253</f>
        <v/>
      </c>
      <c r="K1253" s="3">
        <f>'[01_Entry.xlsx]Book'!F1253</f>
        <v/>
      </c>
      <c r="L1253" s="3">
        <f>'[01_Entry.xlsx]Book'!G1253</f>
        <v/>
      </c>
      <c r="M1253" s="3">
        <f>'[01_Entry.xlsx]Book'!I1253</f>
        <v/>
      </c>
      <c r="N1253" s="2">
        <f>IF($A1253="","",MID($A1253,6,2))</f>
        <v>0</v>
      </c>
      <c r="O1253" s="2">
        <f>IF(OR($C1253="",$C1253&lt;&gt;'Inv'!$D$12),"",N(O$1252)+1)</f>
        <v>0</v>
      </c>
    </row>
    <row r="1254" spans="1:15">
      <c r="A1254" s="2">
        <f>'[01_Entry.xlsx]Book'!A1254</f>
        <v/>
      </c>
      <c r="B1254" s="2">
        <f>'[01_Entry.xlsx]Book'!B1254</f>
        <v/>
      </c>
      <c r="C1254" s="2">
        <f>'[01_Entry.xlsx]Book'!D1254</f>
        <v/>
      </c>
      <c r="D1254" s="2">
        <f>'[01_Entry.xlsx]Book'!E1254</f>
        <v/>
      </c>
      <c r="E1254" s="2">
        <f>'[01_Entry.xlsx]Book'!O1254</f>
        <v/>
      </c>
      <c r="F1254" s="2">
        <f>'[01_Entry.xlsx]Book'!N1254</f>
        <v/>
      </c>
      <c r="G1254" s="3">
        <f>'[01_Entry.xlsx]Book'!L1254</f>
        <v/>
      </c>
      <c r="H1254" s="3">
        <f>'[01_Entry.xlsx]Book'!M1254</f>
        <v/>
      </c>
      <c r="I1254" s="3">
        <f>'[01_Entry.xlsx]Book'!K1254</f>
        <v/>
      </c>
      <c r="J1254" s="3">
        <f>'[01_Entry.xlsx]Book'!P1254</f>
        <v/>
      </c>
      <c r="K1254" s="3">
        <f>'[01_Entry.xlsx]Book'!F1254</f>
        <v/>
      </c>
      <c r="L1254" s="3">
        <f>'[01_Entry.xlsx]Book'!G1254</f>
        <v/>
      </c>
      <c r="M1254" s="3">
        <f>'[01_Entry.xlsx]Book'!I1254</f>
        <v/>
      </c>
      <c r="N1254" s="2">
        <f>IF($A1254="","",MID($A1254,6,2))</f>
        <v>0</v>
      </c>
      <c r="O1254" s="2">
        <f>IF(OR($C1254="",$C1254&lt;&gt;'Inv'!$D$12),"",N(O$1253)+1)</f>
        <v>0</v>
      </c>
    </row>
    <row r="1255" spans="1:15">
      <c r="A1255" s="2">
        <f>'[01_Entry.xlsx]Book'!A1255</f>
        <v/>
      </c>
      <c r="B1255" s="2">
        <f>'[01_Entry.xlsx]Book'!B1255</f>
        <v/>
      </c>
      <c r="C1255" s="2">
        <f>'[01_Entry.xlsx]Book'!D1255</f>
        <v/>
      </c>
      <c r="D1255" s="2">
        <f>'[01_Entry.xlsx]Book'!E1255</f>
        <v/>
      </c>
      <c r="E1255" s="2">
        <f>'[01_Entry.xlsx]Book'!O1255</f>
        <v/>
      </c>
      <c r="F1255" s="2">
        <f>'[01_Entry.xlsx]Book'!N1255</f>
        <v/>
      </c>
      <c r="G1255" s="3">
        <f>'[01_Entry.xlsx]Book'!L1255</f>
        <v/>
      </c>
      <c r="H1255" s="3">
        <f>'[01_Entry.xlsx]Book'!M1255</f>
        <v/>
      </c>
      <c r="I1255" s="3">
        <f>'[01_Entry.xlsx]Book'!K1255</f>
        <v/>
      </c>
      <c r="J1255" s="3">
        <f>'[01_Entry.xlsx]Book'!P1255</f>
        <v/>
      </c>
      <c r="K1255" s="3">
        <f>'[01_Entry.xlsx]Book'!F1255</f>
        <v/>
      </c>
      <c r="L1255" s="3">
        <f>'[01_Entry.xlsx]Book'!G1255</f>
        <v/>
      </c>
      <c r="M1255" s="3">
        <f>'[01_Entry.xlsx]Book'!I1255</f>
        <v/>
      </c>
      <c r="N1255" s="2">
        <f>IF($A1255="","",MID($A1255,6,2))</f>
        <v>0</v>
      </c>
      <c r="O1255" s="2">
        <f>IF(OR($C1255="",$C1255&lt;&gt;'Inv'!$D$12),"",N(O$1254)+1)</f>
        <v>0</v>
      </c>
    </row>
    <row r="1256" spans="1:15">
      <c r="A1256" s="2">
        <f>'[01_Entry.xlsx]Book'!A1256</f>
        <v/>
      </c>
      <c r="B1256" s="2">
        <f>'[01_Entry.xlsx]Book'!B1256</f>
        <v/>
      </c>
      <c r="C1256" s="2">
        <f>'[01_Entry.xlsx]Book'!D1256</f>
        <v/>
      </c>
      <c r="D1256" s="2">
        <f>'[01_Entry.xlsx]Book'!E1256</f>
        <v/>
      </c>
      <c r="E1256" s="2">
        <f>'[01_Entry.xlsx]Book'!O1256</f>
        <v/>
      </c>
      <c r="F1256" s="2">
        <f>'[01_Entry.xlsx]Book'!N1256</f>
        <v/>
      </c>
      <c r="G1256" s="3">
        <f>'[01_Entry.xlsx]Book'!L1256</f>
        <v/>
      </c>
      <c r="H1256" s="3">
        <f>'[01_Entry.xlsx]Book'!M1256</f>
        <v/>
      </c>
      <c r="I1256" s="3">
        <f>'[01_Entry.xlsx]Book'!K1256</f>
        <v/>
      </c>
      <c r="J1256" s="3">
        <f>'[01_Entry.xlsx]Book'!P1256</f>
        <v/>
      </c>
      <c r="K1256" s="3">
        <f>'[01_Entry.xlsx]Book'!F1256</f>
        <v/>
      </c>
      <c r="L1256" s="3">
        <f>'[01_Entry.xlsx]Book'!G1256</f>
        <v/>
      </c>
      <c r="M1256" s="3">
        <f>'[01_Entry.xlsx]Book'!I1256</f>
        <v/>
      </c>
      <c r="N1256" s="2">
        <f>IF($A1256="","",MID($A1256,6,2))</f>
        <v>0</v>
      </c>
      <c r="O1256" s="2">
        <f>IF(OR($C1256="",$C1256&lt;&gt;'Inv'!$D$12),"",N(O$1255)+1)</f>
        <v>0</v>
      </c>
    </row>
    <row r="1257" spans="1:15">
      <c r="A1257" s="2">
        <f>'[01_Entry.xlsx]Book'!A1257</f>
        <v/>
      </c>
      <c r="B1257" s="2">
        <f>'[01_Entry.xlsx]Book'!B1257</f>
        <v/>
      </c>
      <c r="C1257" s="2">
        <f>'[01_Entry.xlsx]Book'!D1257</f>
        <v/>
      </c>
      <c r="D1257" s="2">
        <f>'[01_Entry.xlsx]Book'!E1257</f>
        <v/>
      </c>
      <c r="E1257" s="2">
        <f>'[01_Entry.xlsx]Book'!O1257</f>
        <v/>
      </c>
      <c r="F1257" s="2">
        <f>'[01_Entry.xlsx]Book'!N1257</f>
        <v/>
      </c>
      <c r="G1257" s="3">
        <f>'[01_Entry.xlsx]Book'!L1257</f>
        <v/>
      </c>
      <c r="H1257" s="3">
        <f>'[01_Entry.xlsx]Book'!M1257</f>
        <v/>
      </c>
      <c r="I1257" s="3">
        <f>'[01_Entry.xlsx]Book'!K1257</f>
        <v/>
      </c>
      <c r="J1257" s="3">
        <f>'[01_Entry.xlsx]Book'!P1257</f>
        <v/>
      </c>
      <c r="K1257" s="3">
        <f>'[01_Entry.xlsx]Book'!F1257</f>
        <v/>
      </c>
      <c r="L1257" s="3">
        <f>'[01_Entry.xlsx]Book'!G1257</f>
        <v/>
      </c>
      <c r="M1257" s="3">
        <f>'[01_Entry.xlsx]Book'!I1257</f>
        <v/>
      </c>
      <c r="N1257" s="2">
        <f>IF($A1257="","",MID($A1257,6,2))</f>
        <v>0</v>
      </c>
      <c r="O1257" s="2">
        <f>IF(OR($C1257="",$C1257&lt;&gt;'Inv'!$D$12),"",N(O$1256)+1)</f>
        <v>0</v>
      </c>
    </row>
    <row r="1258" spans="1:15">
      <c r="A1258" s="2">
        <f>'[01_Entry.xlsx]Book'!A1258</f>
        <v/>
      </c>
      <c r="B1258" s="2">
        <f>'[01_Entry.xlsx]Book'!B1258</f>
        <v/>
      </c>
      <c r="C1258" s="2">
        <f>'[01_Entry.xlsx]Book'!D1258</f>
        <v/>
      </c>
      <c r="D1258" s="2">
        <f>'[01_Entry.xlsx]Book'!E1258</f>
        <v/>
      </c>
      <c r="E1258" s="2">
        <f>'[01_Entry.xlsx]Book'!O1258</f>
        <v/>
      </c>
      <c r="F1258" s="2">
        <f>'[01_Entry.xlsx]Book'!N1258</f>
        <v/>
      </c>
      <c r="G1258" s="3">
        <f>'[01_Entry.xlsx]Book'!L1258</f>
        <v/>
      </c>
      <c r="H1258" s="3">
        <f>'[01_Entry.xlsx]Book'!M1258</f>
        <v/>
      </c>
      <c r="I1258" s="3">
        <f>'[01_Entry.xlsx]Book'!K1258</f>
        <v/>
      </c>
      <c r="J1258" s="3">
        <f>'[01_Entry.xlsx]Book'!P1258</f>
        <v/>
      </c>
      <c r="K1258" s="3">
        <f>'[01_Entry.xlsx]Book'!F1258</f>
        <v/>
      </c>
      <c r="L1258" s="3">
        <f>'[01_Entry.xlsx]Book'!G1258</f>
        <v/>
      </c>
      <c r="M1258" s="3">
        <f>'[01_Entry.xlsx]Book'!I1258</f>
        <v/>
      </c>
      <c r="N1258" s="2">
        <f>IF($A1258="","",MID($A1258,6,2))</f>
        <v>0</v>
      </c>
      <c r="O1258" s="2">
        <f>IF(OR($C1258="",$C1258&lt;&gt;'Inv'!$D$12),"",N(O$1257)+1)</f>
        <v>0</v>
      </c>
    </row>
    <row r="1259" spans="1:15">
      <c r="A1259" s="2">
        <f>'[01_Entry.xlsx]Book'!A1259</f>
        <v/>
      </c>
      <c r="B1259" s="2">
        <f>'[01_Entry.xlsx]Book'!B1259</f>
        <v/>
      </c>
      <c r="C1259" s="2">
        <f>'[01_Entry.xlsx]Book'!D1259</f>
        <v/>
      </c>
      <c r="D1259" s="2">
        <f>'[01_Entry.xlsx]Book'!E1259</f>
        <v/>
      </c>
      <c r="E1259" s="2">
        <f>'[01_Entry.xlsx]Book'!O1259</f>
        <v/>
      </c>
      <c r="F1259" s="2">
        <f>'[01_Entry.xlsx]Book'!N1259</f>
        <v/>
      </c>
      <c r="G1259" s="3">
        <f>'[01_Entry.xlsx]Book'!L1259</f>
        <v/>
      </c>
      <c r="H1259" s="3">
        <f>'[01_Entry.xlsx]Book'!M1259</f>
        <v/>
      </c>
      <c r="I1259" s="3">
        <f>'[01_Entry.xlsx]Book'!K1259</f>
        <v/>
      </c>
      <c r="J1259" s="3">
        <f>'[01_Entry.xlsx]Book'!P1259</f>
        <v/>
      </c>
      <c r="K1259" s="3">
        <f>'[01_Entry.xlsx]Book'!F1259</f>
        <v/>
      </c>
      <c r="L1259" s="3">
        <f>'[01_Entry.xlsx]Book'!G1259</f>
        <v/>
      </c>
      <c r="M1259" s="3">
        <f>'[01_Entry.xlsx]Book'!I1259</f>
        <v/>
      </c>
      <c r="N1259" s="2">
        <f>IF($A1259="","",MID($A1259,6,2))</f>
        <v>0</v>
      </c>
      <c r="O1259" s="2">
        <f>IF(OR($C1259="",$C1259&lt;&gt;'Inv'!$D$12),"",N(O$1258)+1)</f>
        <v>0</v>
      </c>
    </row>
    <row r="1260" spans="1:15">
      <c r="A1260" s="2">
        <f>'[01_Entry.xlsx]Book'!A1260</f>
        <v/>
      </c>
      <c r="B1260" s="2">
        <f>'[01_Entry.xlsx]Book'!B1260</f>
        <v/>
      </c>
      <c r="C1260" s="2">
        <f>'[01_Entry.xlsx]Book'!D1260</f>
        <v/>
      </c>
      <c r="D1260" s="2">
        <f>'[01_Entry.xlsx]Book'!E1260</f>
        <v/>
      </c>
      <c r="E1260" s="2">
        <f>'[01_Entry.xlsx]Book'!O1260</f>
        <v/>
      </c>
      <c r="F1260" s="2">
        <f>'[01_Entry.xlsx]Book'!N1260</f>
        <v/>
      </c>
      <c r="G1260" s="3">
        <f>'[01_Entry.xlsx]Book'!L1260</f>
        <v/>
      </c>
      <c r="H1260" s="3">
        <f>'[01_Entry.xlsx]Book'!M1260</f>
        <v/>
      </c>
      <c r="I1260" s="3">
        <f>'[01_Entry.xlsx]Book'!K1260</f>
        <v/>
      </c>
      <c r="J1260" s="3">
        <f>'[01_Entry.xlsx]Book'!P1260</f>
        <v/>
      </c>
      <c r="K1260" s="3">
        <f>'[01_Entry.xlsx]Book'!F1260</f>
        <v/>
      </c>
      <c r="L1260" s="3">
        <f>'[01_Entry.xlsx]Book'!G1260</f>
        <v/>
      </c>
      <c r="M1260" s="3">
        <f>'[01_Entry.xlsx]Book'!I1260</f>
        <v/>
      </c>
      <c r="N1260" s="2">
        <f>IF($A1260="","",MID($A1260,6,2))</f>
        <v>0</v>
      </c>
      <c r="O1260" s="2">
        <f>IF(OR($C1260="",$C1260&lt;&gt;'Inv'!$D$12),"",N(O$1259)+1)</f>
        <v>0</v>
      </c>
    </row>
    <row r="1261" spans="1:15">
      <c r="A1261" s="2">
        <f>'[01_Entry.xlsx]Book'!A1261</f>
        <v/>
      </c>
      <c r="B1261" s="2">
        <f>'[01_Entry.xlsx]Book'!B1261</f>
        <v/>
      </c>
      <c r="C1261" s="2">
        <f>'[01_Entry.xlsx]Book'!D1261</f>
        <v/>
      </c>
      <c r="D1261" s="2">
        <f>'[01_Entry.xlsx]Book'!E1261</f>
        <v/>
      </c>
      <c r="E1261" s="2">
        <f>'[01_Entry.xlsx]Book'!O1261</f>
        <v/>
      </c>
      <c r="F1261" s="2">
        <f>'[01_Entry.xlsx]Book'!N1261</f>
        <v/>
      </c>
      <c r="G1261" s="3">
        <f>'[01_Entry.xlsx]Book'!L1261</f>
        <v/>
      </c>
      <c r="H1261" s="3">
        <f>'[01_Entry.xlsx]Book'!M1261</f>
        <v/>
      </c>
      <c r="I1261" s="3">
        <f>'[01_Entry.xlsx]Book'!K1261</f>
        <v/>
      </c>
      <c r="J1261" s="3">
        <f>'[01_Entry.xlsx]Book'!P1261</f>
        <v/>
      </c>
      <c r="K1261" s="3">
        <f>'[01_Entry.xlsx]Book'!F1261</f>
        <v/>
      </c>
      <c r="L1261" s="3">
        <f>'[01_Entry.xlsx]Book'!G1261</f>
        <v/>
      </c>
      <c r="M1261" s="3">
        <f>'[01_Entry.xlsx]Book'!I1261</f>
        <v/>
      </c>
      <c r="N1261" s="2">
        <f>IF($A1261="","",MID($A1261,6,2))</f>
        <v>0</v>
      </c>
      <c r="O1261" s="2">
        <f>IF(OR($C1261="",$C1261&lt;&gt;'Inv'!$D$12),"",N(O$1260)+1)</f>
        <v>0</v>
      </c>
    </row>
    <row r="1262" spans="1:15">
      <c r="A1262" s="2">
        <f>'[01_Entry.xlsx]Book'!A1262</f>
        <v/>
      </c>
      <c r="B1262" s="2">
        <f>'[01_Entry.xlsx]Book'!B1262</f>
        <v/>
      </c>
      <c r="C1262" s="2">
        <f>'[01_Entry.xlsx]Book'!D1262</f>
        <v/>
      </c>
      <c r="D1262" s="2">
        <f>'[01_Entry.xlsx]Book'!E1262</f>
        <v/>
      </c>
      <c r="E1262" s="2">
        <f>'[01_Entry.xlsx]Book'!O1262</f>
        <v/>
      </c>
      <c r="F1262" s="2">
        <f>'[01_Entry.xlsx]Book'!N1262</f>
        <v/>
      </c>
      <c r="G1262" s="3">
        <f>'[01_Entry.xlsx]Book'!L1262</f>
        <v/>
      </c>
      <c r="H1262" s="3">
        <f>'[01_Entry.xlsx]Book'!M1262</f>
        <v/>
      </c>
      <c r="I1262" s="3">
        <f>'[01_Entry.xlsx]Book'!K1262</f>
        <v/>
      </c>
      <c r="J1262" s="3">
        <f>'[01_Entry.xlsx]Book'!P1262</f>
        <v/>
      </c>
      <c r="K1262" s="3">
        <f>'[01_Entry.xlsx]Book'!F1262</f>
        <v/>
      </c>
      <c r="L1262" s="3">
        <f>'[01_Entry.xlsx]Book'!G1262</f>
        <v/>
      </c>
      <c r="M1262" s="3">
        <f>'[01_Entry.xlsx]Book'!I1262</f>
        <v/>
      </c>
      <c r="N1262" s="2">
        <f>IF($A1262="","",MID($A1262,6,2))</f>
        <v>0</v>
      </c>
      <c r="O1262" s="2">
        <f>IF(OR($C1262="",$C1262&lt;&gt;'Inv'!$D$12),"",N(O$1261)+1)</f>
        <v>0</v>
      </c>
    </row>
    <row r="1263" spans="1:15">
      <c r="A1263" s="2">
        <f>'[01_Entry.xlsx]Book'!A1263</f>
        <v/>
      </c>
      <c r="B1263" s="2">
        <f>'[01_Entry.xlsx]Book'!B1263</f>
        <v/>
      </c>
      <c r="C1263" s="2">
        <f>'[01_Entry.xlsx]Book'!D1263</f>
        <v/>
      </c>
      <c r="D1263" s="2">
        <f>'[01_Entry.xlsx]Book'!E1263</f>
        <v/>
      </c>
      <c r="E1263" s="2">
        <f>'[01_Entry.xlsx]Book'!O1263</f>
        <v/>
      </c>
      <c r="F1263" s="2">
        <f>'[01_Entry.xlsx]Book'!N1263</f>
        <v/>
      </c>
      <c r="G1263" s="3">
        <f>'[01_Entry.xlsx]Book'!L1263</f>
        <v/>
      </c>
      <c r="H1263" s="3">
        <f>'[01_Entry.xlsx]Book'!M1263</f>
        <v/>
      </c>
      <c r="I1263" s="3">
        <f>'[01_Entry.xlsx]Book'!K1263</f>
        <v/>
      </c>
      <c r="J1263" s="3">
        <f>'[01_Entry.xlsx]Book'!P1263</f>
        <v/>
      </c>
      <c r="K1263" s="3">
        <f>'[01_Entry.xlsx]Book'!F1263</f>
        <v/>
      </c>
      <c r="L1263" s="3">
        <f>'[01_Entry.xlsx]Book'!G1263</f>
        <v/>
      </c>
      <c r="M1263" s="3">
        <f>'[01_Entry.xlsx]Book'!I1263</f>
        <v/>
      </c>
      <c r="N1263" s="2">
        <f>IF($A1263="","",MID($A1263,6,2))</f>
        <v>0</v>
      </c>
      <c r="O1263" s="2">
        <f>IF(OR($C1263="",$C1263&lt;&gt;'Inv'!$D$12),"",N(O$1262)+1)</f>
        <v>0</v>
      </c>
    </row>
    <row r="1264" spans="1:15">
      <c r="A1264" s="2">
        <f>'[01_Entry.xlsx]Book'!A1264</f>
        <v/>
      </c>
      <c r="B1264" s="2">
        <f>'[01_Entry.xlsx]Book'!B1264</f>
        <v/>
      </c>
      <c r="C1264" s="2">
        <f>'[01_Entry.xlsx]Book'!D1264</f>
        <v/>
      </c>
      <c r="D1264" s="2">
        <f>'[01_Entry.xlsx]Book'!E1264</f>
        <v/>
      </c>
      <c r="E1264" s="2">
        <f>'[01_Entry.xlsx]Book'!O1264</f>
        <v/>
      </c>
      <c r="F1264" s="2">
        <f>'[01_Entry.xlsx]Book'!N1264</f>
        <v/>
      </c>
      <c r="G1264" s="3">
        <f>'[01_Entry.xlsx]Book'!L1264</f>
        <v/>
      </c>
      <c r="H1264" s="3">
        <f>'[01_Entry.xlsx]Book'!M1264</f>
        <v/>
      </c>
      <c r="I1264" s="3">
        <f>'[01_Entry.xlsx]Book'!K1264</f>
        <v/>
      </c>
      <c r="J1264" s="3">
        <f>'[01_Entry.xlsx]Book'!P1264</f>
        <v/>
      </c>
      <c r="K1264" s="3">
        <f>'[01_Entry.xlsx]Book'!F1264</f>
        <v/>
      </c>
      <c r="L1264" s="3">
        <f>'[01_Entry.xlsx]Book'!G1264</f>
        <v/>
      </c>
      <c r="M1264" s="3">
        <f>'[01_Entry.xlsx]Book'!I1264</f>
        <v/>
      </c>
      <c r="N1264" s="2">
        <f>IF($A1264="","",MID($A1264,6,2))</f>
        <v>0</v>
      </c>
      <c r="O1264" s="2">
        <f>IF(OR($C1264="",$C1264&lt;&gt;'Inv'!$D$12),"",N(O$1263)+1)</f>
        <v>0</v>
      </c>
    </row>
    <row r="1265" spans="1:15">
      <c r="A1265" s="2">
        <f>'[01_Entry.xlsx]Book'!A1265</f>
        <v/>
      </c>
      <c r="B1265" s="2">
        <f>'[01_Entry.xlsx]Book'!B1265</f>
        <v/>
      </c>
      <c r="C1265" s="2">
        <f>'[01_Entry.xlsx]Book'!D1265</f>
        <v/>
      </c>
      <c r="D1265" s="2">
        <f>'[01_Entry.xlsx]Book'!E1265</f>
        <v/>
      </c>
      <c r="E1265" s="2">
        <f>'[01_Entry.xlsx]Book'!O1265</f>
        <v/>
      </c>
      <c r="F1265" s="2">
        <f>'[01_Entry.xlsx]Book'!N1265</f>
        <v/>
      </c>
      <c r="G1265" s="3">
        <f>'[01_Entry.xlsx]Book'!L1265</f>
        <v/>
      </c>
      <c r="H1265" s="3">
        <f>'[01_Entry.xlsx]Book'!M1265</f>
        <v/>
      </c>
      <c r="I1265" s="3">
        <f>'[01_Entry.xlsx]Book'!K1265</f>
        <v/>
      </c>
      <c r="J1265" s="3">
        <f>'[01_Entry.xlsx]Book'!P1265</f>
        <v/>
      </c>
      <c r="K1265" s="3">
        <f>'[01_Entry.xlsx]Book'!F1265</f>
        <v/>
      </c>
      <c r="L1265" s="3">
        <f>'[01_Entry.xlsx]Book'!G1265</f>
        <v/>
      </c>
      <c r="M1265" s="3">
        <f>'[01_Entry.xlsx]Book'!I1265</f>
        <v/>
      </c>
      <c r="N1265" s="2">
        <f>IF($A1265="","",MID($A1265,6,2))</f>
        <v>0</v>
      </c>
      <c r="O1265" s="2">
        <f>IF(OR($C1265="",$C1265&lt;&gt;'Inv'!$D$12),"",N(O$1264)+1)</f>
        <v>0</v>
      </c>
    </row>
    <row r="1266" spans="1:15">
      <c r="A1266" s="2">
        <f>'[01_Entry.xlsx]Book'!A1266</f>
        <v/>
      </c>
      <c r="B1266" s="2">
        <f>'[01_Entry.xlsx]Book'!B1266</f>
        <v/>
      </c>
      <c r="C1266" s="2">
        <f>'[01_Entry.xlsx]Book'!D1266</f>
        <v/>
      </c>
      <c r="D1266" s="2">
        <f>'[01_Entry.xlsx]Book'!E1266</f>
        <v/>
      </c>
      <c r="E1266" s="2">
        <f>'[01_Entry.xlsx]Book'!O1266</f>
        <v/>
      </c>
      <c r="F1266" s="2">
        <f>'[01_Entry.xlsx]Book'!N1266</f>
        <v/>
      </c>
      <c r="G1266" s="3">
        <f>'[01_Entry.xlsx]Book'!L1266</f>
        <v/>
      </c>
      <c r="H1266" s="3">
        <f>'[01_Entry.xlsx]Book'!M1266</f>
        <v/>
      </c>
      <c r="I1266" s="3">
        <f>'[01_Entry.xlsx]Book'!K1266</f>
        <v/>
      </c>
      <c r="J1266" s="3">
        <f>'[01_Entry.xlsx]Book'!P1266</f>
        <v/>
      </c>
      <c r="K1266" s="3">
        <f>'[01_Entry.xlsx]Book'!F1266</f>
        <v/>
      </c>
      <c r="L1266" s="3">
        <f>'[01_Entry.xlsx]Book'!G1266</f>
        <v/>
      </c>
      <c r="M1266" s="3">
        <f>'[01_Entry.xlsx]Book'!I1266</f>
        <v/>
      </c>
      <c r="N1266" s="2">
        <f>IF($A1266="","",MID($A1266,6,2))</f>
        <v>0</v>
      </c>
      <c r="O1266" s="2">
        <f>IF(OR($C1266="",$C1266&lt;&gt;'Inv'!$D$12),"",N(O$1265)+1)</f>
        <v>0</v>
      </c>
    </row>
    <row r="1267" spans="1:15">
      <c r="A1267" s="2">
        <f>'[01_Entry.xlsx]Book'!A1267</f>
        <v/>
      </c>
      <c r="B1267" s="2">
        <f>'[01_Entry.xlsx]Book'!B1267</f>
        <v/>
      </c>
      <c r="C1267" s="2">
        <f>'[01_Entry.xlsx]Book'!D1267</f>
        <v/>
      </c>
      <c r="D1267" s="2">
        <f>'[01_Entry.xlsx]Book'!E1267</f>
        <v/>
      </c>
      <c r="E1267" s="2">
        <f>'[01_Entry.xlsx]Book'!O1267</f>
        <v/>
      </c>
      <c r="F1267" s="2">
        <f>'[01_Entry.xlsx]Book'!N1267</f>
        <v/>
      </c>
      <c r="G1267" s="3">
        <f>'[01_Entry.xlsx]Book'!L1267</f>
        <v/>
      </c>
      <c r="H1267" s="3">
        <f>'[01_Entry.xlsx]Book'!M1267</f>
        <v/>
      </c>
      <c r="I1267" s="3">
        <f>'[01_Entry.xlsx]Book'!K1267</f>
        <v/>
      </c>
      <c r="J1267" s="3">
        <f>'[01_Entry.xlsx]Book'!P1267</f>
        <v/>
      </c>
      <c r="K1267" s="3">
        <f>'[01_Entry.xlsx]Book'!F1267</f>
        <v/>
      </c>
      <c r="L1267" s="3">
        <f>'[01_Entry.xlsx]Book'!G1267</f>
        <v/>
      </c>
      <c r="M1267" s="3">
        <f>'[01_Entry.xlsx]Book'!I1267</f>
        <v/>
      </c>
      <c r="N1267" s="2">
        <f>IF($A1267="","",MID($A1267,6,2))</f>
        <v>0</v>
      </c>
      <c r="O1267" s="2">
        <f>IF(OR($C1267="",$C1267&lt;&gt;'Inv'!$D$12),"",N(O$1266)+1)</f>
        <v>0</v>
      </c>
    </row>
    <row r="1268" spans="1:15">
      <c r="A1268" s="2">
        <f>'[01_Entry.xlsx]Book'!A1268</f>
        <v/>
      </c>
      <c r="B1268" s="2">
        <f>'[01_Entry.xlsx]Book'!B1268</f>
        <v/>
      </c>
      <c r="C1268" s="2">
        <f>'[01_Entry.xlsx]Book'!D1268</f>
        <v/>
      </c>
      <c r="D1268" s="2">
        <f>'[01_Entry.xlsx]Book'!E1268</f>
        <v/>
      </c>
      <c r="E1268" s="2">
        <f>'[01_Entry.xlsx]Book'!O1268</f>
        <v/>
      </c>
      <c r="F1268" s="2">
        <f>'[01_Entry.xlsx]Book'!N1268</f>
        <v/>
      </c>
      <c r="G1268" s="3">
        <f>'[01_Entry.xlsx]Book'!L1268</f>
        <v/>
      </c>
      <c r="H1268" s="3">
        <f>'[01_Entry.xlsx]Book'!M1268</f>
        <v/>
      </c>
      <c r="I1268" s="3">
        <f>'[01_Entry.xlsx]Book'!K1268</f>
        <v/>
      </c>
      <c r="J1268" s="3">
        <f>'[01_Entry.xlsx]Book'!P1268</f>
        <v/>
      </c>
      <c r="K1268" s="3">
        <f>'[01_Entry.xlsx]Book'!F1268</f>
        <v/>
      </c>
      <c r="L1268" s="3">
        <f>'[01_Entry.xlsx]Book'!G1268</f>
        <v/>
      </c>
      <c r="M1268" s="3">
        <f>'[01_Entry.xlsx]Book'!I1268</f>
        <v/>
      </c>
      <c r="N1268" s="2">
        <f>IF($A1268="","",MID($A1268,6,2))</f>
        <v>0</v>
      </c>
      <c r="O1268" s="2">
        <f>IF(OR($C1268="",$C1268&lt;&gt;'Inv'!$D$12),"",N(O$1267)+1)</f>
        <v>0</v>
      </c>
    </row>
    <row r="1269" spans="1:15">
      <c r="A1269" s="2">
        <f>'[01_Entry.xlsx]Book'!A1269</f>
        <v/>
      </c>
      <c r="B1269" s="2">
        <f>'[01_Entry.xlsx]Book'!B1269</f>
        <v/>
      </c>
      <c r="C1269" s="2">
        <f>'[01_Entry.xlsx]Book'!D1269</f>
        <v/>
      </c>
      <c r="D1269" s="2">
        <f>'[01_Entry.xlsx]Book'!E1269</f>
        <v/>
      </c>
      <c r="E1269" s="2">
        <f>'[01_Entry.xlsx]Book'!O1269</f>
        <v/>
      </c>
      <c r="F1269" s="2">
        <f>'[01_Entry.xlsx]Book'!N1269</f>
        <v/>
      </c>
      <c r="G1269" s="3">
        <f>'[01_Entry.xlsx]Book'!L1269</f>
        <v/>
      </c>
      <c r="H1269" s="3">
        <f>'[01_Entry.xlsx]Book'!M1269</f>
        <v/>
      </c>
      <c r="I1269" s="3">
        <f>'[01_Entry.xlsx]Book'!K1269</f>
        <v/>
      </c>
      <c r="J1269" s="3">
        <f>'[01_Entry.xlsx]Book'!P1269</f>
        <v/>
      </c>
      <c r="K1269" s="3">
        <f>'[01_Entry.xlsx]Book'!F1269</f>
        <v/>
      </c>
      <c r="L1269" s="3">
        <f>'[01_Entry.xlsx]Book'!G1269</f>
        <v/>
      </c>
      <c r="M1269" s="3">
        <f>'[01_Entry.xlsx]Book'!I1269</f>
        <v/>
      </c>
      <c r="N1269" s="2">
        <f>IF($A1269="","",MID($A1269,6,2))</f>
        <v>0</v>
      </c>
      <c r="O1269" s="2">
        <f>IF(OR($C1269="",$C1269&lt;&gt;'Inv'!$D$12),"",N(O$1268)+1)</f>
        <v>0</v>
      </c>
    </row>
    <row r="1270" spans="1:15">
      <c r="A1270" s="2">
        <f>'[01_Entry.xlsx]Book'!A1270</f>
        <v/>
      </c>
      <c r="B1270" s="2">
        <f>'[01_Entry.xlsx]Book'!B1270</f>
        <v/>
      </c>
      <c r="C1270" s="2">
        <f>'[01_Entry.xlsx]Book'!D1270</f>
        <v/>
      </c>
      <c r="D1270" s="2">
        <f>'[01_Entry.xlsx]Book'!E1270</f>
        <v/>
      </c>
      <c r="E1270" s="2">
        <f>'[01_Entry.xlsx]Book'!O1270</f>
        <v/>
      </c>
      <c r="F1270" s="2">
        <f>'[01_Entry.xlsx]Book'!N1270</f>
        <v/>
      </c>
      <c r="G1270" s="3">
        <f>'[01_Entry.xlsx]Book'!L1270</f>
        <v/>
      </c>
      <c r="H1270" s="3">
        <f>'[01_Entry.xlsx]Book'!M1270</f>
        <v/>
      </c>
      <c r="I1270" s="3">
        <f>'[01_Entry.xlsx]Book'!K1270</f>
        <v/>
      </c>
      <c r="J1270" s="3">
        <f>'[01_Entry.xlsx]Book'!P1270</f>
        <v/>
      </c>
      <c r="K1270" s="3">
        <f>'[01_Entry.xlsx]Book'!F1270</f>
        <v/>
      </c>
      <c r="L1270" s="3">
        <f>'[01_Entry.xlsx]Book'!G1270</f>
        <v/>
      </c>
      <c r="M1270" s="3">
        <f>'[01_Entry.xlsx]Book'!I1270</f>
        <v/>
      </c>
      <c r="N1270" s="2">
        <f>IF($A1270="","",MID($A1270,6,2))</f>
        <v>0</v>
      </c>
      <c r="O1270" s="2">
        <f>IF(OR($C1270="",$C1270&lt;&gt;'Inv'!$D$12),"",N(O$1269)+1)</f>
        <v>0</v>
      </c>
    </row>
    <row r="1271" spans="1:15">
      <c r="A1271" s="2">
        <f>'[01_Entry.xlsx]Book'!A1271</f>
        <v/>
      </c>
      <c r="B1271" s="2">
        <f>'[01_Entry.xlsx]Book'!B1271</f>
        <v/>
      </c>
      <c r="C1271" s="2">
        <f>'[01_Entry.xlsx]Book'!D1271</f>
        <v/>
      </c>
      <c r="D1271" s="2">
        <f>'[01_Entry.xlsx]Book'!E1271</f>
        <v/>
      </c>
      <c r="E1271" s="2">
        <f>'[01_Entry.xlsx]Book'!O1271</f>
        <v/>
      </c>
      <c r="F1271" s="2">
        <f>'[01_Entry.xlsx]Book'!N1271</f>
        <v/>
      </c>
      <c r="G1271" s="3">
        <f>'[01_Entry.xlsx]Book'!L1271</f>
        <v/>
      </c>
      <c r="H1271" s="3">
        <f>'[01_Entry.xlsx]Book'!M1271</f>
        <v/>
      </c>
      <c r="I1271" s="3">
        <f>'[01_Entry.xlsx]Book'!K1271</f>
        <v/>
      </c>
      <c r="J1271" s="3">
        <f>'[01_Entry.xlsx]Book'!P1271</f>
        <v/>
      </c>
      <c r="K1271" s="3">
        <f>'[01_Entry.xlsx]Book'!F1271</f>
        <v/>
      </c>
      <c r="L1271" s="3">
        <f>'[01_Entry.xlsx]Book'!G1271</f>
        <v/>
      </c>
      <c r="M1271" s="3">
        <f>'[01_Entry.xlsx]Book'!I1271</f>
        <v/>
      </c>
      <c r="N1271" s="2">
        <f>IF($A1271="","",MID($A1271,6,2))</f>
        <v>0</v>
      </c>
      <c r="O1271" s="2">
        <f>IF(OR($C1271="",$C1271&lt;&gt;'Inv'!$D$12),"",N(O$1270)+1)</f>
        <v>0</v>
      </c>
    </row>
    <row r="1272" spans="1:15">
      <c r="A1272" s="2">
        <f>'[01_Entry.xlsx]Book'!A1272</f>
        <v/>
      </c>
      <c r="B1272" s="2">
        <f>'[01_Entry.xlsx]Book'!B1272</f>
        <v/>
      </c>
      <c r="C1272" s="2">
        <f>'[01_Entry.xlsx]Book'!D1272</f>
        <v/>
      </c>
      <c r="D1272" s="2">
        <f>'[01_Entry.xlsx]Book'!E1272</f>
        <v/>
      </c>
      <c r="E1272" s="2">
        <f>'[01_Entry.xlsx]Book'!O1272</f>
        <v/>
      </c>
      <c r="F1272" s="2">
        <f>'[01_Entry.xlsx]Book'!N1272</f>
        <v/>
      </c>
      <c r="G1272" s="3">
        <f>'[01_Entry.xlsx]Book'!L1272</f>
        <v/>
      </c>
      <c r="H1272" s="3">
        <f>'[01_Entry.xlsx]Book'!M1272</f>
        <v/>
      </c>
      <c r="I1272" s="3">
        <f>'[01_Entry.xlsx]Book'!K1272</f>
        <v/>
      </c>
      <c r="J1272" s="3">
        <f>'[01_Entry.xlsx]Book'!P1272</f>
        <v/>
      </c>
      <c r="K1272" s="3">
        <f>'[01_Entry.xlsx]Book'!F1272</f>
        <v/>
      </c>
      <c r="L1272" s="3">
        <f>'[01_Entry.xlsx]Book'!G1272</f>
        <v/>
      </c>
      <c r="M1272" s="3">
        <f>'[01_Entry.xlsx]Book'!I1272</f>
        <v/>
      </c>
      <c r="N1272" s="2">
        <f>IF($A1272="","",MID($A1272,6,2))</f>
        <v>0</v>
      </c>
      <c r="O1272" s="2">
        <f>IF(OR($C1272="",$C1272&lt;&gt;'Inv'!$D$12),"",N(O$1271)+1)</f>
        <v>0</v>
      </c>
    </row>
    <row r="1273" spans="1:15">
      <c r="A1273" s="2">
        <f>'[01_Entry.xlsx]Book'!A1273</f>
        <v/>
      </c>
      <c r="B1273" s="2">
        <f>'[01_Entry.xlsx]Book'!B1273</f>
        <v/>
      </c>
      <c r="C1273" s="2">
        <f>'[01_Entry.xlsx]Book'!D1273</f>
        <v/>
      </c>
      <c r="D1273" s="2">
        <f>'[01_Entry.xlsx]Book'!E1273</f>
        <v/>
      </c>
      <c r="E1273" s="2">
        <f>'[01_Entry.xlsx]Book'!O1273</f>
        <v/>
      </c>
      <c r="F1273" s="2">
        <f>'[01_Entry.xlsx]Book'!N1273</f>
        <v/>
      </c>
      <c r="G1273" s="3">
        <f>'[01_Entry.xlsx]Book'!L1273</f>
        <v/>
      </c>
      <c r="H1273" s="3">
        <f>'[01_Entry.xlsx]Book'!M1273</f>
        <v/>
      </c>
      <c r="I1273" s="3">
        <f>'[01_Entry.xlsx]Book'!K1273</f>
        <v/>
      </c>
      <c r="J1273" s="3">
        <f>'[01_Entry.xlsx]Book'!P1273</f>
        <v/>
      </c>
      <c r="K1273" s="3">
        <f>'[01_Entry.xlsx]Book'!F1273</f>
        <v/>
      </c>
      <c r="L1273" s="3">
        <f>'[01_Entry.xlsx]Book'!G1273</f>
        <v/>
      </c>
      <c r="M1273" s="3">
        <f>'[01_Entry.xlsx]Book'!I1273</f>
        <v/>
      </c>
      <c r="N1273" s="2">
        <f>IF($A1273="","",MID($A1273,6,2))</f>
        <v>0</v>
      </c>
      <c r="O1273" s="2">
        <f>IF(OR($C1273="",$C1273&lt;&gt;'Inv'!$D$12),"",N(O$1272)+1)</f>
        <v>0</v>
      </c>
    </row>
    <row r="1274" spans="1:15">
      <c r="A1274" s="2">
        <f>'[01_Entry.xlsx]Book'!A1274</f>
        <v/>
      </c>
      <c r="B1274" s="2">
        <f>'[01_Entry.xlsx]Book'!B1274</f>
        <v/>
      </c>
      <c r="C1274" s="2">
        <f>'[01_Entry.xlsx]Book'!D1274</f>
        <v/>
      </c>
      <c r="D1274" s="2">
        <f>'[01_Entry.xlsx]Book'!E1274</f>
        <v/>
      </c>
      <c r="E1274" s="2">
        <f>'[01_Entry.xlsx]Book'!O1274</f>
        <v/>
      </c>
      <c r="F1274" s="2">
        <f>'[01_Entry.xlsx]Book'!N1274</f>
        <v/>
      </c>
      <c r="G1274" s="3">
        <f>'[01_Entry.xlsx]Book'!L1274</f>
        <v/>
      </c>
      <c r="H1274" s="3">
        <f>'[01_Entry.xlsx]Book'!M1274</f>
        <v/>
      </c>
      <c r="I1274" s="3">
        <f>'[01_Entry.xlsx]Book'!K1274</f>
        <v/>
      </c>
      <c r="J1274" s="3">
        <f>'[01_Entry.xlsx]Book'!P1274</f>
        <v/>
      </c>
      <c r="K1274" s="3">
        <f>'[01_Entry.xlsx]Book'!F1274</f>
        <v/>
      </c>
      <c r="L1274" s="3">
        <f>'[01_Entry.xlsx]Book'!G1274</f>
        <v/>
      </c>
      <c r="M1274" s="3">
        <f>'[01_Entry.xlsx]Book'!I1274</f>
        <v/>
      </c>
      <c r="N1274" s="2">
        <f>IF($A1274="","",MID($A1274,6,2))</f>
        <v>0</v>
      </c>
      <c r="O1274" s="2">
        <f>IF(OR($C1274="",$C1274&lt;&gt;'Inv'!$D$12),"",N(O$1273)+1)</f>
        <v>0</v>
      </c>
    </row>
    <row r="1275" spans="1:15">
      <c r="A1275" s="2">
        <f>'[01_Entry.xlsx]Book'!A1275</f>
        <v/>
      </c>
      <c r="B1275" s="2">
        <f>'[01_Entry.xlsx]Book'!B1275</f>
        <v/>
      </c>
      <c r="C1275" s="2">
        <f>'[01_Entry.xlsx]Book'!D1275</f>
        <v/>
      </c>
      <c r="D1275" s="2">
        <f>'[01_Entry.xlsx]Book'!E1275</f>
        <v/>
      </c>
      <c r="E1275" s="2">
        <f>'[01_Entry.xlsx]Book'!O1275</f>
        <v/>
      </c>
      <c r="F1275" s="2">
        <f>'[01_Entry.xlsx]Book'!N1275</f>
        <v/>
      </c>
      <c r="G1275" s="3">
        <f>'[01_Entry.xlsx]Book'!L1275</f>
        <v/>
      </c>
      <c r="H1275" s="3">
        <f>'[01_Entry.xlsx]Book'!M1275</f>
        <v/>
      </c>
      <c r="I1275" s="3">
        <f>'[01_Entry.xlsx]Book'!K1275</f>
        <v/>
      </c>
      <c r="J1275" s="3">
        <f>'[01_Entry.xlsx]Book'!P1275</f>
        <v/>
      </c>
      <c r="K1275" s="3">
        <f>'[01_Entry.xlsx]Book'!F1275</f>
        <v/>
      </c>
      <c r="L1275" s="3">
        <f>'[01_Entry.xlsx]Book'!G1275</f>
        <v/>
      </c>
      <c r="M1275" s="3">
        <f>'[01_Entry.xlsx]Book'!I1275</f>
        <v/>
      </c>
      <c r="N1275" s="2">
        <f>IF($A1275="","",MID($A1275,6,2))</f>
        <v>0</v>
      </c>
      <c r="O1275" s="2">
        <f>IF(OR($C1275="",$C1275&lt;&gt;'Inv'!$D$12),"",N(O$1274)+1)</f>
        <v>0</v>
      </c>
    </row>
    <row r="1276" spans="1:15">
      <c r="A1276" s="2">
        <f>'[01_Entry.xlsx]Book'!A1276</f>
        <v/>
      </c>
      <c r="B1276" s="2">
        <f>'[01_Entry.xlsx]Book'!B1276</f>
        <v/>
      </c>
      <c r="C1276" s="2">
        <f>'[01_Entry.xlsx]Book'!D1276</f>
        <v/>
      </c>
      <c r="D1276" s="2">
        <f>'[01_Entry.xlsx]Book'!E1276</f>
        <v/>
      </c>
      <c r="E1276" s="2">
        <f>'[01_Entry.xlsx]Book'!O1276</f>
        <v/>
      </c>
      <c r="F1276" s="2">
        <f>'[01_Entry.xlsx]Book'!N1276</f>
        <v/>
      </c>
      <c r="G1276" s="3">
        <f>'[01_Entry.xlsx]Book'!L1276</f>
        <v/>
      </c>
      <c r="H1276" s="3">
        <f>'[01_Entry.xlsx]Book'!M1276</f>
        <v/>
      </c>
      <c r="I1276" s="3">
        <f>'[01_Entry.xlsx]Book'!K1276</f>
        <v/>
      </c>
      <c r="J1276" s="3">
        <f>'[01_Entry.xlsx]Book'!P1276</f>
        <v/>
      </c>
      <c r="K1276" s="3">
        <f>'[01_Entry.xlsx]Book'!F1276</f>
        <v/>
      </c>
      <c r="L1276" s="3">
        <f>'[01_Entry.xlsx]Book'!G1276</f>
        <v/>
      </c>
      <c r="M1276" s="3">
        <f>'[01_Entry.xlsx]Book'!I1276</f>
        <v/>
      </c>
      <c r="N1276" s="2">
        <f>IF($A1276="","",MID($A1276,6,2))</f>
        <v>0</v>
      </c>
      <c r="O1276" s="2">
        <f>IF(OR($C1276="",$C1276&lt;&gt;'Inv'!$D$12),"",N(O$1275)+1)</f>
        <v>0</v>
      </c>
    </row>
    <row r="1277" spans="1:15">
      <c r="A1277" s="2">
        <f>'[01_Entry.xlsx]Book'!A1277</f>
        <v/>
      </c>
      <c r="B1277" s="2">
        <f>'[01_Entry.xlsx]Book'!B1277</f>
        <v/>
      </c>
      <c r="C1277" s="2">
        <f>'[01_Entry.xlsx]Book'!D1277</f>
        <v/>
      </c>
      <c r="D1277" s="2">
        <f>'[01_Entry.xlsx]Book'!E1277</f>
        <v/>
      </c>
      <c r="E1277" s="2">
        <f>'[01_Entry.xlsx]Book'!O1277</f>
        <v/>
      </c>
      <c r="F1277" s="2">
        <f>'[01_Entry.xlsx]Book'!N1277</f>
        <v/>
      </c>
      <c r="G1277" s="3">
        <f>'[01_Entry.xlsx]Book'!L1277</f>
        <v/>
      </c>
      <c r="H1277" s="3">
        <f>'[01_Entry.xlsx]Book'!M1277</f>
        <v/>
      </c>
      <c r="I1277" s="3">
        <f>'[01_Entry.xlsx]Book'!K1277</f>
        <v/>
      </c>
      <c r="J1277" s="3">
        <f>'[01_Entry.xlsx]Book'!P1277</f>
        <v/>
      </c>
      <c r="K1277" s="3">
        <f>'[01_Entry.xlsx]Book'!F1277</f>
        <v/>
      </c>
      <c r="L1277" s="3">
        <f>'[01_Entry.xlsx]Book'!G1277</f>
        <v/>
      </c>
      <c r="M1277" s="3">
        <f>'[01_Entry.xlsx]Book'!I1277</f>
        <v/>
      </c>
      <c r="N1277" s="2">
        <f>IF($A1277="","",MID($A1277,6,2))</f>
        <v>0</v>
      </c>
      <c r="O1277" s="2">
        <f>IF(OR($C1277="",$C1277&lt;&gt;'Inv'!$D$12),"",N(O$1276)+1)</f>
        <v>0</v>
      </c>
    </row>
    <row r="1278" spans="1:15">
      <c r="A1278" s="2">
        <f>'[01_Entry.xlsx]Book'!A1278</f>
        <v/>
      </c>
      <c r="B1278" s="2">
        <f>'[01_Entry.xlsx]Book'!B1278</f>
        <v/>
      </c>
      <c r="C1278" s="2">
        <f>'[01_Entry.xlsx]Book'!D1278</f>
        <v/>
      </c>
      <c r="D1278" s="2">
        <f>'[01_Entry.xlsx]Book'!E1278</f>
        <v/>
      </c>
      <c r="E1278" s="2">
        <f>'[01_Entry.xlsx]Book'!O1278</f>
        <v/>
      </c>
      <c r="F1278" s="2">
        <f>'[01_Entry.xlsx]Book'!N1278</f>
        <v/>
      </c>
      <c r="G1278" s="3">
        <f>'[01_Entry.xlsx]Book'!L1278</f>
        <v/>
      </c>
      <c r="H1278" s="3">
        <f>'[01_Entry.xlsx]Book'!M1278</f>
        <v/>
      </c>
      <c r="I1278" s="3">
        <f>'[01_Entry.xlsx]Book'!K1278</f>
        <v/>
      </c>
      <c r="J1278" s="3">
        <f>'[01_Entry.xlsx]Book'!P1278</f>
        <v/>
      </c>
      <c r="K1278" s="3">
        <f>'[01_Entry.xlsx]Book'!F1278</f>
        <v/>
      </c>
      <c r="L1278" s="3">
        <f>'[01_Entry.xlsx]Book'!G1278</f>
        <v/>
      </c>
      <c r="M1278" s="3">
        <f>'[01_Entry.xlsx]Book'!I1278</f>
        <v/>
      </c>
      <c r="N1278" s="2">
        <f>IF($A1278="","",MID($A1278,6,2))</f>
        <v>0</v>
      </c>
      <c r="O1278" s="2">
        <f>IF(OR($C1278="",$C1278&lt;&gt;'Inv'!$D$12),"",N(O$1277)+1)</f>
        <v>0</v>
      </c>
    </row>
    <row r="1279" spans="1:15">
      <c r="A1279" s="2">
        <f>'[01_Entry.xlsx]Book'!A1279</f>
        <v/>
      </c>
      <c r="B1279" s="2">
        <f>'[01_Entry.xlsx]Book'!B1279</f>
        <v/>
      </c>
      <c r="C1279" s="2">
        <f>'[01_Entry.xlsx]Book'!D1279</f>
        <v/>
      </c>
      <c r="D1279" s="2">
        <f>'[01_Entry.xlsx]Book'!E1279</f>
        <v/>
      </c>
      <c r="E1279" s="2">
        <f>'[01_Entry.xlsx]Book'!O1279</f>
        <v/>
      </c>
      <c r="F1279" s="2">
        <f>'[01_Entry.xlsx]Book'!N1279</f>
        <v/>
      </c>
      <c r="G1279" s="3">
        <f>'[01_Entry.xlsx]Book'!L1279</f>
        <v/>
      </c>
      <c r="H1279" s="3">
        <f>'[01_Entry.xlsx]Book'!M1279</f>
        <v/>
      </c>
      <c r="I1279" s="3">
        <f>'[01_Entry.xlsx]Book'!K1279</f>
        <v/>
      </c>
      <c r="J1279" s="3">
        <f>'[01_Entry.xlsx]Book'!P1279</f>
        <v/>
      </c>
      <c r="K1279" s="3">
        <f>'[01_Entry.xlsx]Book'!F1279</f>
        <v/>
      </c>
      <c r="L1279" s="3">
        <f>'[01_Entry.xlsx]Book'!G1279</f>
        <v/>
      </c>
      <c r="M1279" s="3">
        <f>'[01_Entry.xlsx]Book'!I1279</f>
        <v/>
      </c>
      <c r="N1279" s="2">
        <f>IF($A1279="","",MID($A1279,6,2))</f>
        <v>0</v>
      </c>
      <c r="O1279" s="2">
        <f>IF(OR($C1279="",$C1279&lt;&gt;'Inv'!$D$12),"",N(O$1278)+1)</f>
        <v>0</v>
      </c>
    </row>
    <row r="1280" spans="1:15">
      <c r="A1280" s="2">
        <f>'[01_Entry.xlsx]Book'!A1280</f>
        <v/>
      </c>
      <c r="B1280" s="2">
        <f>'[01_Entry.xlsx]Book'!B1280</f>
        <v/>
      </c>
      <c r="C1280" s="2">
        <f>'[01_Entry.xlsx]Book'!D1280</f>
        <v/>
      </c>
      <c r="D1280" s="2">
        <f>'[01_Entry.xlsx]Book'!E1280</f>
        <v/>
      </c>
      <c r="E1280" s="2">
        <f>'[01_Entry.xlsx]Book'!O1280</f>
        <v/>
      </c>
      <c r="F1280" s="2">
        <f>'[01_Entry.xlsx]Book'!N1280</f>
        <v/>
      </c>
      <c r="G1280" s="3">
        <f>'[01_Entry.xlsx]Book'!L1280</f>
        <v/>
      </c>
      <c r="H1280" s="3">
        <f>'[01_Entry.xlsx]Book'!M1280</f>
        <v/>
      </c>
      <c r="I1280" s="3">
        <f>'[01_Entry.xlsx]Book'!K1280</f>
        <v/>
      </c>
      <c r="J1280" s="3">
        <f>'[01_Entry.xlsx]Book'!P1280</f>
        <v/>
      </c>
      <c r="K1280" s="3">
        <f>'[01_Entry.xlsx]Book'!F1280</f>
        <v/>
      </c>
      <c r="L1280" s="3">
        <f>'[01_Entry.xlsx]Book'!G1280</f>
        <v/>
      </c>
      <c r="M1280" s="3">
        <f>'[01_Entry.xlsx]Book'!I1280</f>
        <v/>
      </c>
      <c r="N1280" s="2">
        <f>IF($A1280="","",MID($A1280,6,2))</f>
        <v>0</v>
      </c>
      <c r="O1280" s="2">
        <f>IF(OR($C1280="",$C1280&lt;&gt;'Inv'!$D$12),"",N(O$1279)+1)</f>
        <v>0</v>
      </c>
    </row>
    <row r="1281" spans="1:15">
      <c r="A1281" s="2">
        <f>'[01_Entry.xlsx]Book'!A1281</f>
        <v/>
      </c>
      <c r="B1281" s="2">
        <f>'[01_Entry.xlsx]Book'!B1281</f>
        <v/>
      </c>
      <c r="C1281" s="2">
        <f>'[01_Entry.xlsx]Book'!D1281</f>
        <v/>
      </c>
      <c r="D1281" s="2">
        <f>'[01_Entry.xlsx]Book'!E1281</f>
        <v/>
      </c>
      <c r="E1281" s="2">
        <f>'[01_Entry.xlsx]Book'!O1281</f>
        <v/>
      </c>
      <c r="F1281" s="2">
        <f>'[01_Entry.xlsx]Book'!N1281</f>
        <v/>
      </c>
      <c r="G1281" s="3">
        <f>'[01_Entry.xlsx]Book'!L1281</f>
        <v/>
      </c>
      <c r="H1281" s="3">
        <f>'[01_Entry.xlsx]Book'!M1281</f>
        <v/>
      </c>
      <c r="I1281" s="3">
        <f>'[01_Entry.xlsx]Book'!K1281</f>
        <v/>
      </c>
      <c r="J1281" s="3">
        <f>'[01_Entry.xlsx]Book'!P1281</f>
        <v/>
      </c>
      <c r="K1281" s="3">
        <f>'[01_Entry.xlsx]Book'!F1281</f>
        <v/>
      </c>
      <c r="L1281" s="3">
        <f>'[01_Entry.xlsx]Book'!G1281</f>
        <v/>
      </c>
      <c r="M1281" s="3">
        <f>'[01_Entry.xlsx]Book'!I1281</f>
        <v/>
      </c>
      <c r="N1281" s="2">
        <f>IF($A1281="","",MID($A1281,6,2))</f>
        <v>0</v>
      </c>
      <c r="O1281" s="2">
        <f>IF(OR($C1281="",$C1281&lt;&gt;'Inv'!$D$12),"",N(O$1280)+1)</f>
        <v>0</v>
      </c>
    </row>
    <row r="1282" spans="1:15">
      <c r="A1282" s="2">
        <f>'[01_Entry.xlsx]Book'!A1282</f>
        <v/>
      </c>
      <c r="B1282" s="2">
        <f>'[01_Entry.xlsx]Book'!B1282</f>
        <v/>
      </c>
      <c r="C1282" s="2">
        <f>'[01_Entry.xlsx]Book'!D1282</f>
        <v/>
      </c>
      <c r="D1282" s="2">
        <f>'[01_Entry.xlsx]Book'!E1282</f>
        <v/>
      </c>
      <c r="E1282" s="2">
        <f>'[01_Entry.xlsx]Book'!O1282</f>
        <v/>
      </c>
      <c r="F1282" s="2">
        <f>'[01_Entry.xlsx]Book'!N1282</f>
        <v/>
      </c>
      <c r="G1282" s="3">
        <f>'[01_Entry.xlsx]Book'!L1282</f>
        <v/>
      </c>
      <c r="H1282" s="3">
        <f>'[01_Entry.xlsx]Book'!M1282</f>
        <v/>
      </c>
      <c r="I1282" s="3">
        <f>'[01_Entry.xlsx]Book'!K1282</f>
        <v/>
      </c>
      <c r="J1282" s="3">
        <f>'[01_Entry.xlsx]Book'!P1282</f>
        <v/>
      </c>
      <c r="K1282" s="3">
        <f>'[01_Entry.xlsx]Book'!F1282</f>
        <v/>
      </c>
      <c r="L1282" s="3">
        <f>'[01_Entry.xlsx]Book'!G1282</f>
        <v/>
      </c>
      <c r="M1282" s="3">
        <f>'[01_Entry.xlsx]Book'!I1282</f>
        <v/>
      </c>
      <c r="N1282" s="2">
        <f>IF($A1282="","",MID($A1282,6,2))</f>
        <v>0</v>
      </c>
      <c r="O1282" s="2">
        <f>IF(OR($C1282="",$C1282&lt;&gt;'Inv'!$D$12),"",N(O$1281)+1)</f>
        <v>0</v>
      </c>
    </row>
    <row r="1283" spans="1:15">
      <c r="A1283" s="2">
        <f>'[01_Entry.xlsx]Book'!A1283</f>
        <v/>
      </c>
      <c r="B1283" s="2">
        <f>'[01_Entry.xlsx]Book'!B1283</f>
        <v/>
      </c>
      <c r="C1283" s="2">
        <f>'[01_Entry.xlsx]Book'!D1283</f>
        <v/>
      </c>
      <c r="D1283" s="2">
        <f>'[01_Entry.xlsx]Book'!E1283</f>
        <v/>
      </c>
      <c r="E1283" s="2">
        <f>'[01_Entry.xlsx]Book'!O1283</f>
        <v/>
      </c>
      <c r="F1283" s="2">
        <f>'[01_Entry.xlsx]Book'!N1283</f>
        <v/>
      </c>
      <c r="G1283" s="3">
        <f>'[01_Entry.xlsx]Book'!L1283</f>
        <v/>
      </c>
      <c r="H1283" s="3">
        <f>'[01_Entry.xlsx]Book'!M1283</f>
        <v/>
      </c>
      <c r="I1283" s="3">
        <f>'[01_Entry.xlsx]Book'!K1283</f>
        <v/>
      </c>
      <c r="J1283" s="3">
        <f>'[01_Entry.xlsx]Book'!P1283</f>
        <v/>
      </c>
      <c r="K1283" s="3">
        <f>'[01_Entry.xlsx]Book'!F1283</f>
        <v/>
      </c>
      <c r="L1283" s="3">
        <f>'[01_Entry.xlsx]Book'!G1283</f>
        <v/>
      </c>
      <c r="M1283" s="3">
        <f>'[01_Entry.xlsx]Book'!I1283</f>
        <v/>
      </c>
      <c r="N1283" s="2">
        <f>IF($A1283="","",MID($A1283,6,2))</f>
        <v>0</v>
      </c>
      <c r="O1283" s="2">
        <f>IF(OR($C1283="",$C1283&lt;&gt;'Inv'!$D$12),"",N(O$1282)+1)</f>
        <v>0</v>
      </c>
    </row>
    <row r="1284" spans="1:15">
      <c r="A1284" s="2">
        <f>'[01_Entry.xlsx]Book'!A1284</f>
        <v/>
      </c>
      <c r="B1284" s="2">
        <f>'[01_Entry.xlsx]Book'!B1284</f>
        <v/>
      </c>
      <c r="C1284" s="2">
        <f>'[01_Entry.xlsx]Book'!D1284</f>
        <v/>
      </c>
      <c r="D1284" s="2">
        <f>'[01_Entry.xlsx]Book'!E1284</f>
        <v/>
      </c>
      <c r="E1284" s="2">
        <f>'[01_Entry.xlsx]Book'!O1284</f>
        <v/>
      </c>
      <c r="F1284" s="2">
        <f>'[01_Entry.xlsx]Book'!N1284</f>
        <v/>
      </c>
      <c r="G1284" s="3">
        <f>'[01_Entry.xlsx]Book'!L1284</f>
        <v/>
      </c>
      <c r="H1284" s="3">
        <f>'[01_Entry.xlsx]Book'!M1284</f>
        <v/>
      </c>
      <c r="I1284" s="3">
        <f>'[01_Entry.xlsx]Book'!K1284</f>
        <v/>
      </c>
      <c r="J1284" s="3">
        <f>'[01_Entry.xlsx]Book'!P1284</f>
        <v/>
      </c>
      <c r="K1284" s="3">
        <f>'[01_Entry.xlsx]Book'!F1284</f>
        <v/>
      </c>
      <c r="L1284" s="3">
        <f>'[01_Entry.xlsx]Book'!G1284</f>
        <v/>
      </c>
      <c r="M1284" s="3">
        <f>'[01_Entry.xlsx]Book'!I1284</f>
        <v/>
      </c>
      <c r="N1284" s="2">
        <f>IF($A1284="","",MID($A1284,6,2))</f>
        <v>0</v>
      </c>
      <c r="O1284" s="2">
        <f>IF(OR($C1284="",$C1284&lt;&gt;'Inv'!$D$12),"",N(O$1283)+1)</f>
        <v>0</v>
      </c>
    </row>
    <row r="1285" spans="1:15">
      <c r="A1285" s="2">
        <f>'[01_Entry.xlsx]Book'!A1285</f>
        <v/>
      </c>
      <c r="B1285" s="2">
        <f>'[01_Entry.xlsx]Book'!B1285</f>
        <v/>
      </c>
      <c r="C1285" s="2">
        <f>'[01_Entry.xlsx]Book'!D1285</f>
        <v/>
      </c>
      <c r="D1285" s="2">
        <f>'[01_Entry.xlsx]Book'!E1285</f>
        <v/>
      </c>
      <c r="E1285" s="2">
        <f>'[01_Entry.xlsx]Book'!O1285</f>
        <v/>
      </c>
      <c r="F1285" s="2">
        <f>'[01_Entry.xlsx]Book'!N1285</f>
        <v/>
      </c>
      <c r="G1285" s="3">
        <f>'[01_Entry.xlsx]Book'!L1285</f>
        <v/>
      </c>
      <c r="H1285" s="3">
        <f>'[01_Entry.xlsx]Book'!M1285</f>
        <v/>
      </c>
      <c r="I1285" s="3">
        <f>'[01_Entry.xlsx]Book'!K1285</f>
        <v/>
      </c>
      <c r="J1285" s="3">
        <f>'[01_Entry.xlsx]Book'!P1285</f>
        <v/>
      </c>
      <c r="K1285" s="3">
        <f>'[01_Entry.xlsx]Book'!F1285</f>
        <v/>
      </c>
      <c r="L1285" s="3">
        <f>'[01_Entry.xlsx]Book'!G1285</f>
        <v/>
      </c>
      <c r="M1285" s="3">
        <f>'[01_Entry.xlsx]Book'!I1285</f>
        <v/>
      </c>
      <c r="N1285" s="2">
        <f>IF($A1285="","",MID($A1285,6,2))</f>
        <v>0</v>
      </c>
      <c r="O1285" s="2">
        <f>IF(OR($C1285="",$C1285&lt;&gt;'Inv'!$D$12),"",N(O$1284)+1)</f>
        <v>0</v>
      </c>
    </row>
    <row r="1286" spans="1:15">
      <c r="A1286" s="2">
        <f>'[01_Entry.xlsx]Book'!A1286</f>
        <v/>
      </c>
      <c r="B1286" s="2">
        <f>'[01_Entry.xlsx]Book'!B1286</f>
        <v/>
      </c>
      <c r="C1286" s="2">
        <f>'[01_Entry.xlsx]Book'!D1286</f>
        <v/>
      </c>
      <c r="D1286" s="2">
        <f>'[01_Entry.xlsx]Book'!E1286</f>
        <v/>
      </c>
      <c r="E1286" s="2">
        <f>'[01_Entry.xlsx]Book'!O1286</f>
        <v/>
      </c>
      <c r="F1286" s="2">
        <f>'[01_Entry.xlsx]Book'!N1286</f>
        <v/>
      </c>
      <c r="G1286" s="3">
        <f>'[01_Entry.xlsx]Book'!L1286</f>
        <v/>
      </c>
      <c r="H1286" s="3">
        <f>'[01_Entry.xlsx]Book'!M1286</f>
        <v/>
      </c>
      <c r="I1286" s="3">
        <f>'[01_Entry.xlsx]Book'!K1286</f>
        <v/>
      </c>
      <c r="J1286" s="3">
        <f>'[01_Entry.xlsx]Book'!P1286</f>
        <v/>
      </c>
      <c r="K1286" s="3">
        <f>'[01_Entry.xlsx]Book'!F1286</f>
        <v/>
      </c>
      <c r="L1286" s="3">
        <f>'[01_Entry.xlsx]Book'!G1286</f>
        <v/>
      </c>
      <c r="M1286" s="3">
        <f>'[01_Entry.xlsx]Book'!I1286</f>
        <v/>
      </c>
      <c r="N1286" s="2">
        <f>IF($A1286="","",MID($A1286,6,2))</f>
        <v>0</v>
      </c>
      <c r="O1286" s="2">
        <f>IF(OR($C1286="",$C1286&lt;&gt;'Inv'!$D$12),"",N(O$1285)+1)</f>
        <v>0</v>
      </c>
    </row>
    <row r="1287" spans="1:15">
      <c r="A1287" s="2">
        <f>'[01_Entry.xlsx]Book'!A1287</f>
        <v/>
      </c>
      <c r="B1287" s="2">
        <f>'[01_Entry.xlsx]Book'!B1287</f>
        <v/>
      </c>
      <c r="C1287" s="2">
        <f>'[01_Entry.xlsx]Book'!D1287</f>
        <v/>
      </c>
      <c r="D1287" s="2">
        <f>'[01_Entry.xlsx]Book'!E1287</f>
        <v/>
      </c>
      <c r="E1287" s="2">
        <f>'[01_Entry.xlsx]Book'!O1287</f>
        <v/>
      </c>
      <c r="F1287" s="2">
        <f>'[01_Entry.xlsx]Book'!N1287</f>
        <v/>
      </c>
      <c r="G1287" s="3">
        <f>'[01_Entry.xlsx]Book'!L1287</f>
        <v/>
      </c>
      <c r="H1287" s="3">
        <f>'[01_Entry.xlsx]Book'!M1287</f>
        <v/>
      </c>
      <c r="I1287" s="3">
        <f>'[01_Entry.xlsx]Book'!K1287</f>
        <v/>
      </c>
      <c r="J1287" s="3">
        <f>'[01_Entry.xlsx]Book'!P1287</f>
        <v/>
      </c>
      <c r="K1287" s="3">
        <f>'[01_Entry.xlsx]Book'!F1287</f>
        <v/>
      </c>
      <c r="L1287" s="3">
        <f>'[01_Entry.xlsx]Book'!G1287</f>
        <v/>
      </c>
      <c r="M1287" s="3">
        <f>'[01_Entry.xlsx]Book'!I1287</f>
        <v/>
      </c>
      <c r="N1287" s="2">
        <f>IF($A1287="","",MID($A1287,6,2))</f>
        <v>0</v>
      </c>
      <c r="O1287" s="2">
        <f>IF(OR($C1287="",$C1287&lt;&gt;'Inv'!$D$12),"",N(O$1286)+1)</f>
        <v>0</v>
      </c>
    </row>
    <row r="1288" spans="1:15">
      <c r="A1288" s="2">
        <f>'[01_Entry.xlsx]Book'!A1288</f>
        <v/>
      </c>
      <c r="B1288" s="2">
        <f>'[01_Entry.xlsx]Book'!B1288</f>
        <v/>
      </c>
      <c r="C1288" s="2">
        <f>'[01_Entry.xlsx]Book'!D1288</f>
        <v/>
      </c>
      <c r="D1288" s="2">
        <f>'[01_Entry.xlsx]Book'!E1288</f>
        <v/>
      </c>
      <c r="E1288" s="2">
        <f>'[01_Entry.xlsx]Book'!O1288</f>
        <v/>
      </c>
      <c r="F1288" s="2">
        <f>'[01_Entry.xlsx]Book'!N1288</f>
        <v/>
      </c>
      <c r="G1288" s="3">
        <f>'[01_Entry.xlsx]Book'!L1288</f>
        <v/>
      </c>
      <c r="H1288" s="3">
        <f>'[01_Entry.xlsx]Book'!M1288</f>
        <v/>
      </c>
      <c r="I1288" s="3">
        <f>'[01_Entry.xlsx]Book'!K1288</f>
        <v/>
      </c>
      <c r="J1288" s="3">
        <f>'[01_Entry.xlsx]Book'!P1288</f>
        <v/>
      </c>
      <c r="K1288" s="3">
        <f>'[01_Entry.xlsx]Book'!F1288</f>
        <v/>
      </c>
      <c r="L1288" s="3">
        <f>'[01_Entry.xlsx]Book'!G1288</f>
        <v/>
      </c>
      <c r="M1288" s="3">
        <f>'[01_Entry.xlsx]Book'!I1288</f>
        <v/>
      </c>
      <c r="N1288" s="2">
        <f>IF($A1288="","",MID($A1288,6,2))</f>
        <v>0</v>
      </c>
      <c r="O1288" s="2">
        <f>IF(OR($C1288="",$C1288&lt;&gt;'Inv'!$D$12),"",N(O$1287)+1)</f>
        <v>0</v>
      </c>
    </row>
    <row r="1289" spans="1:15">
      <c r="A1289" s="2">
        <f>'[01_Entry.xlsx]Book'!A1289</f>
        <v/>
      </c>
      <c r="B1289" s="2">
        <f>'[01_Entry.xlsx]Book'!B1289</f>
        <v/>
      </c>
      <c r="C1289" s="2">
        <f>'[01_Entry.xlsx]Book'!D1289</f>
        <v/>
      </c>
      <c r="D1289" s="2">
        <f>'[01_Entry.xlsx]Book'!E1289</f>
        <v/>
      </c>
      <c r="E1289" s="2">
        <f>'[01_Entry.xlsx]Book'!O1289</f>
        <v/>
      </c>
      <c r="F1289" s="2">
        <f>'[01_Entry.xlsx]Book'!N1289</f>
        <v/>
      </c>
      <c r="G1289" s="3">
        <f>'[01_Entry.xlsx]Book'!L1289</f>
        <v/>
      </c>
      <c r="H1289" s="3">
        <f>'[01_Entry.xlsx]Book'!M1289</f>
        <v/>
      </c>
      <c r="I1289" s="3">
        <f>'[01_Entry.xlsx]Book'!K1289</f>
        <v/>
      </c>
      <c r="J1289" s="3">
        <f>'[01_Entry.xlsx]Book'!P1289</f>
        <v/>
      </c>
      <c r="K1289" s="3">
        <f>'[01_Entry.xlsx]Book'!F1289</f>
        <v/>
      </c>
      <c r="L1289" s="3">
        <f>'[01_Entry.xlsx]Book'!G1289</f>
        <v/>
      </c>
      <c r="M1289" s="3">
        <f>'[01_Entry.xlsx]Book'!I1289</f>
        <v/>
      </c>
      <c r="N1289" s="2">
        <f>IF($A1289="","",MID($A1289,6,2))</f>
        <v>0</v>
      </c>
      <c r="O1289" s="2">
        <f>IF(OR($C1289="",$C1289&lt;&gt;'Inv'!$D$12),"",N(O$1288)+1)</f>
        <v>0</v>
      </c>
    </row>
    <row r="1290" spans="1:15">
      <c r="A1290" s="2">
        <f>'[01_Entry.xlsx]Book'!A1290</f>
        <v/>
      </c>
      <c r="B1290" s="2">
        <f>'[01_Entry.xlsx]Book'!B1290</f>
        <v/>
      </c>
      <c r="C1290" s="2">
        <f>'[01_Entry.xlsx]Book'!D1290</f>
        <v/>
      </c>
      <c r="D1290" s="2">
        <f>'[01_Entry.xlsx]Book'!E1290</f>
        <v/>
      </c>
      <c r="E1290" s="2">
        <f>'[01_Entry.xlsx]Book'!O1290</f>
        <v/>
      </c>
      <c r="F1290" s="2">
        <f>'[01_Entry.xlsx]Book'!N1290</f>
        <v/>
      </c>
      <c r="G1290" s="3">
        <f>'[01_Entry.xlsx]Book'!L1290</f>
        <v/>
      </c>
      <c r="H1290" s="3">
        <f>'[01_Entry.xlsx]Book'!M1290</f>
        <v/>
      </c>
      <c r="I1290" s="3">
        <f>'[01_Entry.xlsx]Book'!K1290</f>
        <v/>
      </c>
      <c r="J1290" s="3">
        <f>'[01_Entry.xlsx]Book'!P1290</f>
        <v/>
      </c>
      <c r="K1290" s="3">
        <f>'[01_Entry.xlsx]Book'!F1290</f>
        <v/>
      </c>
      <c r="L1290" s="3">
        <f>'[01_Entry.xlsx]Book'!G1290</f>
        <v/>
      </c>
      <c r="M1290" s="3">
        <f>'[01_Entry.xlsx]Book'!I1290</f>
        <v/>
      </c>
      <c r="N1290" s="2">
        <f>IF($A1290="","",MID($A1290,6,2))</f>
        <v>0</v>
      </c>
      <c r="O1290" s="2">
        <f>IF(OR($C1290="",$C1290&lt;&gt;'Inv'!$D$12),"",N(O$1289)+1)</f>
        <v>0</v>
      </c>
    </row>
    <row r="1291" spans="1:15">
      <c r="A1291" s="2">
        <f>'[01_Entry.xlsx]Book'!A1291</f>
        <v/>
      </c>
      <c r="B1291" s="2">
        <f>'[01_Entry.xlsx]Book'!B1291</f>
        <v/>
      </c>
      <c r="C1291" s="2">
        <f>'[01_Entry.xlsx]Book'!D1291</f>
        <v/>
      </c>
      <c r="D1291" s="2">
        <f>'[01_Entry.xlsx]Book'!E1291</f>
        <v/>
      </c>
      <c r="E1291" s="2">
        <f>'[01_Entry.xlsx]Book'!O1291</f>
        <v/>
      </c>
      <c r="F1291" s="2">
        <f>'[01_Entry.xlsx]Book'!N1291</f>
        <v/>
      </c>
      <c r="G1291" s="3">
        <f>'[01_Entry.xlsx]Book'!L1291</f>
        <v/>
      </c>
      <c r="H1291" s="3">
        <f>'[01_Entry.xlsx]Book'!M1291</f>
        <v/>
      </c>
      <c r="I1291" s="3">
        <f>'[01_Entry.xlsx]Book'!K1291</f>
        <v/>
      </c>
      <c r="J1291" s="3">
        <f>'[01_Entry.xlsx]Book'!P1291</f>
        <v/>
      </c>
      <c r="K1291" s="3">
        <f>'[01_Entry.xlsx]Book'!F1291</f>
        <v/>
      </c>
      <c r="L1291" s="3">
        <f>'[01_Entry.xlsx]Book'!G1291</f>
        <v/>
      </c>
      <c r="M1291" s="3">
        <f>'[01_Entry.xlsx]Book'!I1291</f>
        <v/>
      </c>
      <c r="N1291" s="2">
        <f>IF($A1291="","",MID($A1291,6,2))</f>
        <v>0</v>
      </c>
      <c r="O1291" s="2">
        <f>IF(OR($C1291="",$C1291&lt;&gt;'Inv'!$D$12),"",N(O$1290)+1)</f>
        <v>0</v>
      </c>
    </row>
    <row r="1292" spans="1:15">
      <c r="A1292" s="2">
        <f>'[01_Entry.xlsx]Book'!A1292</f>
        <v/>
      </c>
      <c r="B1292" s="2">
        <f>'[01_Entry.xlsx]Book'!B1292</f>
        <v/>
      </c>
      <c r="C1292" s="2">
        <f>'[01_Entry.xlsx]Book'!D1292</f>
        <v/>
      </c>
      <c r="D1292" s="2">
        <f>'[01_Entry.xlsx]Book'!E1292</f>
        <v/>
      </c>
      <c r="E1292" s="2">
        <f>'[01_Entry.xlsx]Book'!O1292</f>
        <v/>
      </c>
      <c r="F1292" s="2">
        <f>'[01_Entry.xlsx]Book'!N1292</f>
        <v/>
      </c>
      <c r="G1292" s="3">
        <f>'[01_Entry.xlsx]Book'!L1292</f>
        <v/>
      </c>
      <c r="H1292" s="3">
        <f>'[01_Entry.xlsx]Book'!M1292</f>
        <v/>
      </c>
      <c r="I1292" s="3">
        <f>'[01_Entry.xlsx]Book'!K1292</f>
        <v/>
      </c>
      <c r="J1292" s="3">
        <f>'[01_Entry.xlsx]Book'!P1292</f>
        <v/>
      </c>
      <c r="K1292" s="3">
        <f>'[01_Entry.xlsx]Book'!F1292</f>
        <v/>
      </c>
      <c r="L1292" s="3">
        <f>'[01_Entry.xlsx]Book'!G1292</f>
        <v/>
      </c>
      <c r="M1292" s="3">
        <f>'[01_Entry.xlsx]Book'!I1292</f>
        <v/>
      </c>
      <c r="N1292" s="2">
        <f>IF($A1292="","",MID($A1292,6,2))</f>
        <v>0</v>
      </c>
      <c r="O1292" s="2">
        <f>IF(OR($C1292="",$C1292&lt;&gt;'Inv'!$D$12),"",N(O$1291)+1)</f>
        <v>0</v>
      </c>
    </row>
    <row r="1293" spans="1:15">
      <c r="A1293" s="2">
        <f>'[01_Entry.xlsx]Book'!A1293</f>
        <v/>
      </c>
      <c r="B1293" s="2">
        <f>'[01_Entry.xlsx]Book'!B1293</f>
        <v/>
      </c>
      <c r="C1293" s="2">
        <f>'[01_Entry.xlsx]Book'!D1293</f>
        <v/>
      </c>
      <c r="D1293" s="2">
        <f>'[01_Entry.xlsx]Book'!E1293</f>
        <v/>
      </c>
      <c r="E1293" s="2">
        <f>'[01_Entry.xlsx]Book'!O1293</f>
        <v/>
      </c>
      <c r="F1293" s="2">
        <f>'[01_Entry.xlsx]Book'!N1293</f>
        <v/>
      </c>
      <c r="G1293" s="3">
        <f>'[01_Entry.xlsx]Book'!L1293</f>
        <v/>
      </c>
      <c r="H1293" s="3">
        <f>'[01_Entry.xlsx]Book'!M1293</f>
        <v/>
      </c>
      <c r="I1293" s="3">
        <f>'[01_Entry.xlsx]Book'!K1293</f>
        <v/>
      </c>
      <c r="J1293" s="3">
        <f>'[01_Entry.xlsx]Book'!P1293</f>
        <v/>
      </c>
      <c r="K1293" s="3">
        <f>'[01_Entry.xlsx]Book'!F1293</f>
        <v/>
      </c>
      <c r="L1293" s="3">
        <f>'[01_Entry.xlsx]Book'!G1293</f>
        <v/>
      </c>
      <c r="M1293" s="3">
        <f>'[01_Entry.xlsx]Book'!I1293</f>
        <v/>
      </c>
      <c r="N1293" s="2">
        <f>IF($A1293="","",MID($A1293,6,2))</f>
        <v>0</v>
      </c>
      <c r="O1293" s="2">
        <f>IF(OR($C1293="",$C1293&lt;&gt;'Inv'!$D$12),"",N(O$1292)+1)</f>
        <v>0</v>
      </c>
    </row>
    <row r="1294" spans="1:15">
      <c r="A1294" s="2">
        <f>'[01_Entry.xlsx]Book'!A1294</f>
        <v/>
      </c>
      <c r="B1294" s="2">
        <f>'[01_Entry.xlsx]Book'!B1294</f>
        <v/>
      </c>
      <c r="C1294" s="2">
        <f>'[01_Entry.xlsx]Book'!D1294</f>
        <v/>
      </c>
      <c r="D1294" s="2">
        <f>'[01_Entry.xlsx]Book'!E1294</f>
        <v/>
      </c>
      <c r="E1294" s="2">
        <f>'[01_Entry.xlsx]Book'!O1294</f>
        <v/>
      </c>
      <c r="F1294" s="2">
        <f>'[01_Entry.xlsx]Book'!N1294</f>
        <v/>
      </c>
      <c r="G1294" s="3">
        <f>'[01_Entry.xlsx]Book'!L1294</f>
        <v/>
      </c>
      <c r="H1294" s="3">
        <f>'[01_Entry.xlsx]Book'!M1294</f>
        <v/>
      </c>
      <c r="I1294" s="3">
        <f>'[01_Entry.xlsx]Book'!K1294</f>
        <v/>
      </c>
      <c r="J1294" s="3">
        <f>'[01_Entry.xlsx]Book'!P1294</f>
        <v/>
      </c>
      <c r="K1294" s="3">
        <f>'[01_Entry.xlsx]Book'!F1294</f>
        <v/>
      </c>
      <c r="L1294" s="3">
        <f>'[01_Entry.xlsx]Book'!G1294</f>
        <v/>
      </c>
      <c r="M1294" s="3">
        <f>'[01_Entry.xlsx]Book'!I1294</f>
        <v/>
      </c>
      <c r="N1294" s="2">
        <f>IF($A1294="","",MID($A1294,6,2))</f>
        <v>0</v>
      </c>
      <c r="O1294" s="2">
        <f>IF(OR($C1294="",$C1294&lt;&gt;'Inv'!$D$12),"",N(O$1293)+1)</f>
        <v>0</v>
      </c>
    </row>
    <row r="1295" spans="1:15">
      <c r="A1295" s="2">
        <f>'[01_Entry.xlsx]Book'!A1295</f>
        <v/>
      </c>
      <c r="B1295" s="2">
        <f>'[01_Entry.xlsx]Book'!B1295</f>
        <v/>
      </c>
      <c r="C1295" s="2">
        <f>'[01_Entry.xlsx]Book'!D1295</f>
        <v/>
      </c>
      <c r="D1295" s="2">
        <f>'[01_Entry.xlsx]Book'!E1295</f>
        <v/>
      </c>
      <c r="E1295" s="2">
        <f>'[01_Entry.xlsx]Book'!O1295</f>
        <v/>
      </c>
      <c r="F1295" s="2">
        <f>'[01_Entry.xlsx]Book'!N1295</f>
        <v/>
      </c>
      <c r="G1295" s="3">
        <f>'[01_Entry.xlsx]Book'!L1295</f>
        <v/>
      </c>
      <c r="H1295" s="3">
        <f>'[01_Entry.xlsx]Book'!M1295</f>
        <v/>
      </c>
      <c r="I1295" s="3">
        <f>'[01_Entry.xlsx]Book'!K1295</f>
        <v/>
      </c>
      <c r="J1295" s="3">
        <f>'[01_Entry.xlsx]Book'!P1295</f>
        <v/>
      </c>
      <c r="K1295" s="3">
        <f>'[01_Entry.xlsx]Book'!F1295</f>
        <v/>
      </c>
      <c r="L1295" s="3">
        <f>'[01_Entry.xlsx]Book'!G1295</f>
        <v/>
      </c>
      <c r="M1295" s="3">
        <f>'[01_Entry.xlsx]Book'!I1295</f>
        <v/>
      </c>
      <c r="N1295" s="2">
        <f>IF($A1295="","",MID($A1295,6,2))</f>
        <v>0</v>
      </c>
      <c r="O1295" s="2">
        <f>IF(OR($C1295="",$C1295&lt;&gt;'Inv'!$D$12),"",N(O$1294)+1)</f>
        <v>0</v>
      </c>
    </row>
    <row r="1296" spans="1:15">
      <c r="A1296" s="2">
        <f>'[01_Entry.xlsx]Book'!A1296</f>
        <v/>
      </c>
      <c r="B1296" s="2">
        <f>'[01_Entry.xlsx]Book'!B1296</f>
        <v/>
      </c>
      <c r="C1296" s="2">
        <f>'[01_Entry.xlsx]Book'!D1296</f>
        <v/>
      </c>
      <c r="D1296" s="2">
        <f>'[01_Entry.xlsx]Book'!E1296</f>
        <v/>
      </c>
      <c r="E1296" s="2">
        <f>'[01_Entry.xlsx]Book'!O1296</f>
        <v/>
      </c>
      <c r="F1296" s="2">
        <f>'[01_Entry.xlsx]Book'!N1296</f>
        <v/>
      </c>
      <c r="G1296" s="3">
        <f>'[01_Entry.xlsx]Book'!L1296</f>
        <v/>
      </c>
      <c r="H1296" s="3">
        <f>'[01_Entry.xlsx]Book'!M1296</f>
        <v/>
      </c>
      <c r="I1296" s="3">
        <f>'[01_Entry.xlsx]Book'!K1296</f>
        <v/>
      </c>
      <c r="J1296" s="3">
        <f>'[01_Entry.xlsx]Book'!P1296</f>
        <v/>
      </c>
      <c r="K1296" s="3">
        <f>'[01_Entry.xlsx]Book'!F1296</f>
        <v/>
      </c>
      <c r="L1296" s="3">
        <f>'[01_Entry.xlsx]Book'!G1296</f>
        <v/>
      </c>
      <c r="M1296" s="3">
        <f>'[01_Entry.xlsx]Book'!I1296</f>
        <v/>
      </c>
      <c r="N1296" s="2">
        <f>IF($A1296="","",MID($A1296,6,2))</f>
        <v>0</v>
      </c>
      <c r="O1296" s="2">
        <f>IF(OR($C1296="",$C1296&lt;&gt;'Inv'!$D$12),"",N(O$1295)+1)</f>
        <v>0</v>
      </c>
    </row>
    <row r="1297" spans="1:15">
      <c r="A1297" s="2">
        <f>'[01_Entry.xlsx]Book'!A1297</f>
        <v/>
      </c>
      <c r="B1297" s="2">
        <f>'[01_Entry.xlsx]Book'!B1297</f>
        <v/>
      </c>
      <c r="C1297" s="2">
        <f>'[01_Entry.xlsx]Book'!D1297</f>
        <v/>
      </c>
      <c r="D1297" s="2">
        <f>'[01_Entry.xlsx]Book'!E1297</f>
        <v/>
      </c>
      <c r="E1297" s="2">
        <f>'[01_Entry.xlsx]Book'!O1297</f>
        <v/>
      </c>
      <c r="F1297" s="2">
        <f>'[01_Entry.xlsx]Book'!N1297</f>
        <v/>
      </c>
      <c r="G1297" s="3">
        <f>'[01_Entry.xlsx]Book'!L1297</f>
        <v/>
      </c>
      <c r="H1297" s="3">
        <f>'[01_Entry.xlsx]Book'!M1297</f>
        <v/>
      </c>
      <c r="I1297" s="3">
        <f>'[01_Entry.xlsx]Book'!K1297</f>
        <v/>
      </c>
      <c r="J1297" s="3">
        <f>'[01_Entry.xlsx]Book'!P1297</f>
        <v/>
      </c>
      <c r="K1297" s="3">
        <f>'[01_Entry.xlsx]Book'!F1297</f>
        <v/>
      </c>
      <c r="L1297" s="3">
        <f>'[01_Entry.xlsx]Book'!G1297</f>
        <v/>
      </c>
      <c r="M1297" s="3">
        <f>'[01_Entry.xlsx]Book'!I1297</f>
        <v/>
      </c>
      <c r="N1297" s="2">
        <f>IF($A1297="","",MID($A1297,6,2))</f>
        <v>0</v>
      </c>
      <c r="O1297" s="2">
        <f>IF(OR($C1297="",$C1297&lt;&gt;'Inv'!$D$12),"",N(O$1296)+1)</f>
        <v>0</v>
      </c>
    </row>
    <row r="1298" spans="1:15">
      <c r="A1298" s="2">
        <f>'[01_Entry.xlsx]Book'!A1298</f>
        <v/>
      </c>
      <c r="B1298" s="2">
        <f>'[01_Entry.xlsx]Book'!B1298</f>
        <v/>
      </c>
      <c r="C1298" s="2">
        <f>'[01_Entry.xlsx]Book'!D1298</f>
        <v/>
      </c>
      <c r="D1298" s="2">
        <f>'[01_Entry.xlsx]Book'!E1298</f>
        <v/>
      </c>
      <c r="E1298" s="2">
        <f>'[01_Entry.xlsx]Book'!O1298</f>
        <v/>
      </c>
      <c r="F1298" s="2">
        <f>'[01_Entry.xlsx]Book'!N1298</f>
        <v/>
      </c>
      <c r="G1298" s="3">
        <f>'[01_Entry.xlsx]Book'!L1298</f>
        <v/>
      </c>
      <c r="H1298" s="3">
        <f>'[01_Entry.xlsx]Book'!M1298</f>
        <v/>
      </c>
      <c r="I1298" s="3">
        <f>'[01_Entry.xlsx]Book'!K1298</f>
        <v/>
      </c>
      <c r="J1298" s="3">
        <f>'[01_Entry.xlsx]Book'!P1298</f>
        <v/>
      </c>
      <c r="K1298" s="3">
        <f>'[01_Entry.xlsx]Book'!F1298</f>
        <v/>
      </c>
      <c r="L1298" s="3">
        <f>'[01_Entry.xlsx]Book'!G1298</f>
        <v/>
      </c>
      <c r="M1298" s="3">
        <f>'[01_Entry.xlsx]Book'!I1298</f>
        <v/>
      </c>
      <c r="N1298" s="2">
        <f>IF($A1298="","",MID($A1298,6,2))</f>
        <v>0</v>
      </c>
      <c r="O1298" s="2">
        <f>IF(OR($C1298="",$C1298&lt;&gt;'Inv'!$D$12),"",N(O$1297)+1)</f>
        <v>0</v>
      </c>
    </row>
    <row r="1299" spans="1:15">
      <c r="A1299" s="2">
        <f>'[01_Entry.xlsx]Book'!A1299</f>
        <v/>
      </c>
      <c r="B1299" s="2">
        <f>'[01_Entry.xlsx]Book'!B1299</f>
        <v/>
      </c>
      <c r="C1299" s="2">
        <f>'[01_Entry.xlsx]Book'!D1299</f>
        <v/>
      </c>
      <c r="D1299" s="2">
        <f>'[01_Entry.xlsx]Book'!E1299</f>
        <v/>
      </c>
      <c r="E1299" s="2">
        <f>'[01_Entry.xlsx]Book'!O1299</f>
        <v/>
      </c>
      <c r="F1299" s="2">
        <f>'[01_Entry.xlsx]Book'!N1299</f>
        <v/>
      </c>
      <c r="G1299" s="3">
        <f>'[01_Entry.xlsx]Book'!L1299</f>
        <v/>
      </c>
      <c r="H1299" s="3">
        <f>'[01_Entry.xlsx]Book'!M1299</f>
        <v/>
      </c>
      <c r="I1299" s="3">
        <f>'[01_Entry.xlsx]Book'!K1299</f>
        <v/>
      </c>
      <c r="J1299" s="3">
        <f>'[01_Entry.xlsx]Book'!P1299</f>
        <v/>
      </c>
      <c r="K1299" s="3">
        <f>'[01_Entry.xlsx]Book'!F1299</f>
        <v/>
      </c>
      <c r="L1299" s="3">
        <f>'[01_Entry.xlsx]Book'!G1299</f>
        <v/>
      </c>
      <c r="M1299" s="3">
        <f>'[01_Entry.xlsx]Book'!I1299</f>
        <v/>
      </c>
      <c r="N1299" s="2">
        <f>IF($A1299="","",MID($A1299,6,2))</f>
        <v>0</v>
      </c>
      <c r="O1299" s="2">
        <f>IF(OR($C1299="",$C1299&lt;&gt;'Inv'!$D$12),"",N(O$1298)+1)</f>
        <v>0</v>
      </c>
    </row>
    <row r="1300" spans="1:15">
      <c r="A1300" s="2">
        <f>'[01_Entry.xlsx]Book'!A1300</f>
        <v/>
      </c>
      <c r="B1300" s="2">
        <f>'[01_Entry.xlsx]Book'!B1300</f>
        <v/>
      </c>
      <c r="C1300" s="2">
        <f>'[01_Entry.xlsx]Book'!D1300</f>
        <v/>
      </c>
      <c r="D1300" s="2">
        <f>'[01_Entry.xlsx]Book'!E1300</f>
        <v/>
      </c>
      <c r="E1300" s="2">
        <f>'[01_Entry.xlsx]Book'!O1300</f>
        <v/>
      </c>
      <c r="F1300" s="2">
        <f>'[01_Entry.xlsx]Book'!N1300</f>
        <v/>
      </c>
      <c r="G1300" s="3">
        <f>'[01_Entry.xlsx]Book'!L1300</f>
        <v/>
      </c>
      <c r="H1300" s="3">
        <f>'[01_Entry.xlsx]Book'!M1300</f>
        <v/>
      </c>
      <c r="I1300" s="3">
        <f>'[01_Entry.xlsx]Book'!K1300</f>
        <v/>
      </c>
      <c r="J1300" s="3">
        <f>'[01_Entry.xlsx]Book'!P1300</f>
        <v/>
      </c>
      <c r="K1300" s="3">
        <f>'[01_Entry.xlsx]Book'!F1300</f>
        <v/>
      </c>
      <c r="L1300" s="3">
        <f>'[01_Entry.xlsx]Book'!G1300</f>
        <v/>
      </c>
      <c r="M1300" s="3">
        <f>'[01_Entry.xlsx]Book'!I1300</f>
        <v/>
      </c>
      <c r="N1300" s="2">
        <f>IF($A1300="","",MID($A1300,6,2))</f>
        <v>0</v>
      </c>
      <c r="O1300" s="2">
        <f>IF(OR($C1300="",$C1300&lt;&gt;'Inv'!$D$12),"",N(O$1299)+1)</f>
        <v>0</v>
      </c>
    </row>
    <row r="1301" spans="1:15">
      <c r="A1301" s="2">
        <f>'[01_Entry.xlsx]Book'!A1301</f>
        <v/>
      </c>
      <c r="B1301" s="2">
        <f>'[01_Entry.xlsx]Book'!B1301</f>
        <v/>
      </c>
      <c r="C1301" s="2">
        <f>'[01_Entry.xlsx]Book'!D1301</f>
        <v/>
      </c>
      <c r="D1301" s="2">
        <f>'[01_Entry.xlsx]Book'!E1301</f>
        <v/>
      </c>
      <c r="E1301" s="2">
        <f>'[01_Entry.xlsx]Book'!O1301</f>
        <v/>
      </c>
      <c r="F1301" s="2">
        <f>'[01_Entry.xlsx]Book'!N1301</f>
        <v/>
      </c>
      <c r="G1301" s="3">
        <f>'[01_Entry.xlsx]Book'!L1301</f>
        <v/>
      </c>
      <c r="H1301" s="3">
        <f>'[01_Entry.xlsx]Book'!M1301</f>
        <v/>
      </c>
      <c r="I1301" s="3">
        <f>'[01_Entry.xlsx]Book'!K1301</f>
        <v/>
      </c>
      <c r="J1301" s="3">
        <f>'[01_Entry.xlsx]Book'!P1301</f>
        <v/>
      </c>
      <c r="K1301" s="3">
        <f>'[01_Entry.xlsx]Book'!F1301</f>
        <v/>
      </c>
      <c r="L1301" s="3">
        <f>'[01_Entry.xlsx]Book'!G1301</f>
        <v/>
      </c>
      <c r="M1301" s="3">
        <f>'[01_Entry.xlsx]Book'!I1301</f>
        <v/>
      </c>
      <c r="N1301" s="2">
        <f>IF($A1301="","",MID($A1301,6,2))</f>
        <v>0</v>
      </c>
      <c r="O1301" s="2">
        <f>IF(OR($C1301="",$C1301&lt;&gt;'Inv'!$D$12),"",N(O$1300)+1)</f>
        <v>0</v>
      </c>
    </row>
    <row r="1302" spans="1:15">
      <c r="A1302" s="2">
        <f>'[01_Entry.xlsx]Book'!A1302</f>
        <v/>
      </c>
      <c r="B1302" s="2">
        <f>'[01_Entry.xlsx]Book'!B1302</f>
        <v/>
      </c>
      <c r="C1302" s="2">
        <f>'[01_Entry.xlsx]Book'!D1302</f>
        <v/>
      </c>
      <c r="D1302" s="2">
        <f>'[01_Entry.xlsx]Book'!E1302</f>
        <v/>
      </c>
      <c r="E1302" s="2">
        <f>'[01_Entry.xlsx]Book'!O1302</f>
        <v/>
      </c>
      <c r="F1302" s="2">
        <f>'[01_Entry.xlsx]Book'!N1302</f>
        <v/>
      </c>
      <c r="G1302" s="3">
        <f>'[01_Entry.xlsx]Book'!L1302</f>
        <v/>
      </c>
      <c r="H1302" s="3">
        <f>'[01_Entry.xlsx]Book'!M1302</f>
        <v/>
      </c>
      <c r="I1302" s="3">
        <f>'[01_Entry.xlsx]Book'!K1302</f>
        <v/>
      </c>
      <c r="J1302" s="3">
        <f>'[01_Entry.xlsx]Book'!P1302</f>
        <v/>
      </c>
      <c r="K1302" s="3">
        <f>'[01_Entry.xlsx]Book'!F1302</f>
        <v/>
      </c>
      <c r="L1302" s="3">
        <f>'[01_Entry.xlsx]Book'!G1302</f>
        <v/>
      </c>
      <c r="M1302" s="3">
        <f>'[01_Entry.xlsx]Book'!I1302</f>
        <v/>
      </c>
      <c r="N1302" s="2">
        <f>IF($A1302="","",MID($A1302,6,2))</f>
        <v>0</v>
      </c>
      <c r="O1302" s="2">
        <f>IF(OR($C1302="",$C1302&lt;&gt;'Inv'!$D$12),"",N(O$1301)+1)</f>
        <v>0</v>
      </c>
    </row>
    <row r="1303" spans="1:15">
      <c r="A1303" s="2">
        <f>'[01_Entry.xlsx]Book'!A1303</f>
        <v/>
      </c>
      <c r="B1303" s="2">
        <f>'[01_Entry.xlsx]Book'!B1303</f>
        <v/>
      </c>
      <c r="C1303" s="2">
        <f>'[01_Entry.xlsx]Book'!D1303</f>
        <v/>
      </c>
      <c r="D1303" s="2">
        <f>'[01_Entry.xlsx]Book'!E1303</f>
        <v/>
      </c>
      <c r="E1303" s="2">
        <f>'[01_Entry.xlsx]Book'!O1303</f>
        <v/>
      </c>
      <c r="F1303" s="2">
        <f>'[01_Entry.xlsx]Book'!N1303</f>
        <v/>
      </c>
      <c r="G1303" s="3">
        <f>'[01_Entry.xlsx]Book'!L1303</f>
        <v/>
      </c>
      <c r="H1303" s="3">
        <f>'[01_Entry.xlsx]Book'!M1303</f>
        <v/>
      </c>
      <c r="I1303" s="3">
        <f>'[01_Entry.xlsx]Book'!K1303</f>
        <v/>
      </c>
      <c r="J1303" s="3">
        <f>'[01_Entry.xlsx]Book'!P1303</f>
        <v/>
      </c>
      <c r="K1303" s="3">
        <f>'[01_Entry.xlsx]Book'!F1303</f>
        <v/>
      </c>
      <c r="L1303" s="3">
        <f>'[01_Entry.xlsx]Book'!G1303</f>
        <v/>
      </c>
      <c r="M1303" s="3">
        <f>'[01_Entry.xlsx]Book'!I1303</f>
        <v/>
      </c>
      <c r="N1303" s="2">
        <f>IF($A1303="","",MID($A1303,6,2))</f>
        <v>0</v>
      </c>
      <c r="O1303" s="2">
        <f>IF(OR($C1303="",$C1303&lt;&gt;'Inv'!$D$12),"",N(O$1302)+1)</f>
        <v>0</v>
      </c>
    </row>
    <row r="1304" spans="1:15">
      <c r="A1304" s="2">
        <f>'[01_Entry.xlsx]Book'!A1304</f>
        <v/>
      </c>
      <c r="B1304" s="2">
        <f>'[01_Entry.xlsx]Book'!B1304</f>
        <v/>
      </c>
      <c r="C1304" s="2">
        <f>'[01_Entry.xlsx]Book'!D1304</f>
        <v/>
      </c>
      <c r="D1304" s="2">
        <f>'[01_Entry.xlsx]Book'!E1304</f>
        <v/>
      </c>
      <c r="E1304" s="2">
        <f>'[01_Entry.xlsx]Book'!O1304</f>
        <v/>
      </c>
      <c r="F1304" s="2">
        <f>'[01_Entry.xlsx]Book'!N1304</f>
        <v/>
      </c>
      <c r="G1304" s="3">
        <f>'[01_Entry.xlsx]Book'!L1304</f>
        <v/>
      </c>
      <c r="H1304" s="3">
        <f>'[01_Entry.xlsx]Book'!M1304</f>
        <v/>
      </c>
      <c r="I1304" s="3">
        <f>'[01_Entry.xlsx]Book'!K1304</f>
        <v/>
      </c>
      <c r="J1304" s="3">
        <f>'[01_Entry.xlsx]Book'!P1304</f>
        <v/>
      </c>
      <c r="K1304" s="3">
        <f>'[01_Entry.xlsx]Book'!F1304</f>
        <v/>
      </c>
      <c r="L1304" s="3">
        <f>'[01_Entry.xlsx]Book'!G1304</f>
        <v/>
      </c>
      <c r="M1304" s="3">
        <f>'[01_Entry.xlsx]Book'!I1304</f>
        <v/>
      </c>
      <c r="N1304" s="2">
        <f>IF($A1304="","",MID($A1304,6,2))</f>
        <v>0</v>
      </c>
      <c r="O1304" s="2">
        <f>IF(OR($C1304="",$C1304&lt;&gt;'Inv'!$D$12),"",N(O$1303)+1)</f>
        <v>0</v>
      </c>
    </row>
    <row r="1305" spans="1:15">
      <c r="A1305" s="2">
        <f>'[01_Entry.xlsx]Book'!A1305</f>
        <v/>
      </c>
      <c r="B1305" s="2">
        <f>'[01_Entry.xlsx]Book'!B1305</f>
        <v/>
      </c>
      <c r="C1305" s="2">
        <f>'[01_Entry.xlsx]Book'!D1305</f>
        <v/>
      </c>
      <c r="D1305" s="2">
        <f>'[01_Entry.xlsx]Book'!E1305</f>
        <v/>
      </c>
      <c r="E1305" s="2">
        <f>'[01_Entry.xlsx]Book'!O1305</f>
        <v/>
      </c>
      <c r="F1305" s="2">
        <f>'[01_Entry.xlsx]Book'!N1305</f>
        <v/>
      </c>
      <c r="G1305" s="3">
        <f>'[01_Entry.xlsx]Book'!L1305</f>
        <v/>
      </c>
      <c r="H1305" s="3">
        <f>'[01_Entry.xlsx]Book'!M1305</f>
        <v/>
      </c>
      <c r="I1305" s="3">
        <f>'[01_Entry.xlsx]Book'!K1305</f>
        <v/>
      </c>
      <c r="J1305" s="3">
        <f>'[01_Entry.xlsx]Book'!P1305</f>
        <v/>
      </c>
      <c r="K1305" s="3">
        <f>'[01_Entry.xlsx]Book'!F1305</f>
        <v/>
      </c>
      <c r="L1305" s="3">
        <f>'[01_Entry.xlsx]Book'!G1305</f>
        <v/>
      </c>
      <c r="M1305" s="3">
        <f>'[01_Entry.xlsx]Book'!I1305</f>
        <v/>
      </c>
      <c r="N1305" s="2">
        <f>IF($A1305="","",MID($A1305,6,2))</f>
        <v>0</v>
      </c>
      <c r="O1305" s="2">
        <f>IF(OR($C1305="",$C1305&lt;&gt;'Inv'!$D$12),"",N(O$1304)+1)</f>
        <v>0</v>
      </c>
    </row>
    <row r="1306" spans="1:15">
      <c r="A1306" s="2">
        <f>'[01_Entry.xlsx]Book'!A1306</f>
        <v/>
      </c>
      <c r="B1306" s="2">
        <f>'[01_Entry.xlsx]Book'!B1306</f>
        <v/>
      </c>
      <c r="C1306" s="2">
        <f>'[01_Entry.xlsx]Book'!D1306</f>
        <v/>
      </c>
      <c r="D1306" s="2">
        <f>'[01_Entry.xlsx]Book'!E1306</f>
        <v/>
      </c>
      <c r="E1306" s="2">
        <f>'[01_Entry.xlsx]Book'!O1306</f>
        <v/>
      </c>
      <c r="F1306" s="2">
        <f>'[01_Entry.xlsx]Book'!N1306</f>
        <v/>
      </c>
      <c r="G1306" s="3">
        <f>'[01_Entry.xlsx]Book'!L1306</f>
        <v/>
      </c>
      <c r="H1306" s="3">
        <f>'[01_Entry.xlsx]Book'!M1306</f>
        <v/>
      </c>
      <c r="I1306" s="3">
        <f>'[01_Entry.xlsx]Book'!K1306</f>
        <v/>
      </c>
      <c r="J1306" s="3">
        <f>'[01_Entry.xlsx]Book'!P1306</f>
        <v/>
      </c>
      <c r="K1306" s="3">
        <f>'[01_Entry.xlsx]Book'!F1306</f>
        <v/>
      </c>
      <c r="L1306" s="3">
        <f>'[01_Entry.xlsx]Book'!G1306</f>
        <v/>
      </c>
      <c r="M1306" s="3">
        <f>'[01_Entry.xlsx]Book'!I1306</f>
        <v/>
      </c>
      <c r="N1306" s="2">
        <f>IF($A1306="","",MID($A1306,6,2))</f>
        <v>0</v>
      </c>
      <c r="O1306" s="2">
        <f>IF(OR($C1306="",$C1306&lt;&gt;'Inv'!$D$12),"",N(O$1305)+1)</f>
        <v>0</v>
      </c>
    </row>
    <row r="1307" spans="1:15">
      <c r="A1307" s="2">
        <f>'[01_Entry.xlsx]Book'!A1307</f>
        <v/>
      </c>
      <c r="B1307" s="2">
        <f>'[01_Entry.xlsx]Book'!B1307</f>
        <v/>
      </c>
      <c r="C1307" s="2">
        <f>'[01_Entry.xlsx]Book'!D1307</f>
        <v/>
      </c>
      <c r="D1307" s="2">
        <f>'[01_Entry.xlsx]Book'!E1307</f>
        <v/>
      </c>
      <c r="E1307" s="2">
        <f>'[01_Entry.xlsx]Book'!O1307</f>
        <v/>
      </c>
      <c r="F1307" s="2">
        <f>'[01_Entry.xlsx]Book'!N1307</f>
        <v/>
      </c>
      <c r="G1307" s="3">
        <f>'[01_Entry.xlsx]Book'!L1307</f>
        <v/>
      </c>
      <c r="H1307" s="3">
        <f>'[01_Entry.xlsx]Book'!M1307</f>
        <v/>
      </c>
      <c r="I1307" s="3">
        <f>'[01_Entry.xlsx]Book'!K1307</f>
        <v/>
      </c>
      <c r="J1307" s="3">
        <f>'[01_Entry.xlsx]Book'!P1307</f>
        <v/>
      </c>
      <c r="K1307" s="3">
        <f>'[01_Entry.xlsx]Book'!F1307</f>
        <v/>
      </c>
      <c r="L1307" s="3">
        <f>'[01_Entry.xlsx]Book'!G1307</f>
        <v/>
      </c>
      <c r="M1307" s="3">
        <f>'[01_Entry.xlsx]Book'!I1307</f>
        <v/>
      </c>
      <c r="N1307" s="2">
        <f>IF($A1307="","",MID($A1307,6,2))</f>
        <v>0</v>
      </c>
      <c r="O1307" s="2">
        <f>IF(OR($C1307="",$C1307&lt;&gt;'Inv'!$D$12),"",N(O$1306)+1)</f>
        <v>0</v>
      </c>
    </row>
    <row r="1308" spans="1:15">
      <c r="A1308" s="2">
        <f>'[01_Entry.xlsx]Book'!A1308</f>
        <v/>
      </c>
      <c r="B1308" s="2">
        <f>'[01_Entry.xlsx]Book'!B1308</f>
        <v/>
      </c>
      <c r="C1308" s="2">
        <f>'[01_Entry.xlsx]Book'!D1308</f>
        <v/>
      </c>
      <c r="D1308" s="2">
        <f>'[01_Entry.xlsx]Book'!E1308</f>
        <v/>
      </c>
      <c r="E1308" s="2">
        <f>'[01_Entry.xlsx]Book'!O1308</f>
        <v/>
      </c>
      <c r="F1308" s="2">
        <f>'[01_Entry.xlsx]Book'!N1308</f>
        <v/>
      </c>
      <c r="G1308" s="3">
        <f>'[01_Entry.xlsx]Book'!L1308</f>
        <v/>
      </c>
      <c r="H1308" s="3">
        <f>'[01_Entry.xlsx]Book'!M1308</f>
        <v/>
      </c>
      <c r="I1308" s="3">
        <f>'[01_Entry.xlsx]Book'!K1308</f>
        <v/>
      </c>
      <c r="J1308" s="3">
        <f>'[01_Entry.xlsx]Book'!P1308</f>
        <v/>
      </c>
      <c r="K1308" s="3">
        <f>'[01_Entry.xlsx]Book'!F1308</f>
        <v/>
      </c>
      <c r="L1308" s="3">
        <f>'[01_Entry.xlsx]Book'!G1308</f>
        <v/>
      </c>
      <c r="M1308" s="3">
        <f>'[01_Entry.xlsx]Book'!I1308</f>
        <v/>
      </c>
      <c r="N1308" s="2">
        <f>IF($A1308="","",MID($A1308,6,2))</f>
        <v>0</v>
      </c>
      <c r="O1308" s="2">
        <f>IF(OR($C1308="",$C1308&lt;&gt;'Inv'!$D$12),"",N(O$1307)+1)</f>
        <v>0</v>
      </c>
    </row>
    <row r="1309" spans="1:15">
      <c r="A1309" s="2">
        <f>'[01_Entry.xlsx]Book'!A1309</f>
        <v/>
      </c>
      <c r="B1309" s="2">
        <f>'[01_Entry.xlsx]Book'!B1309</f>
        <v/>
      </c>
      <c r="C1309" s="2">
        <f>'[01_Entry.xlsx]Book'!D1309</f>
        <v/>
      </c>
      <c r="D1309" s="2">
        <f>'[01_Entry.xlsx]Book'!E1309</f>
        <v/>
      </c>
      <c r="E1309" s="2">
        <f>'[01_Entry.xlsx]Book'!O1309</f>
        <v/>
      </c>
      <c r="F1309" s="2">
        <f>'[01_Entry.xlsx]Book'!N1309</f>
        <v/>
      </c>
      <c r="G1309" s="3">
        <f>'[01_Entry.xlsx]Book'!L1309</f>
        <v/>
      </c>
      <c r="H1309" s="3">
        <f>'[01_Entry.xlsx]Book'!M1309</f>
        <v/>
      </c>
      <c r="I1309" s="3">
        <f>'[01_Entry.xlsx]Book'!K1309</f>
        <v/>
      </c>
      <c r="J1309" s="3">
        <f>'[01_Entry.xlsx]Book'!P1309</f>
        <v/>
      </c>
      <c r="K1309" s="3">
        <f>'[01_Entry.xlsx]Book'!F1309</f>
        <v/>
      </c>
      <c r="L1309" s="3">
        <f>'[01_Entry.xlsx]Book'!G1309</f>
        <v/>
      </c>
      <c r="M1309" s="3">
        <f>'[01_Entry.xlsx]Book'!I1309</f>
        <v/>
      </c>
      <c r="N1309" s="2">
        <f>IF($A1309="","",MID($A1309,6,2))</f>
        <v>0</v>
      </c>
      <c r="O1309" s="2">
        <f>IF(OR($C1309="",$C1309&lt;&gt;'Inv'!$D$12),"",N(O$1308)+1)</f>
        <v>0</v>
      </c>
    </row>
    <row r="1310" spans="1:15">
      <c r="A1310" s="2">
        <f>'[01_Entry.xlsx]Book'!A1310</f>
        <v/>
      </c>
      <c r="B1310" s="2">
        <f>'[01_Entry.xlsx]Book'!B1310</f>
        <v/>
      </c>
      <c r="C1310" s="2">
        <f>'[01_Entry.xlsx]Book'!D1310</f>
        <v/>
      </c>
      <c r="D1310" s="2">
        <f>'[01_Entry.xlsx]Book'!E1310</f>
        <v/>
      </c>
      <c r="E1310" s="2">
        <f>'[01_Entry.xlsx]Book'!O1310</f>
        <v/>
      </c>
      <c r="F1310" s="2">
        <f>'[01_Entry.xlsx]Book'!N1310</f>
        <v/>
      </c>
      <c r="G1310" s="3">
        <f>'[01_Entry.xlsx]Book'!L1310</f>
        <v/>
      </c>
      <c r="H1310" s="3">
        <f>'[01_Entry.xlsx]Book'!M1310</f>
        <v/>
      </c>
      <c r="I1310" s="3">
        <f>'[01_Entry.xlsx]Book'!K1310</f>
        <v/>
      </c>
      <c r="J1310" s="3">
        <f>'[01_Entry.xlsx]Book'!P1310</f>
        <v/>
      </c>
      <c r="K1310" s="3">
        <f>'[01_Entry.xlsx]Book'!F1310</f>
        <v/>
      </c>
      <c r="L1310" s="3">
        <f>'[01_Entry.xlsx]Book'!G1310</f>
        <v/>
      </c>
      <c r="M1310" s="3">
        <f>'[01_Entry.xlsx]Book'!I1310</f>
        <v/>
      </c>
      <c r="N1310" s="2">
        <f>IF($A1310="","",MID($A1310,6,2))</f>
        <v>0</v>
      </c>
      <c r="O1310" s="2">
        <f>IF(OR($C1310="",$C1310&lt;&gt;'Inv'!$D$12),"",N(O$1309)+1)</f>
        <v>0</v>
      </c>
    </row>
    <row r="1311" spans="1:15">
      <c r="A1311" s="2">
        <f>'[01_Entry.xlsx]Book'!A1311</f>
        <v/>
      </c>
      <c r="B1311" s="2">
        <f>'[01_Entry.xlsx]Book'!B1311</f>
        <v/>
      </c>
      <c r="C1311" s="2">
        <f>'[01_Entry.xlsx]Book'!D1311</f>
        <v/>
      </c>
      <c r="D1311" s="2">
        <f>'[01_Entry.xlsx]Book'!E1311</f>
        <v/>
      </c>
      <c r="E1311" s="2">
        <f>'[01_Entry.xlsx]Book'!O1311</f>
        <v/>
      </c>
      <c r="F1311" s="2">
        <f>'[01_Entry.xlsx]Book'!N1311</f>
        <v/>
      </c>
      <c r="G1311" s="3">
        <f>'[01_Entry.xlsx]Book'!L1311</f>
        <v/>
      </c>
      <c r="H1311" s="3">
        <f>'[01_Entry.xlsx]Book'!M1311</f>
        <v/>
      </c>
      <c r="I1311" s="3">
        <f>'[01_Entry.xlsx]Book'!K1311</f>
        <v/>
      </c>
      <c r="J1311" s="3">
        <f>'[01_Entry.xlsx]Book'!P1311</f>
        <v/>
      </c>
      <c r="K1311" s="3">
        <f>'[01_Entry.xlsx]Book'!F1311</f>
        <v/>
      </c>
      <c r="L1311" s="3">
        <f>'[01_Entry.xlsx]Book'!G1311</f>
        <v/>
      </c>
      <c r="M1311" s="3">
        <f>'[01_Entry.xlsx]Book'!I1311</f>
        <v/>
      </c>
      <c r="N1311" s="2">
        <f>IF($A1311="","",MID($A1311,6,2))</f>
        <v>0</v>
      </c>
      <c r="O1311" s="2">
        <f>IF(OR($C1311="",$C1311&lt;&gt;'Inv'!$D$12),"",N(O$1310)+1)</f>
        <v>0</v>
      </c>
    </row>
    <row r="1312" spans="1:15">
      <c r="A1312" s="2">
        <f>'[01_Entry.xlsx]Book'!A1312</f>
        <v/>
      </c>
      <c r="B1312" s="2">
        <f>'[01_Entry.xlsx]Book'!B1312</f>
        <v/>
      </c>
      <c r="C1312" s="2">
        <f>'[01_Entry.xlsx]Book'!D1312</f>
        <v/>
      </c>
      <c r="D1312" s="2">
        <f>'[01_Entry.xlsx]Book'!E1312</f>
        <v/>
      </c>
      <c r="E1312" s="2">
        <f>'[01_Entry.xlsx]Book'!O1312</f>
        <v/>
      </c>
      <c r="F1312" s="2">
        <f>'[01_Entry.xlsx]Book'!N1312</f>
        <v/>
      </c>
      <c r="G1312" s="3">
        <f>'[01_Entry.xlsx]Book'!L1312</f>
        <v/>
      </c>
      <c r="H1312" s="3">
        <f>'[01_Entry.xlsx]Book'!M1312</f>
        <v/>
      </c>
      <c r="I1312" s="3">
        <f>'[01_Entry.xlsx]Book'!K1312</f>
        <v/>
      </c>
      <c r="J1312" s="3">
        <f>'[01_Entry.xlsx]Book'!P1312</f>
        <v/>
      </c>
      <c r="K1312" s="3">
        <f>'[01_Entry.xlsx]Book'!F1312</f>
        <v/>
      </c>
      <c r="L1312" s="3">
        <f>'[01_Entry.xlsx]Book'!G1312</f>
        <v/>
      </c>
      <c r="M1312" s="3">
        <f>'[01_Entry.xlsx]Book'!I1312</f>
        <v/>
      </c>
      <c r="N1312" s="2">
        <f>IF($A1312="","",MID($A1312,6,2))</f>
        <v>0</v>
      </c>
      <c r="O1312" s="2">
        <f>IF(OR($C1312="",$C1312&lt;&gt;'Inv'!$D$12),"",N(O$1311)+1)</f>
        <v>0</v>
      </c>
    </row>
    <row r="1313" spans="1:15">
      <c r="A1313" s="2">
        <f>'[01_Entry.xlsx]Book'!A1313</f>
        <v/>
      </c>
      <c r="B1313" s="2">
        <f>'[01_Entry.xlsx]Book'!B1313</f>
        <v/>
      </c>
      <c r="C1313" s="2">
        <f>'[01_Entry.xlsx]Book'!D1313</f>
        <v/>
      </c>
      <c r="D1313" s="2">
        <f>'[01_Entry.xlsx]Book'!E1313</f>
        <v/>
      </c>
      <c r="E1313" s="2">
        <f>'[01_Entry.xlsx]Book'!O1313</f>
        <v/>
      </c>
      <c r="F1313" s="2">
        <f>'[01_Entry.xlsx]Book'!N1313</f>
        <v/>
      </c>
      <c r="G1313" s="3">
        <f>'[01_Entry.xlsx]Book'!L1313</f>
        <v/>
      </c>
      <c r="H1313" s="3">
        <f>'[01_Entry.xlsx]Book'!M1313</f>
        <v/>
      </c>
      <c r="I1313" s="3">
        <f>'[01_Entry.xlsx]Book'!K1313</f>
        <v/>
      </c>
      <c r="J1313" s="3">
        <f>'[01_Entry.xlsx]Book'!P1313</f>
        <v/>
      </c>
      <c r="K1313" s="3">
        <f>'[01_Entry.xlsx]Book'!F1313</f>
        <v/>
      </c>
      <c r="L1313" s="3">
        <f>'[01_Entry.xlsx]Book'!G1313</f>
        <v/>
      </c>
      <c r="M1313" s="3">
        <f>'[01_Entry.xlsx]Book'!I1313</f>
        <v/>
      </c>
      <c r="N1313" s="2">
        <f>IF($A1313="","",MID($A1313,6,2))</f>
        <v>0</v>
      </c>
      <c r="O1313" s="2">
        <f>IF(OR($C1313="",$C1313&lt;&gt;'Inv'!$D$12),"",N(O$1312)+1)</f>
        <v>0</v>
      </c>
    </row>
    <row r="1314" spans="1:15">
      <c r="A1314" s="2">
        <f>'[01_Entry.xlsx]Book'!A1314</f>
        <v/>
      </c>
      <c r="B1314" s="2">
        <f>'[01_Entry.xlsx]Book'!B1314</f>
        <v/>
      </c>
      <c r="C1314" s="2">
        <f>'[01_Entry.xlsx]Book'!D1314</f>
        <v/>
      </c>
      <c r="D1314" s="2">
        <f>'[01_Entry.xlsx]Book'!E1314</f>
        <v/>
      </c>
      <c r="E1314" s="2">
        <f>'[01_Entry.xlsx]Book'!O1314</f>
        <v/>
      </c>
      <c r="F1314" s="2">
        <f>'[01_Entry.xlsx]Book'!N1314</f>
        <v/>
      </c>
      <c r="G1314" s="3">
        <f>'[01_Entry.xlsx]Book'!L1314</f>
        <v/>
      </c>
      <c r="H1314" s="3">
        <f>'[01_Entry.xlsx]Book'!M1314</f>
        <v/>
      </c>
      <c r="I1314" s="3">
        <f>'[01_Entry.xlsx]Book'!K1314</f>
        <v/>
      </c>
      <c r="J1314" s="3">
        <f>'[01_Entry.xlsx]Book'!P1314</f>
        <v/>
      </c>
      <c r="K1314" s="3">
        <f>'[01_Entry.xlsx]Book'!F1314</f>
        <v/>
      </c>
      <c r="L1314" s="3">
        <f>'[01_Entry.xlsx]Book'!G1314</f>
        <v/>
      </c>
      <c r="M1314" s="3">
        <f>'[01_Entry.xlsx]Book'!I1314</f>
        <v/>
      </c>
      <c r="N1314" s="2">
        <f>IF($A1314="","",MID($A1314,6,2))</f>
        <v>0</v>
      </c>
      <c r="O1314" s="2">
        <f>IF(OR($C1314="",$C1314&lt;&gt;'Inv'!$D$12),"",N(O$1313)+1)</f>
        <v>0</v>
      </c>
    </row>
    <row r="1315" spans="1:15">
      <c r="A1315" s="2">
        <f>'[01_Entry.xlsx]Book'!A1315</f>
        <v/>
      </c>
      <c r="B1315" s="2">
        <f>'[01_Entry.xlsx]Book'!B1315</f>
        <v/>
      </c>
      <c r="C1315" s="2">
        <f>'[01_Entry.xlsx]Book'!D1315</f>
        <v/>
      </c>
      <c r="D1315" s="2">
        <f>'[01_Entry.xlsx]Book'!E1315</f>
        <v/>
      </c>
      <c r="E1315" s="2">
        <f>'[01_Entry.xlsx]Book'!O1315</f>
        <v/>
      </c>
      <c r="F1315" s="2">
        <f>'[01_Entry.xlsx]Book'!N1315</f>
        <v/>
      </c>
      <c r="G1315" s="3">
        <f>'[01_Entry.xlsx]Book'!L1315</f>
        <v/>
      </c>
      <c r="H1315" s="3">
        <f>'[01_Entry.xlsx]Book'!M1315</f>
        <v/>
      </c>
      <c r="I1315" s="3">
        <f>'[01_Entry.xlsx]Book'!K1315</f>
        <v/>
      </c>
      <c r="J1315" s="3">
        <f>'[01_Entry.xlsx]Book'!P1315</f>
        <v/>
      </c>
      <c r="K1315" s="3">
        <f>'[01_Entry.xlsx]Book'!F1315</f>
        <v/>
      </c>
      <c r="L1315" s="3">
        <f>'[01_Entry.xlsx]Book'!G1315</f>
        <v/>
      </c>
      <c r="M1315" s="3">
        <f>'[01_Entry.xlsx]Book'!I1315</f>
        <v/>
      </c>
      <c r="N1315" s="2">
        <f>IF($A1315="","",MID($A1315,6,2))</f>
        <v>0</v>
      </c>
      <c r="O1315" s="2">
        <f>IF(OR($C1315="",$C1315&lt;&gt;'Inv'!$D$12),"",N(O$1314)+1)</f>
        <v>0</v>
      </c>
    </row>
    <row r="1316" spans="1:15">
      <c r="A1316" s="2">
        <f>'[01_Entry.xlsx]Book'!A1316</f>
        <v/>
      </c>
      <c r="B1316" s="2">
        <f>'[01_Entry.xlsx]Book'!B1316</f>
        <v/>
      </c>
      <c r="C1316" s="2">
        <f>'[01_Entry.xlsx]Book'!D1316</f>
        <v/>
      </c>
      <c r="D1316" s="2">
        <f>'[01_Entry.xlsx]Book'!E1316</f>
        <v/>
      </c>
      <c r="E1316" s="2">
        <f>'[01_Entry.xlsx]Book'!O1316</f>
        <v/>
      </c>
      <c r="F1316" s="2">
        <f>'[01_Entry.xlsx]Book'!N1316</f>
        <v/>
      </c>
      <c r="G1316" s="3">
        <f>'[01_Entry.xlsx]Book'!L1316</f>
        <v/>
      </c>
      <c r="H1316" s="3">
        <f>'[01_Entry.xlsx]Book'!M1316</f>
        <v/>
      </c>
      <c r="I1316" s="3">
        <f>'[01_Entry.xlsx]Book'!K1316</f>
        <v/>
      </c>
      <c r="J1316" s="3">
        <f>'[01_Entry.xlsx]Book'!P1316</f>
        <v/>
      </c>
      <c r="K1316" s="3">
        <f>'[01_Entry.xlsx]Book'!F1316</f>
        <v/>
      </c>
      <c r="L1316" s="3">
        <f>'[01_Entry.xlsx]Book'!G1316</f>
        <v/>
      </c>
      <c r="M1316" s="3">
        <f>'[01_Entry.xlsx]Book'!I1316</f>
        <v/>
      </c>
      <c r="N1316" s="2">
        <f>IF($A1316="","",MID($A1316,6,2))</f>
        <v>0</v>
      </c>
      <c r="O1316" s="2">
        <f>IF(OR($C1316="",$C1316&lt;&gt;'Inv'!$D$12),"",N(O$1315)+1)</f>
        <v>0</v>
      </c>
    </row>
    <row r="1317" spans="1:15">
      <c r="A1317" s="2">
        <f>'[01_Entry.xlsx]Book'!A1317</f>
        <v/>
      </c>
      <c r="B1317" s="2">
        <f>'[01_Entry.xlsx]Book'!B1317</f>
        <v/>
      </c>
      <c r="C1317" s="2">
        <f>'[01_Entry.xlsx]Book'!D1317</f>
        <v/>
      </c>
      <c r="D1317" s="2">
        <f>'[01_Entry.xlsx]Book'!E1317</f>
        <v/>
      </c>
      <c r="E1317" s="2">
        <f>'[01_Entry.xlsx]Book'!O1317</f>
        <v/>
      </c>
      <c r="F1317" s="2">
        <f>'[01_Entry.xlsx]Book'!N1317</f>
        <v/>
      </c>
      <c r="G1317" s="3">
        <f>'[01_Entry.xlsx]Book'!L1317</f>
        <v/>
      </c>
      <c r="H1317" s="3">
        <f>'[01_Entry.xlsx]Book'!M1317</f>
        <v/>
      </c>
      <c r="I1317" s="3">
        <f>'[01_Entry.xlsx]Book'!K1317</f>
        <v/>
      </c>
      <c r="J1317" s="3">
        <f>'[01_Entry.xlsx]Book'!P1317</f>
        <v/>
      </c>
      <c r="K1317" s="3">
        <f>'[01_Entry.xlsx]Book'!F1317</f>
        <v/>
      </c>
      <c r="L1317" s="3">
        <f>'[01_Entry.xlsx]Book'!G1317</f>
        <v/>
      </c>
      <c r="M1317" s="3">
        <f>'[01_Entry.xlsx]Book'!I1317</f>
        <v/>
      </c>
      <c r="N1317" s="2">
        <f>IF($A1317="","",MID($A1317,6,2))</f>
        <v>0</v>
      </c>
      <c r="O1317" s="2">
        <f>IF(OR($C1317="",$C1317&lt;&gt;'Inv'!$D$12),"",N(O$1316)+1)</f>
        <v>0</v>
      </c>
    </row>
    <row r="1318" spans="1:15">
      <c r="A1318" s="2">
        <f>'[01_Entry.xlsx]Book'!A1318</f>
        <v/>
      </c>
      <c r="B1318" s="2">
        <f>'[01_Entry.xlsx]Book'!B1318</f>
        <v/>
      </c>
      <c r="C1318" s="2">
        <f>'[01_Entry.xlsx]Book'!D1318</f>
        <v/>
      </c>
      <c r="D1318" s="2">
        <f>'[01_Entry.xlsx]Book'!E1318</f>
        <v/>
      </c>
      <c r="E1318" s="2">
        <f>'[01_Entry.xlsx]Book'!O1318</f>
        <v/>
      </c>
      <c r="F1318" s="2">
        <f>'[01_Entry.xlsx]Book'!N1318</f>
        <v/>
      </c>
      <c r="G1318" s="3">
        <f>'[01_Entry.xlsx]Book'!L1318</f>
        <v/>
      </c>
      <c r="H1318" s="3">
        <f>'[01_Entry.xlsx]Book'!M1318</f>
        <v/>
      </c>
      <c r="I1318" s="3">
        <f>'[01_Entry.xlsx]Book'!K1318</f>
        <v/>
      </c>
      <c r="J1318" s="3">
        <f>'[01_Entry.xlsx]Book'!P1318</f>
        <v/>
      </c>
      <c r="K1318" s="3">
        <f>'[01_Entry.xlsx]Book'!F1318</f>
        <v/>
      </c>
      <c r="L1318" s="3">
        <f>'[01_Entry.xlsx]Book'!G1318</f>
        <v/>
      </c>
      <c r="M1318" s="3">
        <f>'[01_Entry.xlsx]Book'!I1318</f>
        <v/>
      </c>
      <c r="N1318" s="2">
        <f>IF($A1318="","",MID($A1318,6,2))</f>
        <v>0</v>
      </c>
      <c r="O1318" s="2">
        <f>IF(OR($C1318="",$C1318&lt;&gt;'Inv'!$D$12),"",N(O$1317)+1)</f>
        <v>0</v>
      </c>
    </row>
    <row r="1319" spans="1:15">
      <c r="A1319" s="2">
        <f>'[01_Entry.xlsx]Book'!A1319</f>
        <v/>
      </c>
      <c r="B1319" s="2">
        <f>'[01_Entry.xlsx]Book'!B1319</f>
        <v/>
      </c>
      <c r="C1319" s="2">
        <f>'[01_Entry.xlsx]Book'!D1319</f>
        <v/>
      </c>
      <c r="D1319" s="2">
        <f>'[01_Entry.xlsx]Book'!E1319</f>
        <v/>
      </c>
      <c r="E1319" s="2">
        <f>'[01_Entry.xlsx]Book'!O1319</f>
        <v/>
      </c>
      <c r="F1319" s="2">
        <f>'[01_Entry.xlsx]Book'!N1319</f>
        <v/>
      </c>
      <c r="G1319" s="3">
        <f>'[01_Entry.xlsx]Book'!L1319</f>
        <v/>
      </c>
      <c r="H1319" s="3">
        <f>'[01_Entry.xlsx]Book'!M1319</f>
        <v/>
      </c>
      <c r="I1319" s="3">
        <f>'[01_Entry.xlsx]Book'!K1319</f>
        <v/>
      </c>
      <c r="J1319" s="3">
        <f>'[01_Entry.xlsx]Book'!P1319</f>
        <v/>
      </c>
      <c r="K1319" s="3">
        <f>'[01_Entry.xlsx]Book'!F1319</f>
        <v/>
      </c>
      <c r="L1319" s="3">
        <f>'[01_Entry.xlsx]Book'!G1319</f>
        <v/>
      </c>
      <c r="M1319" s="3">
        <f>'[01_Entry.xlsx]Book'!I1319</f>
        <v/>
      </c>
      <c r="N1319" s="2">
        <f>IF($A1319="","",MID($A1319,6,2))</f>
        <v>0</v>
      </c>
      <c r="O1319" s="2">
        <f>IF(OR($C1319="",$C1319&lt;&gt;'Inv'!$D$12),"",N(O$1318)+1)</f>
        <v>0</v>
      </c>
    </row>
    <row r="1320" spans="1:15">
      <c r="A1320" s="2">
        <f>'[01_Entry.xlsx]Book'!A1320</f>
        <v/>
      </c>
      <c r="B1320" s="2">
        <f>'[01_Entry.xlsx]Book'!B1320</f>
        <v/>
      </c>
      <c r="C1320" s="2">
        <f>'[01_Entry.xlsx]Book'!D1320</f>
        <v/>
      </c>
      <c r="D1320" s="2">
        <f>'[01_Entry.xlsx]Book'!E1320</f>
        <v/>
      </c>
      <c r="E1320" s="2">
        <f>'[01_Entry.xlsx]Book'!O1320</f>
        <v/>
      </c>
      <c r="F1320" s="2">
        <f>'[01_Entry.xlsx]Book'!N1320</f>
        <v/>
      </c>
      <c r="G1320" s="3">
        <f>'[01_Entry.xlsx]Book'!L1320</f>
        <v/>
      </c>
      <c r="H1320" s="3">
        <f>'[01_Entry.xlsx]Book'!M1320</f>
        <v/>
      </c>
      <c r="I1320" s="3">
        <f>'[01_Entry.xlsx]Book'!K1320</f>
        <v/>
      </c>
      <c r="J1320" s="3">
        <f>'[01_Entry.xlsx]Book'!P1320</f>
        <v/>
      </c>
      <c r="K1320" s="3">
        <f>'[01_Entry.xlsx]Book'!F1320</f>
        <v/>
      </c>
      <c r="L1320" s="3">
        <f>'[01_Entry.xlsx]Book'!G1320</f>
        <v/>
      </c>
      <c r="M1320" s="3">
        <f>'[01_Entry.xlsx]Book'!I1320</f>
        <v/>
      </c>
      <c r="N1320" s="2">
        <f>IF($A1320="","",MID($A1320,6,2))</f>
        <v>0</v>
      </c>
      <c r="O1320" s="2">
        <f>IF(OR($C1320="",$C1320&lt;&gt;'Inv'!$D$12),"",N(O$1319)+1)</f>
        <v>0</v>
      </c>
    </row>
    <row r="1321" spans="1:15">
      <c r="A1321" s="2">
        <f>'[01_Entry.xlsx]Book'!A1321</f>
        <v/>
      </c>
      <c r="B1321" s="2">
        <f>'[01_Entry.xlsx]Book'!B1321</f>
        <v/>
      </c>
      <c r="C1321" s="2">
        <f>'[01_Entry.xlsx]Book'!D1321</f>
        <v/>
      </c>
      <c r="D1321" s="2">
        <f>'[01_Entry.xlsx]Book'!E1321</f>
        <v/>
      </c>
      <c r="E1321" s="2">
        <f>'[01_Entry.xlsx]Book'!O1321</f>
        <v/>
      </c>
      <c r="F1321" s="2">
        <f>'[01_Entry.xlsx]Book'!N1321</f>
        <v/>
      </c>
      <c r="G1321" s="3">
        <f>'[01_Entry.xlsx]Book'!L1321</f>
        <v/>
      </c>
      <c r="H1321" s="3">
        <f>'[01_Entry.xlsx]Book'!M1321</f>
        <v/>
      </c>
      <c r="I1321" s="3">
        <f>'[01_Entry.xlsx]Book'!K1321</f>
        <v/>
      </c>
      <c r="J1321" s="3">
        <f>'[01_Entry.xlsx]Book'!P1321</f>
        <v/>
      </c>
      <c r="K1321" s="3">
        <f>'[01_Entry.xlsx]Book'!F1321</f>
        <v/>
      </c>
      <c r="L1321" s="3">
        <f>'[01_Entry.xlsx]Book'!G1321</f>
        <v/>
      </c>
      <c r="M1321" s="3">
        <f>'[01_Entry.xlsx]Book'!I1321</f>
        <v/>
      </c>
      <c r="N1321" s="2">
        <f>IF($A1321="","",MID($A1321,6,2))</f>
        <v>0</v>
      </c>
      <c r="O1321" s="2">
        <f>IF(OR($C1321="",$C1321&lt;&gt;'Inv'!$D$12),"",N(O$1320)+1)</f>
        <v>0</v>
      </c>
    </row>
    <row r="1322" spans="1:15">
      <c r="A1322" s="2">
        <f>'[01_Entry.xlsx]Book'!A1322</f>
        <v/>
      </c>
      <c r="B1322" s="2">
        <f>'[01_Entry.xlsx]Book'!B1322</f>
        <v/>
      </c>
      <c r="C1322" s="2">
        <f>'[01_Entry.xlsx]Book'!D1322</f>
        <v/>
      </c>
      <c r="D1322" s="2">
        <f>'[01_Entry.xlsx]Book'!E1322</f>
        <v/>
      </c>
      <c r="E1322" s="2">
        <f>'[01_Entry.xlsx]Book'!O1322</f>
        <v/>
      </c>
      <c r="F1322" s="2">
        <f>'[01_Entry.xlsx]Book'!N1322</f>
        <v/>
      </c>
      <c r="G1322" s="3">
        <f>'[01_Entry.xlsx]Book'!L1322</f>
        <v/>
      </c>
      <c r="H1322" s="3">
        <f>'[01_Entry.xlsx]Book'!M1322</f>
        <v/>
      </c>
      <c r="I1322" s="3">
        <f>'[01_Entry.xlsx]Book'!K1322</f>
        <v/>
      </c>
      <c r="J1322" s="3">
        <f>'[01_Entry.xlsx]Book'!P1322</f>
        <v/>
      </c>
      <c r="K1322" s="3">
        <f>'[01_Entry.xlsx]Book'!F1322</f>
        <v/>
      </c>
      <c r="L1322" s="3">
        <f>'[01_Entry.xlsx]Book'!G1322</f>
        <v/>
      </c>
      <c r="M1322" s="3">
        <f>'[01_Entry.xlsx]Book'!I1322</f>
        <v/>
      </c>
      <c r="N1322" s="2">
        <f>IF($A1322="","",MID($A1322,6,2))</f>
        <v>0</v>
      </c>
      <c r="O1322" s="2">
        <f>IF(OR($C1322="",$C1322&lt;&gt;'Inv'!$D$12),"",N(O$1321)+1)</f>
        <v>0</v>
      </c>
    </row>
    <row r="1323" spans="1:15">
      <c r="A1323" s="2">
        <f>'[01_Entry.xlsx]Book'!A1323</f>
        <v/>
      </c>
      <c r="B1323" s="2">
        <f>'[01_Entry.xlsx]Book'!B1323</f>
        <v/>
      </c>
      <c r="C1323" s="2">
        <f>'[01_Entry.xlsx]Book'!D1323</f>
        <v/>
      </c>
      <c r="D1323" s="2">
        <f>'[01_Entry.xlsx]Book'!E1323</f>
        <v/>
      </c>
      <c r="E1323" s="2">
        <f>'[01_Entry.xlsx]Book'!O1323</f>
        <v/>
      </c>
      <c r="F1323" s="2">
        <f>'[01_Entry.xlsx]Book'!N1323</f>
        <v/>
      </c>
      <c r="G1323" s="3">
        <f>'[01_Entry.xlsx]Book'!L1323</f>
        <v/>
      </c>
      <c r="H1323" s="3">
        <f>'[01_Entry.xlsx]Book'!M1323</f>
        <v/>
      </c>
      <c r="I1323" s="3">
        <f>'[01_Entry.xlsx]Book'!K1323</f>
        <v/>
      </c>
      <c r="J1323" s="3">
        <f>'[01_Entry.xlsx]Book'!P1323</f>
        <v/>
      </c>
      <c r="K1323" s="3">
        <f>'[01_Entry.xlsx]Book'!F1323</f>
        <v/>
      </c>
      <c r="L1323" s="3">
        <f>'[01_Entry.xlsx]Book'!G1323</f>
        <v/>
      </c>
      <c r="M1323" s="3">
        <f>'[01_Entry.xlsx]Book'!I1323</f>
        <v/>
      </c>
      <c r="N1323" s="2">
        <f>IF($A1323="","",MID($A1323,6,2))</f>
        <v>0</v>
      </c>
      <c r="O1323" s="2">
        <f>IF(OR($C1323="",$C1323&lt;&gt;'Inv'!$D$12),"",N(O$1322)+1)</f>
        <v>0</v>
      </c>
    </row>
    <row r="1324" spans="1:15">
      <c r="A1324" s="2">
        <f>'[01_Entry.xlsx]Book'!A1324</f>
        <v/>
      </c>
      <c r="B1324" s="2">
        <f>'[01_Entry.xlsx]Book'!B1324</f>
        <v/>
      </c>
      <c r="C1324" s="2">
        <f>'[01_Entry.xlsx]Book'!D1324</f>
        <v/>
      </c>
      <c r="D1324" s="2">
        <f>'[01_Entry.xlsx]Book'!E1324</f>
        <v/>
      </c>
      <c r="E1324" s="2">
        <f>'[01_Entry.xlsx]Book'!O1324</f>
        <v/>
      </c>
      <c r="F1324" s="2">
        <f>'[01_Entry.xlsx]Book'!N1324</f>
        <v/>
      </c>
      <c r="G1324" s="3">
        <f>'[01_Entry.xlsx]Book'!L1324</f>
        <v/>
      </c>
      <c r="H1324" s="3">
        <f>'[01_Entry.xlsx]Book'!M1324</f>
        <v/>
      </c>
      <c r="I1324" s="3">
        <f>'[01_Entry.xlsx]Book'!K1324</f>
        <v/>
      </c>
      <c r="J1324" s="3">
        <f>'[01_Entry.xlsx]Book'!P1324</f>
        <v/>
      </c>
      <c r="K1324" s="3">
        <f>'[01_Entry.xlsx]Book'!F1324</f>
        <v/>
      </c>
      <c r="L1324" s="3">
        <f>'[01_Entry.xlsx]Book'!G1324</f>
        <v/>
      </c>
      <c r="M1324" s="3">
        <f>'[01_Entry.xlsx]Book'!I1324</f>
        <v/>
      </c>
      <c r="N1324" s="2">
        <f>IF($A1324="","",MID($A1324,6,2))</f>
        <v>0</v>
      </c>
      <c r="O1324" s="2">
        <f>IF(OR($C1324="",$C1324&lt;&gt;'Inv'!$D$12),"",N(O$1323)+1)</f>
        <v>0</v>
      </c>
    </row>
    <row r="1325" spans="1:15">
      <c r="A1325" s="2">
        <f>'[01_Entry.xlsx]Book'!A1325</f>
        <v/>
      </c>
      <c r="B1325" s="2">
        <f>'[01_Entry.xlsx]Book'!B1325</f>
        <v/>
      </c>
      <c r="C1325" s="2">
        <f>'[01_Entry.xlsx]Book'!D1325</f>
        <v/>
      </c>
      <c r="D1325" s="2">
        <f>'[01_Entry.xlsx]Book'!E1325</f>
        <v/>
      </c>
      <c r="E1325" s="2">
        <f>'[01_Entry.xlsx]Book'!O1325</f>
        <v/>
      </c>
      <c r="F1325" s="2">
        <f>'[01_Entry.xlsx]Book'!N1325</f>
        <v/>
      </c>
      <c r="G1325" s="3">
        <f>'[01_Entry.xlsx]Book'!L1325</f>
        <v/>
      </c>
      <c r="H1325" s="3">
        <f>'[01_Entry.xlsx]Book'!M1325</f>
        <v/>
      </c>
      <c r="I1325" s="3">
        <f>'[01_Entry.xlsx]Book'!K1325</f>
        <v/>
      </c>
      <c r="J1325" s="3">
        <f>'[01_Entry.xlsx]Book'!P1325</f>
        <v/>
      </c>
      <c r="K1325" s="3">
        <f>'[01_Entry.xlsx]Book'!F1325</f>
        <v/>
      </c>
      <c r="L1325" s="3">
        <f>'[01_Entry.xlsx]Book'!G1325</f>
        <v/>
      </c>
      <c r="M1325" s="3">
        <f>'[01_Entry.xlsx]Book'!I1325</f>
        <v/>
      </c>
      <c r="N1325" s="2">
        <f>IF($A1325="","",MID($A1325,6,2))</f>
        <v>0</v>
      </c>
      <c r="O1325" s="2">
        <f>IF(OR($C1325="",$C1325&lt;&gt;'Inv'!$D$12),"",N(O$1324)+1)</f>
        <v>0</v>
      </c>
    </row>
    <row r="1326" spans="1:15">
      <c r="A1326" s="2">
        <f>'[01_Entry.xlsx]Book'!A1326</f>
        <v/>
      </c>
      <c r="B1326" s="2">
        <f>'[01_Entry.xlsx]Book'!B1326</f>
        <v/>
      </c>
      <c r="C1326" s="2">
        <f>'[01_Entry.xlsx]Book'!D1326</f>
        <v/>
      </c>
      <c r="D1326" s="2">
        <f>'[01_Entry.xlsx]Book'!E1326</f>
        <v/>
      </c>
      <c r="E1326" s="2">
        <f>'[01_Entry.xlsx]Book'!O1326</f>
        <v/>
      </c>
      <c r="F1326" s="2">
        <f>'[01_Entry.xlsx]Book'!N1326</f>
        <v/>
      </c>
      <c r="G1326" s="3">
        <f>'[01_Entry.xlsx]Book'!L1326</f>
        <v/>
      </c>
      <c r="H1326" s="3">
        <f>'[01_Entry.xlsx]Book'!M1326</f>
        <v/>
      </c>
      <c r="I1326" s="3">
        <f>'[01_Entry.xlsx]Book'!K1326</f>
        <v/>
      </c>
      <c r="J1326" s="3">
        <f>'[01_Entry.xlsx]Book'!P1326</f>
        <v/>
      </c>
      <c r="K1326" s="3">
        <f>'[01_Entry.xlsx]Book'!F1326</f>
        <v/>
      </c>
      <c r="L1326" s="3">
        <f>'[01_Entry.xlsx]Book'!G1326</f>
        <v/>
      </c>
      <c r="M1326" s="3">
        <f>'[01_Entry.xlsx]Book'!I1326</f>
        <v/>
      </c>
      <c r="N1326" s="2">
        <f>IF($A1326="","",MID($A1326,6,2))</f>
        <v>0</v>
      </c>
      <c r="O1326" s="2">
        <f>IF(OR($C1326="",$C1326&lt;&gt;'Inv'!$D$12),"",N(O$1325)+1)</f>
        <v>0</v>
      </c>
    </row>
    <row r="1327" spans="1:15">
      <c r="A1327" s="2">
        <f>'[01_Entry.xlsx]Book'!A1327</f>
        <v/>
      </c>
      <c r="B1327" s="2">
        <f>'[01_Entry.xlsx]Book'!B1327</f>
        <v/>
      </c>
      <c r="C1327" s="2">
        <f>'[01_Entry.xlsx]Book'!D1327</f>
        <v/>
      </c>
      <c r="D1327" s="2">
        <f>'[01_Entry.xlsx]Book'!E1327</f>
        <v/>
      </c>
      <c r="E1327" s="2">
        <f>'[01_Entry.xlsx]Book'!O1327</f>
        <v/>
      </c>
      <c r="F1327" s="2">
        <f>'[01_Entry.xlsx]Book'!N1327</f>
        <v/>
      </c>
      <c r="G1327" s="3">
        <f>'[01_Entry.xlsx]Book'!L1327</f>
        <v/>
      </c>
      <c r="H1327" s="3">
        <f>'[01_Entry.xlsx]Book'!M1327</f>
        <v/>
      </c>
      <c r="I1327" s="3">
        <f>'[01_Entry.xlsx]Book'!K1327</f>
        <v/>
      </c>
      <c r="J1327" s="3">
        <f>'[01_Entry.xlsx]Book'!P1327</f>
        <v/>
      </c>
      <c r="K1327" s="3">
        <f>'[01_Entry.xlsx]Book'!F1327</f>
        <v/>
      </c>
      <c r="L1327" s="3">
        <f>'[01_Entry.xlsx]Book'!G1327</f>
        <v/>
      </c>
      <c r="M1327" s="3">
        <f>'[01_Entry.xlsx]Book'!I1327</f>
        <v/>
      </c>
      <c r="N1327" s="2">
        <f>IF($A1327="","",MID($A1327,6,2))</f>
        <v>0</v>
      </c>
      <c r="O1327" s="2">
        <f>IF(OR($C1327="",$C1327&lt;&gt;'Inv'!$D$12),"",N(O$1326)+1)</f>
        <v>0</v>
      </c>
    </row>
    <row r="1328" spans="1:15">
      <c r="A1328" s="2">
        <f>'[01_Entry.xlsx]Book'!A1328</f>
        <v/>
      </c>
      <c r="B1328" s="2">
        <f>'[01_Entry.xlsx]Book'!B1328</f>
        <v/>
      </c>
      <c r="C1328" s="2">
        <f>'[01_Entry.xlsx]Book'!D1328</f>
        <v/>
      </c>
      <c r="D1328" s="2">
        <f>'[01_Entry.xlsx]Book'!E1328</f>
        <v/>
      </c>
      <c r="E1328" s="2">
        <f>'[01_Entry.xlsx]Book'!O1328</f>
        <v/>
      </c>
      <c r="F1328" s="2">
        <f>'[01_Entry.xlsx]Book'!N1328</f>
        <v/>
      </c>
      <c r="G1328" s="3">
        <f>'[01_Entry.xlsx]Book'!L1328</f>
        <v/>
      </c>
      <c r="H1328" s="3">
        <f>'[01_Entry.xlsx]Book'!M1328</f>
        <v/>
      </c>
      <c r="I1328" s="3">
        <f>'[01_Entry.xlsx]Book'!K1328</f>
        <v/>
      </c>
      <c r="J1328" s="3">
        <f>'[01_Entry.xlsx]Book'!P1328</f>
        <v/>
      </c>
      <c r="K1328" s="3">
        <f>'[01_Entry.xlsx]Book'!F1328</f>
        <v/>
      </c>
      <c r="L1328" s="3">
        <f>'[01_Entry.xlsx]Book'!G1328</f>
        <v/>
      </c>
      <c r="M1328" s="3">
        <f>'[01_Entry.xlsx]Book'!I1328</f>
        <v/>
      </c>
      <c r="N1328" s="2">
        <f>IF($A1328="","",MID($A1328,6,2))</f>
        <v>0</v>
      </c>
      <c r="O1328" s="2">
        <f>IF(OR($C1328="",$C1328&lt;&gt;'Inv'!$D$12),"",N(O$1327)+1)</f>
        <v>0</v>
      </c>
    </row>
    <row r="1329" spans="1:15">
      <c r="A1329" s="2">
        <f>'[01_Entry.xlsx]Book'!A1329</f>
        <v/>
      </c>
      <c r="B1329" s="2">
        <f>'[01_Entry.xlsx]Book'!B1329</f>
        <v/>
      </c>
      <c r="C1329" s="2">
        <f>'[01_Entry.xlsx]Book'!D1329</f>
        <v/>
      </c>
      <c r="D1329" s="2">
        <f>'[01_Entry.xlsx]Book'!E1329</f>
        <v/>
      </c>
      <c r="E1329" s="2">
        <f>'[01_Entry.xlsx]Book'!O1329</f>
        <v/>
      </c>
      <c r="F1329" s="2">
        <f>'[01_Entry.xlsx]Book'!N1329</f>
        <v/>
      </c>
      <c r="G1329" s="3">
        <f>'[01_Entry.xlsx]Book'!L1329</f>
        <v/>
      </c>
      <c r="H1329" s="3">
        <f>'[01_Entry.xlsx]Book'!M1329</f>
        <v/>
      </c>
      <c r="I1329" s="3">
        <f>'[01_Entry.xlsx]Book'!K1329</f>
        <v/>
      </c>
      <c r="J1329" s="3">
        <f>'[01_Entry.xlsx]Book'!P1329</f>
        <v/>
      </c>
      <c r="K1329" s="3">
        <f>'[01_Entry.xlsx]Book'!F1329</f>
        <v/>
      </c>
      <c r="L1329" s="3">
        <f>'[01_Entry.xlsx]Book'!G1329</f>
        <v/>
      </c>
      <c r="M1329" s="3">
        <f>'[01_Entry.xlsx]Book'!I1329</f>
        <v/>
      </c>
      <c r="N1329" s="2">
        <f>IF($A1329="","",MID($A1329,6,2))</f>
        <v>0</v>
      </c>
      <c r="O1329" s="2">
        <f>IF(OR($C1329="",$C1329&lt;&gt;'Inv'!$D$12),"",N(O$1328)+1)</f>
        <v>0</v>
      </c>
    </row>
    <row r="1330" spans="1:15">
      <c r="A1330" s="2">
        <f>'[01_Entry.xlsx]Book'!A1330</f>
        <v/>
      </c>
      <c r="B1330" s="2">
        <f>'[01_Entry.xlsx]Book'!B1330</f>
        <v/>
      </c>
      <c r="C1330" s="2">
        <f>'[01_Entry.xlsx]Book'!D1330</f>
        <v/>
      </c>
      <c r="D1330" s="2">
        <f>'[01_Entry.xlsx]Book'!E1330</f>
        <v/>
      </c>
      <c r="E1330" s="2">
        <f>'[01_Entry.xlsx]Book'!O1330</f>
        <v/>
      </c>
      <c r="F1330" s="2">
        <f>'[01_Entry.xlsx]Book'!N1330</f>
        <v/>
      </c>
      <c r="G1330" s="3">
        <f>'[01_Entry.xlsx]Book'!L1330</f>
        <v/>
      </c>
      <c r="H1330" s="3">
        <f>'[01_Entry.xlsx]Book'!M1330</f>
        <v/>
      </c>
      <c r="I1330" s="3">
        <f>'[01_Entry.xlsx]Book'!K1330</f>
        <v/>
      </c>
      <c r="J1330" s="3">
        <f>'[01_Entry.xlsx]Book'!P1330</f>
        <v/>
      </c>
      <c r="K1330" s="3">
        <f>'[01_Entry.xlsx]Book'!F1330</f>
        <v/>
      </c>
      <c r="L1330" s="3">
        <f>'[01_Entry.xlsx]Book'!G1330</f>
        <v/>
      </c>
      <c r="M1330" s="3">
        <f>'[01_Entry.xlsx]Book'!I1330</f>
        <v/>
      </c>
      <c r="N1330" s="2">
        <f>IF($A1330="","",MID($A1330,6,2))</f>
        <v>0</v>
      </c>
      <c r="O1330" s="2">
        <f>IF(OR($C1330="",$C1330&lt;&gt;'Inv'!$D$12),"",N(O$1329)+1)</f>
        <v>0</v>
      </c>
    </row>
    <row r="1331" spans="1:15">
      <c r="A1331" s="2">
        <f>'[01_Entry.xlsx]Book'!A1331</f>
        <v/>
      </c>
      <c r="B1331" s="2">
        <f>'[01_Entry.xlsx]Book'!B1331</f>
        <v/>
      </c>
      <c r="C1331" s="2">
        <f>'[01_Entry.xlsx]Book'!D1331</f>
        <v/>
      </c>
      <c r="D1331" s="2">
        <f>'[01_Entry.xlsx]Book'!E1331</f>
        <v/>
      </c>
      <c r="E1331" s="2">
        <f>'[01_Entry.xlsx]Book'!O1331</f>
        <v/>
      </c>
      <c r="F1331" s="2">
        <f>'[01_Entry.xlsx]Book'!N1331</f>
        <v/>
      </c>
      <c r="G1331" s="3">
        <f>'[01_Entry.xlsx]Book'!L1331</f>
        <v/>
      </c>
      <c r="H1331" s="3">
        <f>'[01_Entry.xlsx]Book'!M1331</f>
        <v/>
      </c>
      <c r="I1331" s="3">
        <f>'[01_Entry.xlsx]Book'!K1331</f>
        <v/>
      </c>
      <c r="J1331" s="3">
        <f>'[01_Entry.xlsx]Book'!P1331</f>
        <v/>
      </c>
      <c r="K1331" s="3">
        <f>'[01_Entry.xlsx]Book'!F1331</f>
        <v/>
      </c>
      <c r="L1331" s="3">
        <f>'[01_Entry.xlsx]Book'!G1331</f>
        <v/>
      </c>
      <c r="M1331" s="3">
        <f>'[01_Entry.xlsx]Book'!I1331</f>
        <v/>
      </c>
      <c r="N1331" s="2">
        <f>IF($A1331="","",MID($A1331,6,2))</f>
        <v>0</v>
      </c>
      <c r="O1331" s="2">
        <f>IF(OR($C1331="",$C1331&lt;&gt;'Inv'!$D$12),"",N(O$1330)+1)</f>
        <v>0</v>
      </c>
    </row>
    <row r="1332" spans="1:15">
      <c r="A1332" s="2">
        <f>'[01_Entry.xlsx]Book'!A1332</f>
        <v/>
      </c>
      <c r="B1332" s="2">
        <f>'[01_Entry.xlsx]Book'!B1332</f>
        <v/>
      </c>
      <c r="C1332" s="2">
        <f>'[01_Entry.xlsx]Book'!D1332</f>
        <v/>
      </c>
      <c r="D1332" s="2">
        <f>'[01_Entry.xlsx]Book'!E1332</f>
        <v/>
      </c>
      <c r="E1332" s="2">
        <f>'[01_Entry.xlsx]Book'!O1332</f>
        <v/>
      </c>
      <c r="F1332" s="2">
        <f>'[01_Entry.xlsx]Book'!N1332</f>
        <v/>
      </c>
      <c r="G1332" s="3">
        <f>'[01_Entry.xlsx]Book'!L1332</f>
        <v/>
      </c>
      <c r="H1332" s="3">
        <f>'[01_Entry.xlsx]Book'!M1332</f>
        <v/>
      </c>
      <c r="I1332" s="3">
        <f>'[01_Entry.xlsx]Book'!K1332</f>
        <v/>
      </c>
      <c r="J1332" s="3">
        <f>'[01_Entry.xlsx]Book'!P1332</f>
        <v/>
      </c>
      <c r="K1332" s="3">
        <f>'[01_Entry.xlsx]Book'!F1332</f>
        <v/>
      </c>
      <c r="L1332" s="3">
        <f>'[01_Entry.xlsx]Book'!G1332</f>
        <v/>
      </c>
      <c r="M1332" s="3">
        <f>'[01_Entry.xlsx]Book'!I1332</f>
        <v/>
      </c>
      <c r="N1332" s="2">
        <f>IF($A1332="","",MID($A1332,6,2))</f>
        <v>0</v>
      </c>
      <c r="O1332" s="2">
        <f>IF(OR($C1332="",$C1332&lt;&gt;'Inv'!$D$12),"",N(O$1331)+1)</f>
        <v>0</v>
      </c>
    </row>
    <row r="1333" spans="1:15">
      <c r="A1333" s="2">
        <f>'[01_Entry.xlsx]Book'!A1333</f>
        <v/>
      </c>
      <c r="B1333" s="2">
        <f>'[01_Entry.xlsx]Book'!B1333</f>
        <v/>
      </c>
      <c r="C1333" s="2">
        <f>'[01_Entry.xlsx]Book'!D1333</f>
        <v/>
      </c>
      <c r="D1333" s="2">
        <f>'[01_Entry.xlsx]Book'!E1333</f>
        <v/>
      </c>
      <c r="E1333" s="2">
        <f>'[01_Entry.xlsx]Book'!O1333</f>
        <v/>
      </c>
      <c r="F1333" s="2">
        <f>'[01_Entry.xlsx]Book'!N1333</f>
        <v/>
      </c>
      <c r="G1333" s="3">
        <f>'[01_Entry.xlsx]Book'!L1333</f>
        <v/>
      </c>
      <c r="H1333" s="3">
        <f>'[01_Entry.xlsx]Book'!M1333</f>
        <v/>
      </c>
      <c r="I1333" s="3">
        <f>'[01_Entry.xlsx]Book'!K1333</f>
        <v/>
      </c>
      <c r="J1333" s="3">
        <f>'[01_Entry.xlsx]Book'!P1333</f>
        <v/>
      </c>
      <c r="K1333" s="3">
        <f>'[01_Entry.xlsx]Book'!F1333</f>
        <v/>
      </c>
      <c r="L1333" s="3">
        <f>'[01_Entry.xlsx]Book'!G1333</f>
        <v/>
      </c>
      <c r="M1333" s="3">
        <f>'[01_Entry.xlsx]Book'!I1333</f>
        <v/>
      </c>
      <c r="N1333" s="2">
        <f>IF($A1333="","",MID($A1333,6,2))</f>
        <v>0</v>
      </c>
      <c r="O1333" s="2">
        <f>IF(OR($C1333="",$C1333&lt;&gt;'Inv'!$D$12),"",N(O$1332)+1)</f>
        <v>0</v>
      </c>
    </row>
    <row r="1334" spans="1:15">
      <c r="A1334" s="2">
        <f>'[01_Entry.xlsx]Book'!A1334</f>
        <v/>
      </c>
      <c r="B1334" s="2">
        <f>'[01_Entry.xlsx]Book'!B1334</f>
        <v/>
      </c>
      <c r="C1334" s="2">
        <f>'[01_Entry.xlsx]Book'!D1334</f>
        <v/>
      </c>
      <c r="D1334" s="2">
        <f>'[01_Entry.xlsx]Book'!E1334</f>
        <v/>
      </c>
      <c r="E1334" s="2">
        <f>'[01_Entry.xlsx]Book'!O1334</f>
        <v/>
      </c>
      <c r="F1334" s="2">
        <f>'[01_Entry.xlsx]Book'!N1334</f>
        <v/>
      </c>
      <c r="G1334" s="3">
        <f>'[01_Entry.xlsx]Book'!L1334</f>
        <v/>
      </c>
      <c r="H1334" s="3">
        <f>'[01_Entry.xlsx]Book'!M1334</f>
        <v/>
      </c>
      <c r="I1334" s="3">
        <f>'[01_Entry.xlsx]Book'!K1334</f>
        <v/>
      </c>
      <c r="J1334" s="3">
        <f>'[01_Entry.xlsx]Book'!P1334</f>
        <v/>
      </c>
      <c r="K1334" s="3">
        <f>'[01_Entry.xlsx]Book'!F1334</f>
        <v/>
      </c>
      <c r="L1334" s="3">
        <f>'[01_Entry.xlsx]Book'!G1334</f>
        <v/>
      </c>
      <c r="M1334" s="3">
        <f>'[01_Entry.xlsx]Book'!I1334</f>
        <v/>
      </c>
      <c r="N1334" s="2">
        <f>IF($A1334="","",MID($A1334,6,2))</f>
        <v>0</v>
      </c>
      <c r="O1334" s="2">
        <f>IF(OR($C1334="",$C1334&lt;&gt;'Inv'!$D$12),"",N(O$1333)+1)</f>
        <v>0</v>
      </c>
    </row>
    <row r="1335" spans="1:15">
      <c r="A1335" s="2">
        <f>'[01_Entry.xlsx]Book'!A1335</f>
        <v/>
      </c>
      <c r="B1335" s="2">
        <f>'[01_Entry.xlsx]Book'!B1335</f>
        <v/>
      </c>
      <c r="C1335" s="2">
        <f>'[01_Entry.xlsx]Book'!D1335</f>
        <v/>
      </c>
      <c r="D1335" s="2">
        <f>'[01_Entry.xlsx]Book'!E1335</f>
        <v/>
      </c>
      <c r="E1335" s="2">
        <f>'[01_Entry.xlsx]Book'!O1335</f>
        <v/>
      </c>
      <c r="F1335" s="2">
        <f>'[01_Entry.xlsx]Book'!N1335</f>
        <v/>
      </c>
      <c r="G1335" s="3">
        <f>'[01_Entry.xlsx]Book'!L1335</f>
        <v/>
      </c>
      <c r="H1335" s="3">
        <f>'[01_Entry.xlsx]Book'!M1335</f>
        <v/>
      </c>
      <c r="I1335" s="3">
        <f>'[01_Entry.xlsx]Book'!K1335</f>
        <v/>
      </c>
      <c r="J1335" s="3">
        <f>'[01_Entry.xlsx]Book'!P1335</f>
        <v/>
      </c>
      <c r="K1335" s="3">
        <f>'[01_Entry.xlsx]Book'!F1335</f>
        <v/>
      </c>
      <c r="L1335" s="3">
        <f>'[01_Entry.xlsx]Book'!G1335</f>
        <v/>
      </c>
      <c r="M1335" s="3">
        <f>'[01_Entry.xlsx]Book'!I1335</f>
        <v/>
      </c>
      <c r="N1335" s="2">
        <f>IF($A1335="","",MID($A1335,6,2))</f>
        <v>0</v>
      </c>
      <c r="O1335" s="2">
        <f>IF(OR($C1335="",$C1335&lt;&gt;'Inv'!$D$12),"",N(O$1334)+1)</f>
        <v>0</v>
      </c>
    </row>
    <row r="1336" spans="1:15">
      <c r="A1336" s="2">
        <f>'[01_Entry.xlsx]Book'!A1336</f>
        <v/>
      </c>
      <c r="B1336" s="2">
        <f>'[01_Entry.xlsx]Book'!B1336</f>
        <v/>
      </c>
      <c r="C1336" s="2">
        <f>'[01_Entry.xlsx]Book'!D1336</f>
        <v/>
      </c>
      <c r="D1336" s="2">
        <f>'[01_Entry.xlsx]Book'!E1336</f>
        <v/>
      </c>
      <c r="E1336" s="2">
        <f>'[01_Entry.xlsx]Book'!O1336</f>
        <v/>
      </c>
      <c r="F1336" s="2">
        <f>'[01_Entry.xlsx]Book'!N1336</f>
        <v/>
      </c>
      <c r="G1336" s="3">
        <f>'[01_Entry.xlsx]Book'!L1336</f>
        <v/>
      </c>
      <c r="H1336" s="3">
        <f>'[01_Entry.xlsx]Book'!M1336</f>
        <v/>
      </c>
      <c r="I1336" s="3">
        <f>'[01_Entry.xlsx]Book'!K1336</f>
        <v/>
      </c>
      <c r="J1336" s="3">
        <f>'[01_Entry.xlsx]Book'!P1336</f>
        <v/>
      </c>
      <c r="K1336" s="3">
        <f>'[01_Entry.xlsx]Book'!F1336</f>
        <v/>
      </c>
      <c r="L1336" s="3">
        <f>'[01_Entry.xlsx]Book'!G1336</f>
        <v/>
      </c>
      <c r="M1336" s="3">
        <f>'[01_Entry.xlsx]Book'!I1336</f>
        <v/>
      </c>
      <c r="N1336" s="2">
        <f>IF($A1336="","",MID($A1336,6,2))</f>
        <v>0</v>
      </c>
      <c r="O1336" s="2">
        <f>IF(OR($C1336="",$C1336&lt;&gt;'Inv'!$D$12),"",N(O$1335)+1)</f>
        <v>0</v>
      </c>
    </row>
    <row r="1337" spans="1:15">
      <c r="A1337" s="2">
        <f>'[01_Entry.xlsx]Book'!A1337</f>
        <v/>
      </c>
      <c r="B1337" s="2">
        <f>'[01_Entry.xlsx]Book'!B1337</f>
        <v/>
      </c>
      <c r="C1337" s="2">
        <f>'[01_Entry.xlsx]Book'!D1337</f>
        <v/>
      </c>
      <c r="D1337" s="2">
        <f>'[01_Entry.xlsx]Book'!E1337</f>
        <v/>
      </c>
      <c r="E1337" s="2">
        <f>'[01_Entry.xlsx]Book'!O1337</f>
        <v/>
      </c>
      <c r="F1337" s="2">
        <f>'[01_Entry.xlsx]Book'!N1337</f>
        <v/>
      </c>
      <c r="G1337" s="3">
        <f>'[01_Entry.xlsx]Book'!L1337</f>
        <v/>
      </c>
      <c r="H1337" s="3">
        <f>'[01_Entry.xlsx]Book'!M1337</f>
        <v/>
      </c>
      <c r="I1337" s="3">
        <f>'[01_Entry.xlsx]Book'!K1337</f>
        <v/>
      </c>
      <c r="J1337" s="3">
        <f>'[01_Entry.xlsx]Book'!P1337</f>
        <v/>
      </c>
      <c r="K1337" s="3">
        <f>'[01_Entry.xlsx]Book'!F1337</f>
        <v/>
      </c>
      <c r="L1337" s="3">
        <f>'[01_Entry.xlsx]Book'!G1337</f>
        <v/>
      </c>
      <c r="M1337" s="3">
        <f>'[01_Entry.xlsx]Book'!I1337</f>
        <v/>
      </c>
      <c r="N1337" s="2">
        <f>IF($A1337="","",MID($A1337,6,2))</f>
        <v>0</v>
      </c>
      <c r="O1337" s="2">
        <f>IF(OR($C1337="",$C1337&lt;&gt;'Inv'!$D$12),"",N(O$1336)+1)</f>
        <v>0</v>
      </c>
    </row>
    <row r="1338" spans="1:15">
      <c r="A1338" s="2">
        <f>'[01_Entry.xlsx]Book'!A1338</f>
        <v/>
      </c>
      <c r="B1338" s="2">
        <f>'[01_Entry.xlsx]Book'!B1338</f>
        <v/>
      </c>
      <c r="C1338" s="2">
        <f>'[01_Entry.xlsx]Book'!D1338</f>
        <v/>
      </c>
      <c r="D1338" s="2">
        <f>'[01_Entry.xlsx]Book'!E1338</f>
        <v/>
      </c>
      <c r="E1338" s="2">
        <f>'[01_Entry.xlsx]Book'!O1338</f>
        <v/>
      </c>
      <c r="F1338" s="2">
        <f>'[01_Entry.xlsx]Book'!N1338</f>
        <v/>
      </c>
      <c r="G1338" s="3">
        <f>'[01_Entry.xlsx]Book'!L1338</f>
        <v/>
      </c>
      <c r="H1338" s="3">
        <f>'[01_Entry.xlsx]Book'!M1338</f>
        <v/>
      </c>
      <c r="I1338" s="3">
        <f>'[01_Entry.xlsx]Book'!K1338</f>
        <v/>
      </c>
      <c r="J1338" s="3">
        <f>'[01_Entry.xlsx]Book'!P1338</f>
        <v/>
      </c>
      <c r="K1338" s="3">
        <f>'[01_Entry.xlsx]Book'!F1338</f>
        <v/>
      </c>
      <c r="L1338" s="3">
        <f>'[01_Entry.xlsx]Book'!G1338</f>
        <v/>
      </c>
      <c r="M1338" s="3">
        <f>'[01_Entry.xlsx]Book'!I1338</f>
        <v/>
      </c>
      <c r="N1338" s="2">
        <f>IF($A1338="","",MID($A1338,6,2))</f>
        <v>0</v>
      </c>
      <c r="O1338" s="2">
        <f>IF(OR($C1338="",$C1338&lt;&gt;'Inv'!$D$12),"",N(O$1337)+1)</f>
        <v>0</v>
      </c>
    </row>
    <row r="1339" spans="1:15">
      <c r="A1339" s="2">
        <f>'[01_Entry.xlsx]Book'!A1339</f>
        <v/>
      </c>
      <c r="B1339" s="2">
        <f>'[01_Entry.xlsx]Book'!B1339</f>
        <v/>
      </c>
      <c r="C1339" s="2">
        <f>'[01_Entry.xlsx]Book'!D1339</f>
        <v/>
      </c>
      <c r="D1339" s="2">
        <f>'[01_Entry.xlsx]Book'!E1339</f>
        <v/>
      </c>
      <c r="E1339" s="2">
        <f>'[01_Entry.xlsx]Book'!O1339</f>
        <v/>
      </c>
      <c r="F1339" s="2">
        <f>'[01_Entry.xlsx]Book'!N1339</f>
        <v/>
      </c>
      <c r="G1339" s="3">
        <f>'[01_Entry.xlsx]Book'!L1339</f>
        <v/>
      </c>
      <c r="H1339" s="3">
        <f>'[01_Entry.xlsx]Book'!M1339</f>
        <v/>
      </c>
      <c r="I1339" s="3">
        <f>'[01_Entry.xlsx]Book'!K1339</f>
        <v/>
      </c>
      <c r="J1339" s="3">
        <f>'[01_Entry.xlsx]Book'!P1339</f>
        <v/>
      </c>
      <c r="K1339" s="3">
        <f>'[01_Entry.xlsx]Book'!F1339</f>
        <v/>
      </c>
      <c r="L1339" s="3">
        <f>'[01_Entry.xlsx]Book'!G1339</f>
        <v/>
      </c>
      <c r="M1339" s="3">
        <f>'[01_Entry.xlsx]Book'!I1339</f>
        <v/>
      </c>
      <c r="N1339" s="2">
        <f>IF($A1339="","",MID($A1339,6,2))</f>
        <v>0</v>
      </c>
      <c r="O1339" s="2">
        <f>IF(OR($C1339="",$C1339&lt;&gt;'Inv'!$D$12),"",N(O$1338)+1)</f>
        <v>0</v>
      </c>
    </row>
    <row r="1340" spans="1:15">
      <c r="A1340" s="2">
        <f>'[01_Entry.xlsx]Book'!A1340</f>
        <v/>
      </c>
      <c r="B1340" s="2">
        <f>'[01_Entry.xlsx]Book'!B1340</f>
        <v/>
      </c>
      <c r="C1340" s="2">
        <f>'[01_Entry.xlsx]Book'!D1340</f>
        <v/>
      </c>
      <c r="D1340" s="2">
        <f>'[01_Entry.xlsx]Book'!E1340</f>
        <v/>
      </c>
      <c r="E1340" s="2">
        <f>'[01_Entry.xlsx]Book'!O1340</f>
        <v/>
      </c>
      <c r="F1340" s="2">
        <f>'[01_Entry.xlsx]Book'!N1340</f>
        <v/>
      </c>
      <c r="G1340" s="3">
        <f>'[01_Entry.xlsx]Book'!L1340</f>
        <v/>
      </c>
      <c r="H1340" s="3">
        <f>'[01_Entry.xlsx]Book'!M1340</f>
        <v/>
      </c>
      <c r="I1340" s="3">
        <f>'[01_Entry.xlsx]Book'!K1340</f>
        <v/>
      </c>
      <c r="J1340" s="3">
        <f>'[01_Entry.xlsx]Book'!P1340</f>
        <v/>
      </c>
      <c r="K1340" s="3">
        <f>'[01_Entry.xlsx]Book'!F1340</f>
        <v/>
      </c>
      <c r="L1340" s="3">
        <f>'[01_Entry.xlsx]Book'!G1340</f>
        <v/>
      </c>
      <c r="M1340" s="3">
        <f>'[01_Entry.xlsx]Book'!I1340</f>
        <v/>
      </c>
      <c r="N1340" s="2">
        <f>IF($A1340="","",MID($A1340,6,2))</f>
        <v>0</v>
      </c>
      <c r="O1340" s="2">
        <f>IF(OR($C1340="",$C1340&lt;&gt;'Inv'!$D$12),"",N(O$1339)+1)</f>
        <v>0</v>
      </c>
    </row>
    <row r="1341" spans="1:15">
      <c r="A1341" s="2">
        <f>'[01_Entry.xlsx]Book'!A1341</f>
        <v/>
      </c>
      <c r="B1341" s="2">
        <f>'[01_Entry.xlsx]Book'!B1341</f>
        <v/>
      </c>
      <c r="C1341" s="2">
        <f>'[01_Entry.xlsx]Book'!D1341</f>
        <v/>
      </c>
      <c r="D1341" s="2">
        <f>'[01_Entry.xlsx]Book'!E1341</f>
        <v/>
      </c>
      <c r="E1341" s="2">
        <f>'[01_Entry.xlsx]Book'!O1341</f>
        <v/>
      </c>
      <c r="F1341" s="2">
        <f>'[01_Entry.xlsx]Book'!N1341</f>
        <v/>
      </c>
      <c r="G1341" s="3">
        <f>'[01_Entry.xlsx]Book'!L1341</f>
        <v/>
      </c>
      <c r="H1341" s="3">
        <f>'[01_Entry.xlsx]Book'!M1341</f>
        <v/>
      </c>
      <c r="I1341" s="3">
        <f>'[01_Entry.xlsx]Book'!K1341</f>
        <v/>
      </c>
      <c r="J1341" s="3">
        <f>'[01_Entry.xlsx]Book'!P1341</f>
        <v/>
      </c>
      <c r="K1341" s="3">
        <f>'[01_Entry.xlsx]Book'!F1341</f>
        <v/>
      </c>
      <c r="L1341" s="3">
        <f>'[01_Entry.xlsx]Book'!G1341</f>
        <v/>
      </c>
      <c r="M1341" s="3">
        <f>'[01_Entry.xlsx]Book'!I1341</f>
        <v/>
      </c>
      <c r="N1341" s="2">
        <f>IF($A1341="","",MID($A1341,6,2))</f>
        <v>0</v>
      </c>
      <c r="O1341" s="2">
        <f>IF(OR($C1341="",$C1341&lt;&gt;'Inv'!$D$12),"",N(O$1340)+1)</f>
        <v>0</v>
      </c>
    </row>
    <row r="1342" spans="1:15">
      <c r="A1342" s="2">
        <f>'[01_Entry.xlsx]Book'!A1342</f>
        <v/>
      </c>
      <c r="B1342" s="2">
        <f>'[01_Entry.xlsx]Book'!B1342</f>
        <v/>
      </c>
      <c r="C1342" s="2">
        <f>'[01_Entry.xlsx]Book'!D1342</f>
        <v/>
      </c>
      <c r="D1342" s="2">
        <f>'[01_Entry.xlsx]Book'!E1342</f>
        <v/>
      </c>
      <c r="E1342" s="2">
        <f>'[01_Entry.xlsx]Book'!O1342</f>
        <v/>
      </c>
      <c r="F1342" s="2">
        <f>'[01_Entry.xlsx]Book'!N1342</f>
        <v/>
      </c>
      <c r="G1342" s="3">
        <f>'[01_Entry.xlsx]Book'!L1342</f>
        <v/>
      </c>
      <c r="H1342" s="3">
        <f>'[01_Entry.xlsx]Book'!M1342</f>
        <v/>
      </c>
      <c r="I1342" s="3">
        <f>'[01_Entry.xlsx]Book'!K1342</f>
        <v/>
      </c>
      <c r="J1342" s="3">
        <f>'[01_Entry.xlsx]Book'!P1342</f>
        <v/>
      </c>
      <c r="K1342" s="3">
        <f>'[01_Entry.xlsx]Book'!F1342</f>
        <v/>
      </c>
      <c r="L1342" s="3">
        <f>'[01_Entry.xlsx]Book'!G1342</f>
        <v/>
      </c>
      <c r="M1342" s="3">
        <f>'[01_Entry.xlsx]Book'!I1342</f>
        <v/>
      </c>
      <c r="N1342" s="2">
        <f>IF($A1342="","",MID($A1342,6,2))</f>
        <v>0</v>
      </c>
      <c r="O1342" s="2">
        <f>IF(OR($C1342="",$C1342&lt;&gt;'Inv'!$D$12),"",N(O$1341)+1)</f>
        <v>0</v>
      </c>
    </row>
    <row r="1343" spans="1:15">
      <c r="A1343" s="2">
        <f>'[01_Entry.xlsx]Book'!A1343</f>
        <v/>
      </c>
      <c r="B1343" s="2">
        <f>'[01_Entry.xlsx]Book'!B1343</f>
        <v/>
      </c>
      <c r="C1343" s="2">
        <f>'[01_Entry.xlsx]Book'!D1343</f>
        <v/>
      </c>
      <c r="D1343" s="2">
        <f>'[01_Entry.xlsx]Book'!E1343</f>
        <v/>
      </c>
      <c r="E1343" s="2">
        <f>'[01_Entry.xlsx]Book'!O1343</f>
        <v/>
      </c>
      <c r="F1343" s="2">
        <f>'[01_Entry.xlsx]Book'!N1343</f>
        <v/>
      </c>
      <c r="G1343" s="3">
        <f>'[01_Entry.xlsx]Book'!L1343</f>
        <v/>
      </c>
      <c r="H1343" s="3">
        <f>'[01_Entry.xlsx]Book'!M1343</f>
        <v/>
      </c>
      <c r="I1343" s="3">
        <f>'[01_Entry.xlsx]Book'!K1343</f>
        <v/>
      </c>
      <c r="J1343" s="3">
        <f>'[01_Entry.xlsx]Book'!P1343</f>
        <v/>
      </c>
      <c r="K1343" s="3">
        <f>'[01_Entry.xlsx]Book'!F1343</f>
        <v/>
      </c>
      <c r="L1343" s="3">
        <f>'[01_Entry.xlsx]Book'!G1343</f>
        <v/>
      </c>
      <c r="M1343" s="3">
        <f>'[01_Entry.xlsx]Book'!I1343</f>
        <v/>
      </c>
      <c r="N1343" s="2">
        <f>IF($A1343="","",MID($A1343,6,2))</f>
        <v>0</v>
      </c>
      <c r="O1343" s="2">
        <f>IF(OR($C1343="",$C1343&lt;&gt;'Inv'!$D$12),"",N(O$1342)+1)</f>
        <v>0</v>
      </c>
    </row>
    <row r="1344" spans="1:15">
      <c r="A1344" s="2">
        <f>'[01_Entry.xlsx]Book'!A1344</f>
        <v/>
      </c>
      <c r="B1344" s="2">
        <f>'[01_Entry.xlsx]Book'!B1344</f>
        <v/>
      </c>
      <c r="C1344" s="2">
        <f>'[01_Entry.xlsx]Book'!D1344</f>
        <v/>
      </c>
      <c r="D1344" s="2">
        <f>'[01_Entry.xlsx]Book'!E1344</f>
        <v/>
      </c>
      <c r="E1344" s="2">
        <f>'[01_Entry.xlsx]Book'!O1344</f>
        <v/>
      </c>
      <c r="F1344" s="2">
        <f>'[01_Entry.xlsx]Book'!N1344</f>
        <v/>
      </c>
      <c r="G1344" s="3">
        <f>'[01_Entry.xlsx]Book'!L1344</f>
        <v/>
      </c>
      <c r="H1344" s="3">
        <f>'[01_Entry.xlsx]Book'!M1344</f>
        <v/>
      </c>
      <c r="I1344" s="3">
        <f>'[01_Entry.xlsx]Book'!K1344</f>
        <v/>
      </c>
      <c r="J1344" s="3">
        <f>'[01_Entry.xlsx]Book'!P1344</f>
        <v/>
      </c>
      <c r="K1344" s="3">
        <f>'[01_Entry.xlsx]Book'!F1344</f>
        <v/>
      </c>
      <c r="L1344" s="3">
        <f>'[01_Entry.xlsx]Book'!G1344</f>
        <v/>
      </c>
      <c r="M1344" s="3">
        <f>'[01_Entry.xlsx]Book'!I1344</f>
        <v/>
      </c>
      <c r="N1344" s="2">
        <f>IF($A1344="","",MID($A1344,6,2))</f>
        <v>0</v>
      </c>
      <c r="O1344" s="2">
        <f>IF(OR($C1344="",$C1344&lt;&gt;'Inv'!$D$12),"",N(O$1343)+1)</f>
        <v>0</v>
      </c>
    </row>
    <row r="1345" spans="1:15">
      <c r="A1345" s="2">
        <f>'[01_Entry.xlsx]Book'!A1345</f>
        <v/>
      </c>
      <c r="B1345" s="2">
        <f>'[01_Entry.xlsx]Book'!B1345</f>
        <v/>
      </c>
      <c r="C1345" s="2">
        <f>'[01_Entry.xlsx]Book'!D1345</f>
        <v/>
      </c>
      <c r="D1345" s="2">
        <f>'[01_Entry.xlsx]Book'!E1345</f>
        <v/>
      </c>
      <c r="E1345" s="2">
        <f>'[01_Entry.xlsx]Book'!O1345</f>
        <v/>
      </c>
      <c r="F1345" s="2">
        <f>'[01_Entry.xlsx]Book'!N1345</f>
        <v/>
      </c>
      <c r="G1345" s="3">
        <f>'[01_Entry.xlsx]Book'!L1345</f>
        <v/>
      </c>
      <c r="H1345" s="3">
        <f>'[01_Entry.xlsx]Book'!M1345</f>
        <v/>
      </c>
      <c r="I1345" s="3">
        <f>'[01_Entry.xlsx]Book'!K1345</f>
        <v/>
      </c>
      <c r="J1345" s="3">
        <f>'[01_Entry.xlsx]Book'!P1345</f>
        <v/>
      </c>
      <c r="K1345" s="3">
        <f>'[01_Entry.xlsx]Book'!F1345</f>
        <v/>
      </c>
      <c r="L1345" s="3">
        <f>'[01_Entry.xlsx]Book'!G1345</f>
        <v/>
      </c>
      <c r="M1345" s="3">
        <f>'[01_Entry.xlsx]Book'!I1345</f>
        <v/>
      </c>
      <c r="N1345" s="2">
        <f>IF($A1345="","",MID($A1345,6,2))</f>
        <v>0</v>
      </c>
      <c r="O1345" s="2">
        <f>IF(OR($C1345="",$C1345&lt;&gt;'Inv'!$D$12),"",N(O$1344)+1)</f>
        <v>0</v>
      </c>
    </row>
    <row r="1346" spans="1:15">
      <c r="A1346" s="2">
        <f>'[01_Entry.xlsx]Book'!A1346</f>
        <v/>
      </c>
      <c r="B1346" s="2">
        <f>'[01_Entry.xlsx]Book'!B1346</f>
        <v/>
      </c>
      <c r="C1346" s="2">
        <f>'[01_Entry.xlsx]Book'!D1346</f>
        <v/>
      </c>
      <c r="D1346" s="2">
        <f>'[01_Entry.xlsx]Book'!E1346</f>
        <v/>
      </c>
      <c r="E1346" s="2">
        <f>'[01_Entry.xlsx]Book'!O1346</f>
        <v/>
      </c>
      <c r="F1346" s="2">
        <f>'[01_Entry.xlsx]Book'!N1346</f>
        <v/>
      </c>
      <c r="G1346" s="3">
        <f>'[01_Entry.xlsx]Book'!L1346</f>
        <v/>
      </c>
      <c r="H1346" s="3">
        <f>'[01_Entry.xlsx]Book'!M1346</f>
        <v/>
      </c>
      <c r="I1346" s="3">
        <f>'[01_Entry.xlsx]Book'!K1346</f>
        <v/>
      </c>
      <c r="J1346" s="3">
        <f>'[01_Entry.xlsx]Book'!P1346</f>
        <v/>
      </c>
      <c r="K1346" s="3">
        <f>'[01_Entry.xlsx]Book'!F1346</f>
        <v/>
      </c>
      <c r="L1346" s="3">
        <f>'[01_Entry.xlsx]Book'!G1346</f>
        <v/>
      </c>
      <c r="M1346" s="3">
        <f>'[01_Entry.xlsx]Book'!I1346</f>
        <v/>
      </c>
      <c r="N1346" s="2">
        <f>IF($A1346="","",MID($A1346,6,2))</f>
        <v>0</v>
      </c>
      <c r="O1346" s="2">
        <f>IF(OR($C1346="",$C1346&lt;&gt;'Inv'!$D$12),"",N(O$1345)+1)</f>
        <v>0</v>
      </c>
    </row>
    <row r="1347" spans="1:15">
      <c r="A1347" s="2">
        <f>'[01_Entry.xlsx]Book'!A1347</f>
        <v/>
      </c>
      <c r="B1347" s="2">
        <f>'[01_Entry.xlsx]Book'!B1347</f>
        <v/>
      </c>
      <c r="C1347" s="2">
        <f>'[01_Entry.xlsx]Book'!D1347</f>
        <v/>
      </c>
      <c r="D1347" s="2">
        <f>'[01_Entry.xlsx]Book'!E1347</f>
        <v/>
      </c>
      <c r="E1347" s="2">
        <f>'[01_Entry.xlsx]Book'!O1347</f>
        <v/>
      </c>
      <c r="F1347" s="2">
        <f>'[01_Entry.xlsx]Book'!N1347</f>
        <v/>
      </c>
      <c r="G1347" s="3">
        <f>'[01_Entry.xlsx]Book'!L1347</f>
        <v/>
      </c>
      <c r="H1347" s="3">
        <f>'[01_Entry.xlsx]Book'!M1347</f>
        <v/>
      </c>
      <c r="I1347" s="3">
        <f>'[01_Entry.xlsx]Book'!K1347</f>
        <v/>
      </c>
      <c r="J1347" s="3">
        <f>'[01_Entry.xlsx]Book'!P1347</f>
        <v/>
      </c>
      <c r="K1347" s="3">
        <f>'[01_Entry.xlsx]Book'!F1347</f>
        <v/>
      </c>
      <c r="L1347" s="3">
        <f>'[01_Entry.xlsx]Book'!G1347</f>
        <v/>
      </c>
      <c r="M1347" s="3">
        <f>'[01_Entry.xlsx]Book'!I1347</f>
        <v/>
      </c>
      <c r="N1347" s="2">
        <f>IF($A1347="","",MID($A1347,6,2))</f>
        <v>0</v>
      </c>
      <c r="O1347" s="2">
        <f>IF(OR($C1347="",$C1347&lt;&gt;'Inv'!$D$12),"",N(O$1346)+1)</f>
        <v>0</v>
      </c>
    </row>
    <row r="1348" spans="1:15">
      <c r="A1348" s="2">
        <f>'[01_Entry.xlsx]Book'!A1348</f>
        <v/>
      </c>
      <c r="B1348" s="2">
        <f>'[01_Entry.xlsx]Book'!B1348</f>
        <v/>
      </c>
      <c r="C1348" s="2">
        <f>'[01_Entry.xlsx]Book'!D1348</f>
        <v/>
      </c>
      <c r="D1348" s="2">
        <f>'[01_Entry.xlsx]Book'!E1348</f>
        <v/>
      </c>
      <c r="E1348" s="2">
        <f>'[01_Entry.xlsx]Book'!O1348</f>
        <v/>
      </c>
      <c r="F1348" s="2">
        <f>'[01_Entry.xlsx]Book'!N1348</f>
        <v/>
      </c>
      <c r="G1348" s="3">
        <f>'[01_Entry.xlsx]Book'!L1348</f>
        <v/>
      </c>
      <c r="H1348" s="3">
        <f>'[01_Entry.xlsx]Book'!M1348</f>
        <v/>
      </c>
      <c r="I1348" s="3">
        <f>'[01_Entry.xlsx]Book'!K1348</f>
        <v/>
      </c>
      <c r="J1348" s="3">
        <f>'[01_Entry.xlsx]Book'!P1348</f>
        <v/>
      </c>
      <c r="K1348" s="3">
        <f>'[01_Entry.xlsx]Book'!F1348</f>
        <v/>
      </c>
      <c r="L1348" s="3">
        <f>'[01_Entry.xlsx]Book'!G1348</f>
        <v/>
      </c>
      <c r="M1348" s="3">
        <f>'[01_Entry.xlsx]Book'!I1348</f>
        <v/>
      </c>
      <c r="N1348" s="2">
        <f>IF($A1348="","",MID($A1348,6,2))</f>
        <v>0</v>
      </c>
      <c r="O1348" s="2">
        <f>IF(OR($C1348="",$C1348&lt;&gt;'Inv'!$D$12),"",N(O$1347)+1)</f>
        <v>0</v>
      </c>
    </row>
    <row r="1349" spans="1:15">
      <c r="A1349" s="2">
        <f>'[01_Entry.xlsx]Book'!A1349</f>
        <v/>
      </c>
      <c r="B1349" s="2">
        <f>'[01_Entry.xlsx]Book'!B1349</f>
        <v/>
      </c>
      <c r="C1349" s="2">
        <f>'[01_Entry.xlsx]Book'!D1349</f>
        <v/>
      </c>
      <c r="D1349" s="2">
        <f>'[01_Entry.xlsx]Book'!E1349</f>
        <v/>
      </c>
      <c r="E1349" s="2">
        <f>'[01_Entry.xlsx]Book'!O1349</f>
        <v/>
      </c>
      <c r="F1349" s="2">
        <f>'[01_Entry.xlsx]Book'!N1349</f>
        <v/>
      </c>
      <c r="G1349" s="3">
        <f>'[01_Entry.xlsx]Book'!L1349</f>
        <v/>
      </c>
      <c r="H1349" s="3">
        <f>'[01_Entry.xlsx]Book'!M1349</f>
        <v/>
      </c>
      <c r="I1349" s="3">
        <f>'[01_Entry.xlsx]Book'!K1349</f>
        <v/>
      </c>
      <c r="J1349" s="3">
        <f>'[01_Entry.xlsx]Book'!P1349</f>
        <v/>
      </c>
      <c r="K1349" s="3">
        <f>'[01_Entry.xlsx]Book'!F1349</f>
        <v/>
      </c>
      <c r="L1349" s="3">
        <f>'[01_Entry.xlsx]Book'!G1349</f>
        <v/>
      </c>
      <c r="M1349" s="3">
        <f>'[01_Entry.xlsx]Book'!I1349</f>
        <v/>
      </c>
      <c r="N1349" s="2">
        <f>IF($A1349="","",MID($A1349,6,2))</f>
        <v>0</v>
      </c>
      <c r="O1349" s="2">
        <f>IF(OR($C1349="",$C1349&lt;&gt;'Inv'!$D$12),"",N(O$1348)+1)</f>
        <v>0</v>
      </c>
    </row>
    <row r="1350" spans="1:15">
      <c r="A1350" s="2">
        <f>'[01_Entry.xlsx]Book'!A1350</f>
        <v/>
      </c>
      <c r="B1350" s="2">
        <f>'[01_Entry.xlsx]Book'!B1350</f>
        <v/>
      </c>
      <c r="C1350" s="2">
        <f>'[01_Entry.xlsx]Book'!D1350</f>
        <v/>
      </c>
      <c r="D1350" s="2">
        <f>'[01_Entry.xlsx]Book'!E1350</f>
        <v/>
      </c>
      <c r="E1350" s="2">
        <f>'[01_Entry.xlsx]Book'!O1350</f>
        <v/>
      </c>
      <c r="F1350" s="2">
        <f>'[01_Entry.xlsx]Book'!N1350</f>
        <v/>
      </c>
      <c r="G1350" s="3">
        <f>'[01_Entry.xlsx]Book'!L1350</f>
        <v/>
      </c>
      <c r="H1350" s="3">
        <f>'[01_Entry.xlsx]Book'!M1350</f>
        <v/>
      </c>
      <c r="I1350" s="3">
        <f>'[01_Entry.xlsx]Book'!K1350</f>
        <v/>
      </c>
      <c r="J1350" s="3">
        <f>'[01_Entry.xlsx]Book'!P1350</f>
        <v/>
      </c>
      <c r="K1350" s="3">
        <f>'[01_Entry.xlsx]Book'!F1350</f>
        <v/>
      </c>
      <c r="L1350" s="3">
        <f>'[01_Entry.xlsx]Book'!G1350</f>
        <v/>
      </c>
      <c r="M1350" s="3">
        <f>'[01_Entry.xlsx]Book'!I1350</f>
        <v/>
      </c>
      <c r="N1350" s="2">
        <f>IF($A1350="","",MID($A1350,6,2))</f>
        <v>0</v>
      </c>
      <c r="O1350" s="2">
        <f>IF(OR($C1350="",$C1350&lt;&gt;'Inv'!$D$12),"",N(O$1349)+1)</f>
        <v>0</v>
      </c>
    </row>
    <row r="1351" spans="1:15">
      <c r="A1351" s="2">
        <f>'[01_Entry.xlsx]Book'!A1351</f>
        <v/>
      </c>
      <c r="B1351" s="2">
        <f>'[01_Entry.xlsx]Book'!B1351</f>
        <v/>
      </c>
      <c r="C1351" s="2">
        <f>'[01_Entry.xlsx]Book'!D1351</f>
        <v/>
      </c>
      <c r="D1351" s="2">
        <f>'[01_Entry.xlsx]Book'!E1351</f>
        <v/>
      </c>
      <c r="E1351" s="2">
        <f>'[01_Entry.xlsx]Book'!O1351</f>
        <v/>
      </c>
      <c r="F1351" s="2">
        <f>'[01_Entry.xlsx]Book'!N1351</f>
        <v/>
      </c>
      <c r="G1351" s="3">
        <f>'[01_Entry.xlsx]Book'!L1351</f>
        <v/>
      </c>
      <c r="H1351" s="3">
        <f>'[01_Entry.xlsx]Book'!M1351</f>
        <v/>
      </c>
      <c r="I1351" s="3">
        <f>'[01_Entry.xlsx]Book'!K1351</f>
        <v/>
      </c>
      <c r="J1351" s="3">
        <f>'[01_Entry.xlsx]Book'!P1351</f>
        <v/>
      </c>
      <c r="K1351" s="3">
        <f>'[01_Entry.xlsx]Book'!F1351</f>
        <v/>
      </c>
      <c r="L1351" s="3">
        <f>'[01_Entry.xlsx]Book'!G1351</f>
        <v/>
      </c>
      <c r="M1351" s="3">
        <f>'[01_Entry.xlsx]Book'!I1351</f>
        <v/>
      </c>
      <c r="N1351" s="2">
        <f>IF($A1351="","",MID($A1351,6,2))</f>
        <v>0</v>
      </c>
      <c r="O1351" s="2">
        <f>IF(OR($C1351="",$C1351&lt;&gt;'Inv'!$D$12),"",N(O$1350)+1)</f>
        <v>0</v>
      </c>
    </row>
    <row r="1352" spans="1:15">
      <c r="A1352" s="2">
        <f>'[01_Entry.xlsx]Book'!A1352</f>
        <v/>
      </c>
      <c r="B1352" s="2">
        <f>'[01_Entry.xlsx]Book'!B1352</f>
        <v/>
      </c>
      <c r="C1352" s="2">
        <f>'[01_Entry.xlsx]Book'!D1352</f>
        <v/>
      </c>
      <c r="D1352" s="2">
        <f>'[01_Entry.xlsx]Book'!E1352</f>
        <v/>
      </c>
      <c r="E1352" s="2">
        <f>'[01_Entry.xlsx]Book'!O1352</f>
        <v/>
      </c>
      <c r="F1352" s="2">
        <f>'[01_Entry.xlsx]Book'!N1352</f>
        <v/>
      </c>
      <c r="G1352" s="3">
        <f>'[01_Entry.xlsx]Book'!L1352</f>
        <v/>
      </c>
      <c r="H1352" s="3">
        <f>'[01_Entry.xlsx]Book'!M1352</f>
        <v/>
      </c>
      <c r="I1352" s="3">
        <f>'[01_Entry.xlsx]Book'!K1352</f>
        <v/>
      </c>
      <c r="J1352" s="3">
        <f>'[01_Entry.xlsx]Book'!P1352</f>
        <v/>
      </c>
      <c r="K1352" s="3">
        <f>'[01_Entry.xlsx]Book'!F1352</f>
        <v/>
      </c>
      <c r="L1352" s="3">
        <f>'[01_Entry.xlsx]Book'!G1352</f>
        <v/>
      </c>
      <c r="M1352" s="3">
        <f>'[01_Entry.xlsx]Book'!I1352</f>
        <v/>
      </c>
      <c r="N1352" s="2">
        <f>IF($A1352="","",MID($A1352,6,2))</f>
        <v>0</v>
      </c>
      <c r="O1352" s="2">
        <f>IF(OR($C1352="",$C1352&lt;&gt;'Inv'!$D$12),"",N(O$1351)+1)</f>
        <v>0</v>
      </c>
    </row>
    <row r="1353" spans="1:15">
      <c r="A1353" s="2">
        <f>'[01_Entry.xlsx]Book'!A1353</f>
        <v/>
      </c>
      <c r="B1353" s="2">
        <f>'[01_Entry.xlsx]Book'!B1353</f>
        <v/>
      </c>
      <c r="C1353" s="2">
        <f>'[01_Entry.xlsx]Book'!D1353</f>
        <v/>
      </c>
      <c r="D1353" s="2">
        <f>'[01_Entry.xlsx]Book'!E1353</f>
        <v/>
      </c>
      <c r="E1353" s="2">
        <f>'[01_Entry.xlsx]Book'!O1353</f>
        <v/>
      </c>
      <c r="F1353" s="2">
        <f>'[01_Entry.xlsx]Book'!N1353</f>
        <v/>
      </c>
      <c r="G1353" s="3">
        <f>'[01_Entry.xlsx]Book'!L1353</f>
        <v/>
      </c>
      <c r="H1353" s="3">
        <f>'[01_Entry.xlsx]Book'!M1353</f>
        <v/>
      </c>
      <c r="I1353" s="3">
        <f>'[01_Entry.xlsx]Book'!K1353</f>
        <v/>
      </c>
      <c r="J1353" s="3">
        <f>'[01_Entry.xlsx]Book'!P1353</f>
        <v/>
      </c>
      <c r="K1353" s="3">
        <f>'[01_Entry.xlsx]Book'!F1353</f>
        <v/>
      </c>
      <c r="L1353" s="3">
        <f>'[01_Entry.xlsx]Book'!G1353</f>
        <v/>
      </c>
      <c r="M1353" s="3">
        <f>'[01_Entry.xlsx]Book'!I1353</f>
        <v/>
      </c>
      <c r="N1353" s="2">
        <f>IF($A1353="","",MID($A1353,6,2))</f>
        <v>0</v>
      </c>
      <c r="O1353" s="2">
        <f>IF(OR($C1353="",$C1353&lt;&gt;'Inv'!$D$12),"",N(O$1352)+1)</f>
        <v>0</v>
      </c>
    </row>
    <row r="1354" spans="1:15">
      <c r="A1354" s="2">
        <f>'[01_Entry.xlsx]Book'!A1354</f>
        <v/>
      </c>
      <c r="B1354" s="2">
        <f>'[01_Entry.xlsx]Book'!B1354</f>
        <v/>
      </c>
      <c r="C1354" s="2">
        <f>'[01_Entry.xlsx]Book'!D1354</f>
        <v/>
      </c>
      <c r="D1354" s="2">
        <f>'[01_Entry.xlsx]Book'!E1354</f>
        <v/>
      </c>
      <c r="E1354" s="2">
        <f>'[01_Entry.xlsx]Book'!O1354</f>
        <v/>
      </c>
      <c r="F1354" s="2">
        <f>'[01_Entry.xlsx]Book'!N1354</f>
        <v/>
      </c>
      <c r="G1354" s="3">
        <f>'[01_Entry.xlsx]Book'!L1354</f>
        <v/>
      </c>
      <c r="H1354" s="3">
        <f>'[01_Entry.xlsx]Book'!M1354</f>
        <v/>
      </c>
      <c r="I1354" s="3">
        <f>'[01_Entry.xlsx]Book'!K1354</f>
        <v/>
      </c>
      <c r="J1354" s="3">
        <f>'[01_Entry.xlsx]Book'!P1354</f>
        <v/>
      </c>
      <c r="K1354" s="3">
        <f>'[01_Entry.xlsx]Book'!F1354</f>
        <v/>
      </c>
      <c r="L1354" s="3">
        <f>'[01_Entry.xlsx]Book'!G1354</f>
        <v/>
      </c>
      <c r="M1354" s="3">
        <f>'[01_Entry.xlsx]Book'!I1354</f>
        <v/>
      </c>
      <c r="N1354" s="2">
        <f>IF($A1354="","",MID($A1354,6,2))</f>
        <v>0</v>
      </c>
      <c r="O1354" s="2">
        <f>IF(OR($C1354="",$C1354&lt;&gt;'Inv'!$D$12),"",N(O$1353)+1)</f>
        <v>0</v>
      </c>
    </row>
    <row r="1355" spans="1:15">
      <c r="A1355" s="2">
        <f>'[01_Entry.xlsx]Book'!A1355</f>
        <v/>
      </c>
      <c r="B1355" s="2">
        <f>'[01_Entry.xlsx]Book'!B1355</f>
        <v/>
      </c>
      <c r="C1355" s="2">
        <f>'[01_Entry.xlsx]Book'!D1355</f>
        <v/>
      </c>
      <c r="D1355" s="2">
        <f>'[01_Entry.xlsx]Book'!E1355</f>
        <v/>
      </c>
      <c r="E1355" s="2">
        <f>'[01_Entry.xlsx]Book'!O1355</f>
        <v/>
      </c>
      <c r="F1355" s="2">
        <f>'[01_Entry.xlsx]Book'!N1355</f>
        <v/>
      </c>
      <c r="G1355" s="3">
        <f>'[01_Entry.xlsx]Book'!L1355</f>
        <v/>
      </c>
      <c r="H1355" s="3">
        <f>'[01_Entry.xlsx]Book'!M1355</f>
        <v/>
      </c>
      <c r="I1355" s="3">
        <f>'[01_Entry.xlsx]Book'!K1355</f>
        <v/>
      </c>
      <c r="J1355" s="3">
        <f>'[01_Entry.xlsx]Book'!P1355</f>
        <v/>
      </c>
      <c r="K1355" s="3">
        <f>'[01_Entry.xlsx]Book'!F1355</f>
        <v/>
      </c>
      <c r="L1355" s="3">
        <f>'[01_Entry.xlsx]Book'!G1355</f>
        <v/>
      </c>
      <c r="M1355" s="3">
        <f>'[01_Entry.xlsx]Book'!I1355</f>
        <v/>
      </c>
      <c r="N1355" s="2">
        <f>IF($A1355="","",MID($A1355,6,2))</f>
        <v>0</v>
      </c>
      <c r="O1355" s="2">
        <f>IF(OR($C1355="",$C1355&lt;&gt;'Inv'!$D$12),"",N(O$1354)+1)</f>
        <v>0</v>
      </c>
    </row>
    <row r="1356" spans="1:15">
      <c r="A1356" s="2">
        <f>'[01_Entry.xlsx]Book'!A1356</f>
        <v/>
      </c>
      <c r="B1356" s="2">
        <f>'[01_Entry.xlsx]Book'!B1356</f>
        <v/>
      </c>
      <c r="C1356" s="2">
        <f>'[01_Entry.xlsx]Book'!D1356</f>
        <v/>
      </c>
      <c r="D1356" s="2">
        <f>'[01_Entry.xlsx]Book'!E1356</f>
        <v/>
      </c>
      <c r="E1356" s="2">
        <f>'[01_Entry.xlsx]Book'!O1356</f>
        <v/>
      </c>
      <c r="F1356" s="2">
        <f>'[01_Entry.xlsx]Book'!N1356</f>
        <v/>
      </c>
      <c r="G1356" s="3">
        <f>'[01_Entry.xlsx]Book'!L1356</f>
        <v/>
      </c>
      <c r="H1356" s="3">
        <f>'[01_Entry.xlsx]Book'!M1356</f>
        <v/>
      </c>
      <c r="I1356" s="3">
        <f>'[01_Entry.xlsx]Book'!K1356</f>
        <v/>
      </c>
      <c r="J1356" s="3">
        <f>'[01_Entry.xlsx]Book'!P1356</f>
        <v/>
      </c>
      <c r="K1356" s="3">
        <f>'[01_Entry.xlsx]Book'!F1356</f>
        <v/>
      </c>
      <c r="L1356" s="3">
        <f>'[01_Entry.xlsx]Book'!G1356</f>
        <v/>
      </c>
      <c r="M1356" s="3">
        <f>'[01_Entry.xlsx]Book'!I1356</f>
        <v/>
      </c>
      <c r="N1356" s="2">
        <f>IF($A1356="","",MID($A1356,6,2))</f>
        <v>0</v>
      </c>
      <c r="O1356" s="2">
        <f>IF(OR($C1356="",$C1356&lt;&gt;'Inv'!$D$12),"",N(O$1355)+1)</f>
        <v>0</v>
      </c>
    </row>
    <row r="1357" spans="1:15">
      <c r="A1357" s="2">
        <f>'[01_Entry.xlsx]Book'!A1357</f>
        <v/>
      </c>
      <c r="B1357" s="2">
        <f>'[01_Entry.xlsx]Book'!B1357</f>
        <v/>
      </c>
      <c r="C1357" s="2">
        <f>'[01_Entry.xlsx]Book'!D1357</f>
        <v/>
      </c>
      <c r="D1357" s="2">
        <f>'[01_Entry.xlsx]Book'!E1357</f>
        <v/>
      </c>
      <c r="E1357" s="2">
        <f>'[01_Entry.xlsx]Book'!O1357</f>
        <v/>
      </c>
      <c r="F1357" s="2">
        <f>'[01_Entry.xlsx]Book'!N1357</f>
        <v/>
      </c>
      <c r="G1357" s="3">
        <f>'[01_Entry.xlsx]Book'!L1357</f>
        <v/>
      </c>
      <c r="H1357" s="3">
        <f>'[01_Entry.xlsx]Book'!M1357</f>
        <v/>
      </c>
      <c r="I1357" s="3">
        <f>'[01_Entry.xlsx]Book'!K1357</f>
        <v/>
      </c>
      <c r="J1357" s="3">
        <f>'[01_Entry.xlsx]Book'!P1357</f>
        <v/>
      </c>
      <c r="K1357" s="3">
        <f>'[01_Entry.xlsx]Book'!F1357</f>
        <v/>
      </c>
      <c r="L1357" s="3">
        <f>'[01_Entry.xlsx]Book'!G1357</f>
        <v/>
      </c>
      <c r="M1357" s="3">
        <f>'[01_Entry.xlsx]Book'!I1357</f>
        <v/>
      </c>
      <c r="N1357" s="2">
        <f>IF($A1357="","",MID($A1357,6,2))</f>
        <v>0</v>
      </c>
      <c r="O1357" s="2">
        <f>IF(OR($C1357="",$C1357&lt;&gt;'Inv'!$D$12),"",N(O$1356)+1)</f>
        <v>0</v>
      </c>
    </row>
    <row r="1358" spans="1:15">
      <c r="A1358" s="2">
        <f>'[01_Entry.xlsx]Book'!A1358</f>
        <v/>
      </c>
      <c r="B1358" s="2">
        <f>'[01_Entry.xlsx]Book'!B1358</f>
        <v/>
      </c>
      <c r="C1358" s="2">
        <f>'[01_Entry.xlsx]Book'!D1358</f>
        <v/>
      </c>
      <c r="D1358" s="2">
        <f>'[01_Entry.xlsx]Book'!E1358</f>
        <v/>
      </c>
      <c r="E1358" s="2">
        <f>'[01_Entry.xlsx]Book'!O1358</f>
        <v/>
      </c>
      <c r="F1358" s="2">
        <f>'[01_Entry.xlsx]Book'!N1358</f>
        <v/>
      </c>
      <c r="G1358" s="3">
        <f>'[01_Entry.xlsx]Book'!L1358</f>
        <v/>
      </c>
      <c r="H1358" s="3">
        <f>'[01_Entry.xlsx]Book'!M1358</f>
        <v/>
      </c>
      <c r="I1358" s="3">
        <f>'[01_Entry.xlsx]Book'!K1358</f>
        <v/>
      </c>
      <c r="J1358" s="3">
        <f>'[01_Entry.xlsx]Book'!P1358</f>
        <v/>
      </c>
      <c r="K1358" s="3">
        <f>'[01_Entry.xlsx]Book'!F1358</f>
        <v/>
      </c>
      <c r="L1358" s="3">
        <f>'[01_Entry.xlsx]Book'!G1358</f>
        <v/>
      </c>
      <c r="M1358" s="3">
        <f>'[01_Entry.xlsx]Book'!I1358</f>
        <v/>
      </c>
      <c r="N1358" s="2">
        <f>IF($A1358="","",MID($A1358,6,2))</f>
        <v>0</v>
      </c>
      <c r="O1358" s="2">
        <f>IF(OR($C1358="",$C1358&lt;&gt;'Inv'!$D$12),"",N(O$1357)+1)</f>
        <v>0</v>
      </c>
    </row>
    <row r="1359" spans="1:15">
      <c r="A1359" s="2">
        <f>'[01_Entry.xlsx]Book'!A1359</f>
        <v/>
      </c>
      <c r="B1359" s="2">
        <f>'[01_Entry.xlsx]Book'!B1359</f>
        <v/>
      </c>
      <c r="C1359" s="2">
        <f>'[01_Entry.xlsx]Book'!D1359</f>
        <v/>
      </c>
      <c r="D1359" s="2">
        <f>'[01_Entry.xlsx]Book'!E1359</f>
        <v/>
      </c>
      <c r="E1359" s="2">
        <f>'[01_Entry.xlsx]Book'!O1359</f>
        <v/>
      </c>
      <c r="F1359" s="2">
        <f>'[01_Entry.xlsx]Book'!N1359</f>
        <v/>
      </c>
      <c r="G1359" s="3">
        <f>'[01_Entry.xlsx]Book'!L1359</f>
        <v/>
      </c>
      <c r="H1359" s="3">
        <f>'[01_Entry.xlsx]Book'!M1359</f>
        <v/>
      </c>
      <c r="I1359" s="3">
        <f>'[01_Entry.xlsx]Book'!K1359</f>
        <v/>
      </c>
      <c r="J1359" s="3">
        <f>'[01_Entry.xlsx]Book'!P1359</f>
        <v/>
      </c>
      <c r="K1359" s="3">
        <f>'[01_Entry.xlsx]Book'!F1359</f>
        <v/>
      </c>
      <c r="L1359" s="3">
        <f>'[01_Entry.xlsx]Book'!G1359</f>
        <v/>
      </c>
      <c r="M1359" s="3">
        <f>'[01_Entry.xlsx]Book'!I1359</f>
        <v/>
      </c>
      <c r="N1359" s="2">
        <f>IF($A1359="","",MID($A1359,6,2))</f>
        <v>0</v>
      </c>
      <c r="O1359" s="2">
        <f>IF(OR($C1359="",$C1359&lt;&gt;'Inv'!$D$12),"",N(O$1358)+1)</f>
        <v>0</v>
      </c>
    </row>
    <row r="1360" spans="1:15">
      <c r="A1360" s="2">
        <f>'[01_Entry.xlsx]Book'!A1360</f>
        <v/>
      </c>
      <c r="B1360" s="2">
        <f>'[01_Entry.xlsx]Book'!B1360</f>
        <v/>
      </c>
      <c r="C1360" s="2">
        <f>'[01_Entry.xlsx]Book'!D1360</f>
        <v/>
      </c>
      <c r="D1360" s="2">
        <f>'[01_Entry.xlsx]Book'!E1360</f>
        <v/>
      </c>
      <c r="E1360" s="2">
        <f>'[01_Entry.xlsx]Book'!O1360</f>
        <v/>
      </c>
      <c r="F1360" s="2">
        <f>'[01_Entry.xlsx]Book'!N1360</f>
        <v/>
      </c>
      <c r="G1360" s="3">
        <f>'[01_Entry.xlsx]Book'!L1360</f>
        <v/>
      </c>
      <c r="H1360" s="3">
        <f>'[01_Entry.xlsx]Book'!M1360</f>
        <v/>
      </c>
      <c r="I1360" s="3">
        <f>'[01_Entry.xlsx]Book'!K1360</f>
        <v/>
      </c>
      <c r="J1360" s="3">
        <f>'[01_Entry.xlsx]Book'!P1360</f>
        <v/>
      </c>
      <c r="K1360" s="3">
        <f>'[01_Entry.xlsx]Book'!F1360</f>
        <v/>
      </c>
      <c r="L1360" s="3">
        <f>'[01_Entry.xlsx]Book'!G1360</f>
        <v/>
      </c>
      <c r="M1360" s="3">
        <f>'[01_Entry.xlsx]Book'!I1360</f>
        <v/>
      </c>
      <c r="N1360" s="2">
        <f>IF($A1360="","",MID($A1360,6,2))</f>
        <v>0</v>
      </c>
      <c r="O1360" s="2">
        <f>IF(OR($C1360="",$C1360&lt;&gt;'Inv'!$D$12),"",N(O$1359)+1)</f>
        <v>0</v>
      </c>
    </row>
    <row r="1361" spans="1:15">
      <c r="A1361" s="2">
        <f>'[01_Entry.xlsx]Book'!A1361</f>
        <v/>
      </c>
      <c r="B1361" s="2">
        <f>'[01_Entry.xlsx]Book'!B1361</f>
        <v/>
      </c>
      <c r="C1361" s="2">
        <f>'[01_Entry.xlsx]Book'!D1361</f>
        <v/>
      </c>
      <c r="D1361" s="2">
        <f>'[01_Entry.xlsx]Book'!E1361</f>
        <v/>
      </c>
      <c r="E1361" s="2">
        <f>'[01_Entry.xlsx]Book'!O1361</f>
        <v/>
      </c>
      <c r="F1361" s="2">
        <f>'[01_Entry.xlsx]Book'!N1361</f>
        <v/>
      </c>
      <c r="G1361" s="3">
        <f>'[01_Entry.xlsx]Book'!L1361</f>
        <v/>
      </c>
      <c r="H1361" s="3">
        <f>'[01_Entry.xlsx]Book'!M1361</f>
        <v/>
      </c>
      <c r="I1361" s="3">
        <f>'[01_Entry.xlsx]Book'!K1361</f>
        <v/>
      </c>
      <c r="J1361" s="3">
        <f>'[01_Entry.xlsx]Book'!P1361</f>
        <v/>
      </c>
      <c r="K1361" s="3">
        <f>'[01_Entry.xlsx]Book'!F1361</f>
        <v/>
      </c>
      <c r="L1361" s="3">
        <f>'[01_Entry.xlsx]Book'!G1361</f>
        <v/>
      </c>
      <c r="M1361" s="3">
        <f>'[01_Entry.xlsx]Book'!I1361</f>
        <v/>
      </c>
      <c r="N1361" s="2">
        <f>IF($A1361="","",MID($A1361,6,2))</f>
        <v>0</v>
      </c>
      <c r="O1361" s="2">
        <f>IF(OR($C1361="",$C1361&lt;&gt;'Inv'!$D$12),"",N(O$1360)+1)</f>
        <v>0</v>
      </c>
    </row>
    <row r="1362" spans="1:15">
      <c r="A1362" s="2">
        <f>'[01_Entry.xlsx]Book'!A1362</f>
        <v/>
      </c>
      <c r="B1362" s="2">
        <f>'[01_Entry.xlsx]Book'!B1362</f>
        <v/>
      </c>
      <c r="C1362" s="2">
        <f>'[01_Entry.xlsx]Book'!D1362</f>
        <v/>
      </c>
      <c r="D1362" s="2">
        <f>'[01_Entry.xlsx]Book'!E1362</f>
        <v/>
      </c>
      <c r="E1362" s="2">
        <f>'[01_Entry.xlsx]Book'!O1362</f>
        <v/>
      </c>
      <c r="F1362" s="2">
        <f>'[01_Entry.xlsx]Book'!N1362</f>
        <v/>
      </c>
      <c r="G1362" s="3">
        <f>'[01_Entry.xlsx]Book'!L1362</f>
        <v/>
      </c>
      <c r="H1362" s="3">
        <f>'[01_Entry.xlsx]Book'!M1362</f>
        <v/>
      </c>
      <c r="I1362" s="3">
        <f>'[01_Entry.xlsx]Book'!K1362</f>
        <v/>
      </c>
      <c r="J1362" s="3">
        <f>'[01_Entry.xlsx]Book'!P1362</f>
        <v/>
      </c>
      <c r="K1362" s="3">
        <f>'[01_Entry.xlsx]Book'!F1362</f>
        <v/>
      </c>
      <c r="L1362" s="3">
        <f>'[01_Entry.xlsx]Book'!G1362</f>
        <v/>
      </c>
      <c r="M1362" s="3">
        <f>'[01_Entry.xlsx]Book'!I1362</f>
        <v/>
      </c>
      <c r="N1362" s="2">
        <f>IF($A1362="","",MID($A1362,6,2))</f>
        <v>0</v>
      </c>
      <c r="O1362" s="2">
        <f>IF(OR($C1362="",$C1362&lt;&gt;'Inv'!$D$12),"",N(O$1361)+1)</f>
        <v>0</v>
      </c>
    </row>
    <row r="1363" spans="1:15">
      <c r="A1363" s="2">
        <f>'[01_Entry.xlsx]Book'!A1363</f>
        <v/>
      </c>
      <c r="B1363" s="2">
        <f>'[01_Entry.xlsx]Book'!B1363</f>
        <v/>
      </c>
      <c r="C1363" s="2">
        <f>'[01_Entry.xlsx]Book'!D1363</f>
        <v/>
      </c>
      <c r="D1363" s="2">
        <f>'[01_Entry.xlsx]Book'!E1363</f>
        <v/>
      </c>
      <c r="E1363" s="2">
        <f>'[01_Entry.xlsx]Book'!O1363</f>
        <v/>
      </c>
      <c r="F1363" s="2">
        <f>'[01_Entry.xlsx]Book'!N1363</f>
        <v/>
      </c>
      <c r="G1363" s="3">
        <f>'[01_Entry.xlsx]Book'!L1363</f>
        <v/>
      </c>
      <c r="H1363" s="3">
        <f>'[01_Entry.xlsx]Book'!M1363</f>
        <v/>
      </c>
      <c r="I1363" s="3">
        <f>'[01_Entry.xlsx]Book'!K1363</f>
        <v/>
      </c>
      <c r="J1363" s="3">
        <f>'[01_Entry.xlsx]Book'!P1363</f>
        <v/>
      </c>
      <c r="K1363" s="3">
        <f>'[01_Entry.xlsx]Book'!F1363</f>
        <v/>
      </c>
      <c r="L1363" s="3">
        <f>'[01_Entry.xlsx]Book'!G1363</f>
        <v/>
      </c>
      <c r="M1363" s="3">
        <f>'[01_Entry.xlsx]Book'!I1363</f>
        <v/>
      </c>
      <c r="N1363" s="2">
        <f>IF($A1363="","",MID($A1363,6,2))</f>
        <v>0</v>
      </c>
      <c r="O1363" s="2">
        <f>IF(OR($C1363="",$C1363&lt;&gt;'Inv'!$D$12),"",N(O$1362)+1)</f>
        <v>0</v>
      </c>
    </row>
    <row r="1364" spans="1:15">
      <c r="A1364" s="2">
        <f>'[01_Entry.xlsx]Book'!A1364</f>
        <v/>
      </c>
      <c r="B1364" s="2">
        <f>'[01_Entry.xlsx]Book'!B1364</f>
        <v/>
      </c>
      <c r="C1364" s="2">
        <f>'[01_Entry.xlsx]Book'!D1364</f>
        <v/>
      </c>
      <c r="D1364" s="2">
        <f>'[01_Entry.xlsx]Book'!E1364</f>
        <v/>
      </c>
      <c r="E1364" s="2">
        <f>'[01_Entry.xlsx]Book'!O1364</f>
        <v/>
      </c>
      <c r="F1364" s="2">
        <f>'[01_Entry.xlsx]Book'!N1364</f>
        <v/>
      </c>
      <c r="G1364" s="3">
        <f>'[01_Entry.xlsx]Book'!L1364</f>
        <v/>
      </c>
      <c r="H1364" s="3">
        <f>'[01_Entry.xlsx]Book'!M1364</f>
        <v/>
      </c>
      <c r="I1364" s="3">
        <f>'[01_Entry.xlsx]Book'!K1364</f>
        <v/>
      </c>
      <c r="J1364" s="3">
        <f>'[01_Entry.xlsx]Book'!P1364</f>
        <v/>
      </c>
      <c r="K1364" s="3">
        <f>'[01_Entry.xlsx]Book'!F1364</f>
        <v/>
      </c>
      <c r="L1364" s="3">
        <f>'[01_Entry.xlsx]Book'!G1364</f>
        <v/>
      </c>
      <c r="M1364" s="3">
        <f>'[01_Entry.xlsx]Book'!I1364</f>
        <v/>
      </c>
      <c r="N1364" s="2">
        <f>IF($A1364="","",MID($A1364,6,2))</f>
        <v>0</v>
      </c>
      <c r="O1364" s="2">
        <f>IF(OR($C1364="",$C1364&lt;&gt;'Inv'!$D$12),"",N(O$1363)+1)</f>
        <v>0</v>
      </c>
    </row>
    <row r="1365" spans="1:15">
      <c r="A1365" s="2">
        <f>'[01_Entry.xlsx]Book'!A1365</f>
        <v/>
      </c>
      <c r="B1365" s="2">
        <f>'[01_Entry.xlsx]Book'!B1365</f>
        <v/>
      </c>
      <c r="C1365" s="2">
        <f>'[01_Entry.xlsx]Book'!D1365</f>
        <v/>
      </c>
      <c r="D1365" s="2">
        <f>'[01_Entry.xlsx]Book'!E1365</f>
        <v/>
      </c>
      <c r="E1365" s="2">
        <f>'[01_Entry.xlsx]Book'!O1365</f>
        <v/>
      </c>
      <c r="F1365" s="2">
        <f>'[01_Entry.xlsx]Book'!N1365</f>
        <v/>
      </c>
      <c r="G1365" s="3">
        <f>'[01_Entry.xlsx]Book'!L1365</f>
        <v/>
      </c>
      <c r="H1365" s="3">
        <f>'[01_Entry.xlsx]Book'!M1365</f>
        <v/>
      </c>
      <c r="I1365" s="3">
        <f>'[01_Entry.xlsx]Book'!K1365</f>
        <v/>
      </c>
      <c r="J1365" s="3">
        <f>'[01_Entry.xlsx]Book'!P1365</f>
        <v/>
      </c>
      <c r="K1365" s="3">
        <f>'[01_Entry.xlsx]Book'!F1365</f>
        <v/>
      </c>
      <c r="L1365" s="3">
        <f>'[01_Entry.xlsx]Book'!G1365</f>
        <v/>
      </c>
      <c r="M1365" s="3">
        <f>'[01_Entry.xlsx]Book'!I1365</f>
        <v/>
      </c>
      <c r="N1365" s="2">
        <f>IF($A1365="","",MID($A1365,6,2))</f>
        <v>0</v>
      </c>
      <c r="O1365" s="2">
        <f>IF(OR($C1365="",$C1365&lt;&gt;'Inv'!$D$12),"",N(O$1364)+1)</f>
        <v>0</v>
      </c>
    </row>
    <row r="1366" spans="1:15">
      <c r="A1366" s="2">
        <f>'[01_Entry.xlsx]Book'!A1366</f>
        <v/>
      </c>
      <c r="B1366" s="2">
        <f>'[01_Entry.xlsx]Book'!B1366</f>
        <v/>
      </c>
      <c r="C1366" s="2">
        <f>'[01_Entry.xlsx]Book'!D1366</f>
        <v/>
      </c>
      <c r="D1366" s="2">
        <f>'[01_Entry.xlsx]Book'!E1366</f>
        <v/>
      </c>
      <c r="E1366" s="2">
        <f>'[01_Entry.xlsx]Book'!O1366</f>
        <v/>
      </c>
      <c r="F1366" s="2">
        <f>'[01_Entry.xlsx]Book'!N1366</f>
        <v/>
      </c>
      <c r="G1366" s="3">
        <f>'[01_Entry.xlsx]Book'!L1366</f>
        <v/>
      </c>
      <c r="H1366" s="3">
        <f>'[01_Entry.xlsx]Book'!M1366</f>
        <v/>
      </c>
      <c r="I1366" s="3">
        <f>'[01_Entry.xlsx]Book'!K1366</f>
        <v/>
      </c>
      <c r="J1366" s="3">
        <f>'[01_Entry.xlsx]Book'!P1366</f>
        <v/>
      </c>
      <c r="K1366" s="3">
        <f>'[01_Entry.xlsx]Book'!F1366</f>
        <v/>
      </c>
      <c r="L1366" s="3">
        <f>'[01_Entry.xlsx]Book'!G1366</f>
        <v/>
      </c>
      <c r="M1366" s="3">
        <f>'[01_Entry.xlsx]Book'!I1366</f>
        <v/>
      </c>
      <c r="N1366" s="2">
        <f>IF($A1366="","",MID($A1366,6,2))</f>
        <v>0</v>
      </c>
      <c r="O1366" s="2">
        <f>IF(OR($C1366="",$C1366&lt;&gt;'Inv'!$D$12),"",N(O$1365)+1)</f>
        <v>0</v>
      </c>
    </row>
    <row r="1367" spans="1:15">
      <c r="A1367" s="2">
        <f>'[01_Entry.xlsx]Book'!A1367</f>
        <v/>
      </c>
      <c r="B1367" s="2">
        <f>'[01_Entry.xlsx]Book'!B1367</f>
        <v/>
      </c>
      <c r="C1367" s="2">
        <f>'[01_Entry.xlsx]Book'!D1367</f>
        <v/>
      </c>
      <c r="D1367" s="2">
        <f>'[01_Entry.xlsx]Book'!E1367</f>
        <v/>
      </c>
      <c r="E1367" s="2">
        <f>'[01_Entry.xlsx]Book'!O1367</f>
        <v/>
      </c>
      <c r="F1367" s="2">
        <f>'[01_Entry.xlsx]Book'!N1367</f>
        <v/>
      </c>
      <c r="G1367" s="3">
        <f>'[01_Entry.xlsx]Book'!L1367</f>
        <v/>
      </c>
      <c r="H1367" s="3">
        <f>'[01_Entry.xlsx]Book'!M1367</f>
        <v/>
      </c>
      <c r="I1367" s="3">
        <f>'[01_Entry.xlsx]Book'!K1367</f>
        <v/>
      </c>
      <c r="J1367" s="3">
        <f>'[01_Entry.xlsx]Book'!P1367</f>
        <v/>
      </c>
      <c r="K1367" s="3">
        <f>'[01_Entry.xlsx]Book'!F1367</f>
        <v/>
      </c>
      <c r="L1367" s="3">
        <f>'[01_Entry.xlsx]Book'!G1367</f>
        <v/>
      </c>
      <c r="M1367" s="3">
        <f>'[01_Entry.xlsx]Book'!I1367</f>
        <v/>
      </c>
      <c r="N1367" s="2">
        <f>IF($A1367="","",MID($A1367,6,2))</f>
        <v>0</v>
      </c>
      <c r="O1367" s="2">
        <f>IF(OR($C1367="",$C1367&lt;&gt;'Inv'!$D$12),"",N(O$1366)+1)</f>
        <v>0</v>
      </c>
    </row>
    <row r="1368" spans="1:15">
      <c r="A1368" s="2">
        <f>'[01_Entry.xlsx]Book'!A1368</f>
        <v/>
      </c>
      <c r="B1368" s="2">
        <f>'[01_Entry.xlsx]Book'!B1368</f>
        <v/>
      </c>
      <c r="C1368" s="2">
        <f>'[01_Entry.xlsx]Book'!D1368</f>
        <v/>
      </c>
      <c r="D1368" s="2">
        <f>'[01_Entry.xlsx]Book'!E1368</f>
        <v/>
      </c>
      <c r="E1368" s="2">
        <f>'[01_Entry.xlsx]Book'!O1368</f>
        <v/>
      </c>
      <c r="F1368" s="2">
        <f>'[01_Entry.xlsx]Book'!N1368</f>
        <v/>
      </c>
      <c r="G1368" s="3">
        <f>'[01_Entry.xlsx]Book'!L1368</f>
        <v/>
      </c>
      <c r="H1368" s="3">
        <f>'[01_Entry.xlsx]Book'!M1368</f>
        <v/>
      </c>
      <c r="I1368" s="3">
        <f>'[01_Entry.xlsx]Book'!K1368</f>
        <v/>
      </c>
      <c r="J1368" s="3">
        <f>'[01_Entry.xlsx]Book'!P1368</f>
        <v/>
      </c>
      <c r="K1368" s="3">
        <f>'[01_Entry.xlsx]Book'!F1368</f>
        <v/>
      </c>
      <c r="L1368" s="3">
        <f>'[01_Entry.xlsx]Book'!G1368</f>
        <v/>
      </c>
      <c r="M1368" s="3">
        <f>'[01_Entry.xlsx]Book'!I1368</f>
        <v/>
      </c>
      <c r="N1368" s="2">
        <f>IF($A1368="","",MID($A1368,6,2))</f>
        <v>0</v>
      </c>
      <c r="O1368" s="2">
        <f>IF(OR($C1368="",$C1368&lt;&gt;'Inv'!$D$12),"",N(O$1367)+1)</f>
        <v>0</v>
      </c>
    </row>
    <row r="1369" spans="1:15">
      <c r="A1369" s="2">
        <f>'[01_Entry.xlsx]Book'!A1369</f>
        <v/>
      </c>
      <c r="B1369" s="2">
        <f>'[01_Entry.xlsx]Book'!B1369</f>
        <v/>
      </c>
      <c r="C1369" s="2">
        <f>'[01_Entry.xlsx]Book'!D1369</f>
        <v/>
      </c>
      <c r="D1369" s="2">
        <f>'[01_Entry.xlsx]Book'!E1369</f>
        <v/>
      </c>
      <c r="E1369" s="2">
        <f>'[01_Entry.xlsx]Book'!O1369</f>
        <v/>
      </c>
      <c r="F1369" s="2">
        <f>'[01_Entry.xlsx]Book'!N1369</f>
        <v/>
      </c>
      <c r="G1369" s="3">
        <f>'[01_Entry.xlsx]Book'!L1369</f>
        <v/>
      </c>
      <c r="H1369" s="3">
        <f>'[01_Entry.xlsx]Book'!M1369</f>
        <v/>
      </c>
      <c r="I1369" s="3">
        <f>'[01_Entry.xlsx]Book'!K1369</f>
        <v/>
      </c>
      <c r="J1369" s="3">
        <f>'[01_Entry.xlsx]Book'!P1369</f>
        <v/>
      </c>
      <c r="K1369" s="3">
        <f>'[01_Entry.xlsx]Book'!F1369</f>
        <v/>
      </c>
      <c r="L1369" s="3">
        <f>'[01_Entry.xlsx]Book'!G1369</f>
        <v/>
      </c>
      <c r="M1369" s="3">
        <f>'[01_Entry.xlsx]Book'!I1369</f>
        <v/>
      </c>
      <c r="N1369" s="2">
        <f>IF($A1369="","",MID($A1369,6,2))</f>
        <v>0</v>
      </c>
      <c r="O1369" s="2">
        <f>IF(OR($C1369="",$C1369&lt;&gt;'Inv'!$D$12),"",N(O$1368)+1)</f>
        <v>0</v>
      </c>
    </row>
    <row r="1370" spans="1:15">
      <c r="A1370" s="2">
        <f>'[01_Entry.xlsx]Book'!A1370</f>
        <v/>
      </c>
      <c r="B1370" s="2">
        <f>'[01_Entry.xlsx]Book'!B1370</f>
        <v/>
      </c>
      <c r="C1370" s="2">
        <f>'[01_Entry.xlsx]Book'!D1370</f>
        <v/>
      </c>
      <c r="D1370" s="2">
        <f>'[01_Entry.xlsx]Book'!E1370</f>
        <v/>
      </c>
      <c r="E1370" s="2">
        <f>'[01_Entry.xlsx]Book'!O1370</f>
        <v/>
      </c>
      <c r="F1370" s="2">
        <f>'[01_Entry.xlsx]Book'!N1370</f>
        <v/>
      </c>
      <c r="G1370" s="3">
        <f>'[01_Entry.xlsx]Book'!L1370</f>
        <v/>
      </c>
      <c r="H1370" s="3">
        <f>'[01_Entry.xlsx]Book'!M1370</f>
        <v/>
      </c>
      <c r="I1370" s="3">
        <f>'[01_Entry.xlsx]Book'!K1370</f>
        <v/>
      </c>
      <c r="J1370" s="3">
        <f>'[01_Entry.xlsx]Book'!P1370</f>
        <v/>
      </c>
      <c r="K1370" s="3">
        <f>'[01_Entry.xlsx]Book'!F1370</f>
        <v/>
      </c>
      <c r="L1370" s="3">
        <f>'[01_Entry.xlsx]Book'!G1370</f>
        <v/>
      </c>
      <c r="M1370" s="3">
        <f>'[01_Entry.xlsx]Book'!I1370</f>
        <v/>
      </c>
      <c r="N1370" s="2">
        <f>IF($A1370="","",MID($A1370,6,2))</f>
        <v>0</v>
      </c>
      <c r="O1370" s="2">
        <f>IF(OR($C1370="",$C1370&lt;&gt;'Inv'!$D$12),"",N(O$1369)+1)</f>
        <v>0</v>
      </c>
    </row>
    <row r="1371" spans="1:15">
      <c r="A1371" s="2">
        <f>'[01_Entry.xlsx]Book'!A1371</f>
        <v/>
      </c>
      <c r="B1371" s="2">
        <f>'[01_Entry.xlsx]Book'!B1371</f>
        <v/>
      </c>
      <c r="C1371" s="2">
        <f>'[01_Entry.xlsx]Book'!D1371</f>
        <v/>
      </c>
      <c r="D1371" s="2">
        <f>'[01_Entry.xlsx]Book'!E1371</f>
        <v/>
      </c>
      <c r="E1371" s="2">
        <f>'[01_Entry.xlsx]Book'!O1371</f>
        <v/>
      </c>
      <c r="F1371" s="2">
        <f>'[01_Entry.xlsx]Book'!N1371</f>
        <v/>
      </c>
      <c r="G1371" s="3">
        <f>'[01_Entry.xlsx]Book'!L1371</f>
        <v/>
      </c>
      <c r="H1371" s="3">
        <f>'[01_Entry.xlsx]Book'!M1371</f>
        <v/>
      </c>
      <c r="I1371" s="3">
        <f>'[01_Entry.xlsx]Book'!K1371</f>
        <v/>
      </c>
      <c r="J1371" s="3">
        <f>'[01_Entry.xlsx]Book'!P1371</f>
        <v/>
      </c>
      <c r="K1371" s="3">
        <f>'[01_Entry.xlsx]Book'!F1371</f>
        <v/>
      </c>
      <c r="L1371" s="3">
        <f>'[01_Entry.xlsx]Book'!G1371</f>
        <v/>
      </c>
      <c r="M1371" s="3">
        <f>'[01_Entry.xlsx]Book'!I1371</f>
        <v/>
      </c>
      <c r="N1371" s="2">
        <f>IF($A1371="","",MID($A1371,6,2))</f>
        <v>0</v>
      </c>
      <c r="O1371" s="2">
        <f>IF(OR($C1371="",$C1371&lt;&gt;'Inv'!$D$12),"",N(O$1370)+1)</f>
        <v>0</v>
      </c>
    </row>
    <row r="1372" spans="1:15">
      <c r="A1372" s="2">
        <f>'[01_Entry.xlsx]Book'!A1372</f>
        <v/>
      </c>
      <c r="B1372" s="2">
        <f>'[01_Entry.xlsx]Book'!B1372</f>
        <v/>
      </c>
      <c r="C1372" s="2">
        <f>'[01_Entry.xlsx]Book'!D1372</f>
        <v/>
      </c>
      <c r="D1372" s="2">
        <f>'[01_Entry.xlsx]Book'!E1372</f>
        <v/>
      </c>
      <c r="E1372" s="2">
        <f>'[01_Entry.xlsx]Book'!O1372</f>
        <v/>
      </c>
      <c r="F1372" s="2">
        <f>'[01_Entry.xlsx]Book'!N1372</f>
        <v/>
      </c>
      <c r="G1372" s="3">
        <f>'[01_Entry.xlsx]Book'!L1372</f>
        <v/>
      </c>
      <c r="H1372" s="3">
        <f>'[01_Entry.xlsx]Book'!M1372</f>
        <v/>
      </c>
      <c r="I1372" s="3">
        <f>'[01_Entry.xlsx]Book'!K1372</f>
        <v/>
      </c>
      <c r="J1372" s="3">
        <f>'[01_Entry.xlsx]Book'!P1372</f>
        <v/>
      </c>
      <c r="K1372" s="3">
        <f>'[01_Entry.xlsx]Book'!F1372</f>
        <v/>
      </c>
      <c r="L1372" s="3">
        <f>'[01_Entry.xlsx]Book'!G1372</f>
        <v/>
      </c>
      <c r="M1372" s="3">
        <f>'[01_Entry.xlsx]Book'!I1372</f>
        <v/>
      </c>
      <c r="N1372" s="2">
        <f>IF($A1372="","",MID($A1372,6,2))</f>
        <v>0</v>
      </c>
      <c r="O1372" s="2">
        <f>IF(OR($C1372="",$C1372&lt;&gt;'Inv'!$D$12),"",N(O$1371)+1)</f>
        <v>0</v>
      </c>
    </row>
    <row r="1373" spans="1:15">
      <c r="A1373" s="2">
        <f>'[01_Entry.xlsx]Book'!A1373</f>
        <v/>
      </c>
      <c r="B1373" s="2">
        <f>'[01_Entry.xlsx]Book'!B1373</f>
        <v/>
      </c>
      <c r="C1373" s="2">
        <f>'[01_Entry.xlsx]Book'!D1373</f>
        <v/>
      </c>
      <c r="D1373" s="2">
        <f>'[01_Entry.xlsx]Book'!E1373</f>
        <v/>
      </c>
      <c r="E1373" s="2">
        <f>'[01_Entry.xlsx]Book'!O1373</f>
        <v/>
      </c>
      <c r="F1373" s="2">
        <f>'[01_Entry.xlsx]Book'!N1373</f>
        <v/>
      </c>
      <c r="G1373" s="3">
        <f>'[01_Entry.xlsx]Book'!L1373</f>
        <v/>
      </c>
      <c r="H1373" s="3">
        <f>'[01_Entry.xlsx]Book'!M1373</f>
        <v/>
      </c>
      <c r="I1373" s="3">
        <f>'[01_Entry.xlsx]Book'!K1373</f>
        <v/>
      </c>
      <c r="J1373" s="3">
        <f>'[01_Entry.xlsx]Book'!P1373</f>
        <v/>
      </c>
      <c r="K1373" s="3">
        <f>'[01_Entry.xlsx]Book'!F1373</f>
        <v/>
      </c>
      <c r="L1373" s="3">
        <f>'[01_Entry.xlsx]Book'!G1373</f>
        <v/>
      </c>
      <c r="M1373" s="3">
        <f>'[01_Entry.xlsx]Book'!I1373</f>
        <v/>
      </c>
      <c r="N1373" s="2">
        <f>IF($A1373="","",MID($A1373,6,2))</f>
        <v>0</v>
      </c>
      <c r="O1373" s="2">
        <f>IF(OR($C1373="",$C1373&lt;&gt;'Inv'!$D$12),"",N(O$1372)+1)</f>
        <v>0</v>
      </c>
    </row>
    <row r="1374" spans="1:15">
      <c r="A1374" s="2">
        <f>'[01_Entry.xlsx]Book'!A1374</f>
        <v/>
      </c>
      <c r="B1374" s="2">
        <f>'[01_Entry.xlsx]Book'!B1374</f>
        <v/>
      </c>
      <c r="C1374" s="2">
        <f>'[01_Entry.xlsx]Book'!D1374</f>
        <v/>
      </c>
      <c r="D1374" s="2">
        <f>'[01_Entry.xlsx]Book'!E1374</f>
        <v/>
      </c>
      <c r="E1374" s="2">
        <f>'[01_Entry.xlsx]Book'!O1374</f>
        <v/>
      </c>
      <c r="F1374" s="2">
        <f>'[01_Entry.xlsx]Book'!N1374</f>
        <v/>
      </c>
      <c r="G1374" s="3">
        <f>'[01_Entry.xlsx]Book'!L1374</f>
        <v/>
      </c>
      <c r="H1374" s="3">
        <f>'[01_Entry.xlsx]Book'!M1374</f>
        <v/>
      </c>
      <c r="I1374" s="3">
        <f>'[01_Entry.xlsx]Book'!K1374</f>
        <v/>
      </c>
      <c r="J1374" s="3">
        <f>'[01_Entry.xlsx]Book'!P1374</f>
        <v/>
      </c>
      <c r="K1374" s="3">
        <f>'[01_Entry.xlsx]Book'!F1374</f>
        <v/>
      </c>
      <c r="L1374" s="3">
        <f>'[01_Entry.xlsx]Book'!G1374</f>
        <v/>
      </c>
      <c r="M1374" s="3">
        <f>'[01_Entry.xlsx]Book'!I1374</f>
        <v/>
      </c>
      <c r="N1374" s="2">
        <f>IF($A1374="","",MID($A1374,6,2))</f>
        <v>0</v>
      </c>
      <c r="O1374" s="2">
        <f>IF(OR($C1374="",$C1374&lt;&gt;'Inv'!$D$12),"",N(O$1373)+1)</f>
        <v>0</v>
      </c>
    </row>
    <row r="1375" spans="1:15">
      <c r="A1375" s="2">
        <f>'[01_Entry.xlsx]Book'!A1375</f>
        <v/>
      </c>
      <c r="B1375" s="2">
        <f>'[01_Entry.xlsx]Book'!B1375</f>
        <v/>
      </c>
      <c r="C1375" s="2">
        <f>'[01_Entry.xlsx]Book'!D1375</f>
        <v/>
      </c>
      <c r="D1375" s="2">
        <f>'[01_Entry.xlsx]Book'!E1375</f>
        <v/>
      </c>
      <c r="E1375" s="2">
        <f>'[01_Entry.xlsx]Book'!O1375</f>
        <v/>
      </c>
      <c r="F1375" s="2">
        <f>'[01_Entry.xlsx]Book'!N1375</f>
        <v/>
      </c>
      <c r="G1375" s="3">
        <f>'[01_Entry.xlsx]Book'!L1375</f>
        <v/>
      </c>
      <c r="H1375" s="3">
        <f>'[01_Entry.xlsx]Book'!M1375</f>
        <v/>
      </c>
      <c r="I1375" s="3">
        <f>'[01_Entry.xlsx]Book'!K1375</f>
        <v/>
      </c>
      <c r="J1375" s="3">
        <f>'[01_Entry.xlsx]Book'!P1375</f>
        <v/>
      </c>
      <c r="K1375" s="3">
        <f>'[01_Entry.xlsx]Book'!F1375</f>
        <v/>
      </c>
      <c r="L1375" s="3">
        <f>'[01_Entry.xlsx]Book'!G1375</f>
        <v/>
      </c>
      <c r="M1375" s="3">
        <f>'[01_Entry.xlsx]Book'!I1375</f>
        <v/>
      </c>
      <c r="N1375" s="2">
        <f>IF($A1375="","",MID($A1375,6,2))</f>
        <v>0</v>
      </c>
      <c r="O1375" s="2">
        <f>IF(OR($C1375="",$C1375&lt;&gt;'Inv'!$D$12),"",N(O$1374)+1)</f>
        <v>0</v>
      </c>
    </row>
    <row r="1376" spans="1:15">
      <c r="A1376" s="2">
        <f>'[01_Entry.xlsx]Book'!A1376</f>
        <v/>
      </c>
      <c r="B1376" s="2">
        <f>'[01_Entry.xlsx]Book'!B1376</f>
        <v/>
      </c>
      <c r="C1376" s="2">
        <f>'[01_Entry.xlsx]Book'!D1376</f>
        <v/>
      </c>
      <c r="D1376" s="2">
        <f>'[01_Entry.xlsx]Book'!E1376</f>
        <v/>
      </c>
      <c r="E1376" s="2">
        <f>'[01_Entry.xlsx]Book'!O1376</f>
        <v/>
      </c>
      <c r="F1376" s="2">
        <f>'[01_Entry.xlsx]Book'!N1376</f>
        <v/>
      </c>
      <c r="G1376" s="3">
        <f>'[01_Entry.xlsx]Book'!L1376</f>
        <v/>
      </c>
      <c r="H1376" s="3">
        <f>'[01_Entry.xlsx]Book'!M1376</f>
        <v/>
      </c>
      <c r="I1376" s="3">
        <f>'[01_Entry.xlsx]Book'!K1376</f>
        <v/>
      </c>
      <c r="J1376" s="3">
        <f>'[01_Entry.xlsx]Book'!P1376</f>
        <v/>
      </c>
      <c r="K1376" s="3">
        <f>'[01_Entry.xlsx]Book'!F1376</f>
        <v/>
      </c>
      <c r="L1376" s="3">
        <f>'[01_Entry.xlsx]Book'!G1376</f>
        <v/>
      </c>
      <c r="M1376" s="3">
        <f>'[01_Entry.xlsx]Book'!I1376</f>
        <v/>
      </c>
      <c r="N1376" s="2">
        <f>IF($A1376="","",MID($A1376,6,2))</f>
        <v>0</v>
      </c>
      <c r="O1376" s="2">
        <f>IF(OR($C1376="",$C1376&lt;&gt;'Inv'!$D$12),"",N(O$1375)+1)</f>
        <v>0</v>
      </c>
    </row>
    <row r="1377" spans="1:15">
      <c r="A1377" s="2">
        <f>'[01_Entry.xlsx]Book'!A1377</f>
        <v/>
      </c>
      <c r="B1377" s="2">
        <f>'[01_Entry.xlsx]Book'!B1377</f>
        <v/>
      </c>
      <c r="C1377" s="2">
        <f>'[01_Entry.xlsx]Book'!D1377</f>
        <v/>
      </c>
      <c r="D1377" s="2">
        <f>'[01_Entry.xlsx]Book'!E1377</f>
        <v/>
      </c>
      <c r="E1377" s="2">
        <f>'[01_Entry.xlsx]Book'!O1377</f>
        <v/>
      </c>
      <c r="F1377" s="2">
        <f>'[01_Entry.xlsx]Book'!N1377</f>
        <v/>
      </c>
      <c r="G1377" s="3">
        <f>'[01_Entry.xlsx]Book'!L1377</f>
        <v/>
      </c>
      <c r="H1377" s="3">
        <f>'[01_Entry.xlsx]Book'!M1377</f>
        <v/>
      </c>
      <c r="I1377" s="3">
        <f>'[01_Entry.xlsx]Book'!K1377</f>
        <v/>
      </c>
      <c r="J1377" s="3">
        <f>'[01_Entry.xlsx]Book'!P1377</f>
        <v/>
      </c>
      <c r="K1377" s="3">
        <f>'[01_Entry.xlsx]Book'!F1377</f>
        <v/>
      </c>
      <c r="L1377" s="3">
        <f>'[01_Entry.xlsx]Book'!G1377</f>
        <v/>
      </c>
      <c r="M1377" s="3">
        <f>'[01_Entry.xlsx]Book'!I1377</f>
        <v/>
      </c>
      <c r="N1377" s="2">
        <f>IF($A1377="","",MID($A1377,6,2))</f>
        <v>0</v>
      </c>
      <c r="O1377" s="2">
        <f>IF(OR($C1377="",$C1377&lt;&gt;'Inv'!$D$12),"",N(O$1376)+1)</f>
        <v>0</v>
      </c>
    </row>
    <row r="1378" spans="1:15">
      <c r="A1378" s="2">
        <f>'[01_Entry.xlsx]Book'!A1378</f>
        <v/>
      </c>
      <c r="B1378" s="2">
        <f>'[01_Entry.xlsx]Book'!B1378</f>
        <v/>
      </c>
      <c r="C1378" s="2">
        <f>'[01_Entry.xlsx]Book'!D1378</f>
        <v/>
      </c>
      <c r="D1378" s="2">
        <f>'[01_Entry.xlsx]Book'!E1378</f>
        <v/>
      </c>
      <c r="E1378" s="2">
        <f>'[01_Entry.xlsx]Book'!O1378</f>
        <v/>
      </c>
      <c r="F1378" s="2">
        <f>'[01_Entry.xlsx]Book'!N1378</f>
        <v/>
      </c>
      <c r="G1378" s="3">
        <f>'[01_Entry.xlsx]Book'!L1378</f>
        <v/>
      </c>
      <c r="H1378" s="3">
        <f>'[01_Entry.xlsx]Book'!M1378</f>
        <v/>
      </c>
      <c r="I1378" s="3">
        <f>'[01_Entry.xlsx]Book'!K1378</f>
        <v/>
      </c>
      <c r="J1378" s="3">
        <f>'[01_Entry.xlsx]Book'!P1378</f>
        <v/>
      </c>
      <c r="K1378" s="3">
        <f>'[01_Entry.xlsx]Book'!F1378</f>
        <v/>
      </c>
      <c r="L1378" s="3">
        <f>'[01_Entry.xlsx]Book'!G1378</f>
        <v/>
      </c>
      <c r="M1378" s="3">
        <f>'[01_Entry.xlsx]Book'!I1378</f>
        <v/>
      </c>
      <c r="N1378" s="2">
        <f>IF($A1378="","",MID($A1378,6,2))</f>
        <v>0</v>
      </c>
      <c r="O1378" s="2">
        <f>IF(OR($C1378="",$C1378&lt;&gt;'Inv'!$D$12),"",N(O$1377)+1)</f>
        <v>0</v>
      </c>
    </row>
    <row r="1379" spans="1:15">
      <c r="A1379" s="2">
        <f>'[01_Entry.xlsx]Book'!A1379</f>
        <v/>
      </c>
      <c r="B1379" s="2">
        <f>'[01_Entry.xlsx]Book'!B1379</f>
        <v/>
      </c>
      <c r="C1379" s="2">
        <f>'[01_Entry.xlsx]Book'!D1379</f>
        <v/>
      </c>
      <c r="D1379" s="2">
        <f>'[01_Entry.xlsx]Book'!E1379</f>
        <v/>
      </c>
      <c r="E1379" s="2">
        <f>'[01_Entry.xlsx]Book'!O1379</f>
        <v/>
      </c>
      <c r="F1379" s="2">
        <f>'[01_Entry.xlsx]Book'!N1379</f>
        <v/>
      </c>
      <c r="G1379" s="3">
        <f>'[01_Entry.xlsx]Book'!L1379</f>
        <v/>
      </c>
      <c r="H1379" s="3">
        <f>'[01_Entry.xlsx]Book'!M1379</f>
        <v/>
      </c>
      <c r="I1379" s="3">
        <f>'[01_Entry.xlsx]Book'!K1379</f>
        <v/>
      </c>
      <c r="J1379" s="3">
        <f>'[01_Entry.xlsx]Book'!P1379</f>
        <v/>
      </c>
      <c r="K1379" s="3">
        <f>'[01_Entry.xlsx]Book'!F1379</f>
        <v/>
      </c>
      <c r="L1379" s="3">
        <f>'[01_Entry.xlsx]Book'!G1379</f>
        <v/>
      </c>
      <c r="M1379" s="3">
        <f>'[01_Entry.xlsx]Book'!I1379</f>
        <v/>
      </c>
      <c r="N1379" s="2">
        <f>IF($A1379="","",MID($A1379,6,2))</f>
        <v>0</v>
      </c>
      <c r="O1379" s="2">
        <f>IF(OR($C1379="",$C1379&lt;&gt;'Inv'!$D$12),"",N(O$1378)+1)</f>
        <v>0</v>
      </c>
    </row>
    <row r="1380" spans="1:15">
      <c r="A1380" s="2">
        <f>'[01_Entry.xlsx]Book'!A1380</f>
        <v/>
      </c>
      <c r="B1380" s="2">
        <f>'[01_Entry.xlsx]Book'!B1380</f>
        <v/>
      </c>
      <c r="C1380" s="2">
        <f>'[01_Entry.xlsx]Book'!D1380</f>
        <v/>
      </c>
      <c r="D1380" s="2">
        <f>'[01_Entry.xlsx]Book'!E1380</f>
        <v/>
      </c>
      <c r="E1380" s="2">
        <f>'[01_Entry.xlsx]Book'!O1380</f>
        <v/>
      </c>
      <c r="F1380" s="2">
        <f>'[01_Entry.xlsx]Book'!N1380</f>
        <v/>
      </c>
      <c r="G1380" s="3">
        <f>'[01_Entry.xlsx]Book'!L1380</f>
        <v/>
      </c>
      <c r="H1380" s="3">
        <f>'[01_Entry.xlsx]Book'!M1380</f>
        <v/>
      </c>
      <c r="I1380" s="3">
        <f>'[01_Entry.xlsx]Book'!K1380</f>
        <v/>
      </c>
      <c r="J1380" s="3">
        <f>'[01_Entry.xlsx]Book'!P1380</f>
        <v/>
      </c>
      <c r="K1380" s="3">
        <f>'[01_Entry.xlsx]Book'!F1380</f>
        <v/>
      </c>
      <c r="L1380" s="3">
        <f>'[01_Entry.xlsx]Book'!G1380</f>
        <v/>
      </c>
      <c r="M1380" s="3">
        <f>'[01_Entry.xlsx]Book'!I1380</f>
        <v/>
      </c>
      <c r="N1380" s="2">
        <f>IF($A1380="","",MID($A1380,6,2))</f>
        <v>0</v>
      </c>
      <c r="O1380" s="2">
        <f>IF(OR($C1380="",$C1380&lt;&gt;'Inv'!$D$12),"",N(O$1379)+1)</f>
        <v>0</v>
      </c>
    </row>
    <row r="1381" spans="1:15">
      <c r="A1381" s="2">
        <f>'[01_Entry.xlsx]Book'!A1381</f>
        <v/>
      </c>
      <c r="B1381" s="2">
        <f>'[01_Entry.xlsx]Book'!B1381</f>
        <v/>
      </c>
      <c r="C1381" s="2">
        <f>'[01_Entry.xlsx]Book'!D1381</f>
        <v/>
      </c>
      <c r="D1381" s="2">
        <f>'[01_Entry.xlsx]Book'!E1381</f>
        <v/>
      </c>
      <c r="E1381" s="2">
        <f>'[01_Entry.xlsx]Book'!O1381</f>
        <v/>
      </c>
      <c r="F1381" s="2">
        <f>'[01_Entry.xlsx]Book'!N1381</f>
        <v/>
      </c>
      <c r="G1381" s="3">
        <f>'[01_Entry.xlsx]Book'!L1381</f>
        <v/>
      </c>
      <c r="H1381" s="3">
        <f>'[01_Entry.xlsx]Book'!M1381</f>
        <v/>
      </c>
      <c r="I1381" s="3">
        <f>'[01_Entry.xlsx]Book'!K1381</f>
        <v/>
      </c>
      <c r="J1381" s="3">
        <f>'[01_Entry.xlsx]Book'!P1381</f>
        <v/>
      </c>
      <c r="K1381" s="3">
        <f>'[01_Entry.xlsx]Book'!F1381</f>
        <v/>
      </c>
      <c r="L1381" s="3">
        <f>'[01_Entry.xlsx]Book'!G1381</f>
        <v/>
      </c>
      <c r="M1381" s="3">
        <f>'[01_Entry.xlsx]Book'!I1381</f>
        <v/>
      </c>
      <c r="N1381" s="2">
        <f>IF($A1381="","",MID($A1381,6,2))</f>
        <v>0</v>
      </c>
      <c r="O1381" s="2">
        <f>IF(OR($C1381="",$C1381&lt;&gt;'Inv'!$D$12),"",N(O$1380)+1)</f>
        <v>0</v>
      </c>
    </row>
    <row r="1382" spans="1:15">
      <c r="A1382" s="2">
        <f>'[01_Entry.xlsx]Book'!A1382</f>
        <v/>
      </c>
      <c r="B1382" s="2">
        <f>'[01_Entry.xlsx]Book'!B1382</f>
        <v/>
      </c>
      <c r="C1382" s="2">
        <f>'[01_Entry.xlsx]Book'!D1382</f>
        <v/>
      </c>
      <c r="D1382" s="2">
        <f>'[01_Entry.xlsx]Book'!E1382</f>
        <v/>
      </c>
      <c r="E1382" s="2">
        <f>'[01_Entry.xlsx]Book'!O1382</f>
        <v/>
      </c>
      <c r="F1382" s="2">
        <f>'[01_Entry.xlsx]Book'!N1382</f>
        <v/>
      </c>
      <c r="G1382" s="3">
        <f>'[01_Entry.xlsx]Book'!L1382</f>
        <v/>
      </c>
      <c r="H1382" s="3">
        <f>'[01_Entry.xlsx]Book'!M1382</f>
        <v/>
      </c>
      <c r="I1382" s="3">
        <f>'[01_Entry.xlsx]Book'!K1382</f>
        <v/>
      </c>
      <c r="J1382" s="3">
        <f>'[01_Entry.xlsx]Book'!P1382</f>
        <v/>
      </c>
      <c r="K1382" s="3">
        <f>'[01_Entry.xlsx]Book'!F1382</f>
        <v/>
      </c>
      <c r="L1382" s="3">
        <f>'[01_Entry.xlsx]Book'!G1382</f>
        <v/>
      </c>
      <c r="M1382" s="3">
        <f>'[01_Entry.xlsx]Book'!I1382</f>
        <v/>
      </c>
      <c r="N1382" s="2">
        <f>IF($A1382="","",MID($A1382,6,2))</f>
        <v>0</v>
      </c>
      <c r="O1382" s="2">
        <f>IF(OR($C1382="",$C1382&lt;&gt;'Inv'!$D$12),"",N(O$1381)+1)</f>
        <v>0</v>
      </c>
    </row>
    <row r="1383" spans="1:15">
      <c r="A1383" s="2">
        <f>'[01_Entry.xlsx]Book'!A1383</f>
        <v/>
      </c>
      <c r="B1383" s="2">
        <f>'[01_Entry.xlsx]Book'!B1383</f>
        <v/>
      </c>
      <c r="C1383" s="2">
        <f>'[01_Entry.xlsx]Book'!D1383</f>
        <v/>
      </c>
      <c r="D1383" s="2">
        <f>'[01_Entry.xlsx]Book'!E1383</f>
        <v/>
      </c>
      <c r="E1383" s="2">
        <f>'[01_Entry.xlsx]Book'!O1383</f>
        <v/>
      </c>
      <c r="F1383" s="2">
        <f>'[01_Entry.xlsx]Book'!N1383</f>
        <v/>
      </c>
      <c r="G1383" s="3">
        <f>'[01_Entry.xlsx]Book'!L1383</f>
        <v/>
      </c>
      <c r="H1383" s="3">
        <f>'[01_Entry.xlsx]Book'!M1383</f>
        <v/>
      </c>
      <c r="I1383" s="3">
        <f>'[01_Entry.xlsx]Book'!K1383</f>
        <v/>
      </c>
      <c r="J1383" s="3">
        <f>'[01_Entry.xlsx]Book'!P1383</f>
        <v/>
      </c>
      <c r="K1383" s="3">
        <f>'[01_Entry.xlsx]Book'!F1383</f>
        <v/>
      </c>
      <c r="L1383" s="3">
        <f>'[01_Entry.xlsx]Book'!G1383</f>
        <v/>
      </c>
      <c r="M1383" s="3">
        <f>'[01_Entry.xlsx]Book'!I1383</f>
        <v/>
      </c>
      <c r="N1383" s="2">
        <f>IF($A1383="","",MID($A1383,6,2))</f>
        <v>0</v>
      </c>
      <c r="O1383" s="2">
        <f>IF(OR($C1383="",$C1383&lt;&gt;'Inv'!$D$12),"",N(O$1382)+1)</f>
        <v>0</v>
      </c>
    </row>
    <row r="1384" spans="1:15">
      <c r="A1384" s="2">
        <f>'[01_Entry.xlsx]Book'!A1384</f>
        <v/>
      </c>
      <c r="B1384" s="2">
        <f>'[01_Entry.xlsx]Book'!B1384</f>
        <v/>
      </c>
      <c r="C1384" s="2">
        <f>'[01_Entry.xlsx]Book'!D1384</f>
        <v/>
      </c>
      <c r="D1384" s="2">
        <f>'[01_Entry.xlsx]Book'!E1384</f>
        <v/>
      </c>
      <c r="E1384" s="2">
        <f>'[01_Entry.xlsx]Book'!O1384</f>
        <v/>
      </c>
      <c r="F1384" s="2">
        <f>'[01_Entry.xlsx]Book'!N1384</f>
        <v/>
      </c>
      <c r="G1384" s="3">
        <f>'[01_Entry.xlsx]Book'!L1384</f>
        <v/>
      </c>
      <c r="H1384" s="3">
        <f>'[01_Entry.xlsx]Book'!M1384</f>
        <v/>
      </c>
      <c r="I1384" s="3">
        <f>'[01_Entry.xlsx]Book'!K1384</f>
        <v/>
      </c>
      <c r="J1384" s="3">
        <f>'[01_Entry.xlsx]Book'!P1384</f>
        <v/>
      </c>
      <c r="K1384" s="3">
        <f>'[01_Entry.xlsx]Book'!F1384</f>
        <v/>
      </c>
      <c r="L1384" s="3">
        <f>'[01_Entry.xlsx]Book'!G1384</f>
        <v/>
      </c>
      <c r="M1384" s="3">
        <f>'[01_Entry.xlsx]Book'!I1384</f>
        <v/>
      </c>
      <c r="N1384" s="2">
        <f>IF($A1384="","",MID($A1384,6,2))</f>
        <v>0</v>
      </c>
      <c r="O1384" s="2">
        <f>IF(OR($C1384="",$C1384&lt;&gt;'Inv'!$D$12),"",N(O$1383)+1)</f>
        <v>0</v>
      </c>
    </row>
    <row r="1385" spans="1:15">
      <c r="A1385" s="2">
        <f>'[01_Entry.xlsx]Book'!A1385</f>
        <v/>
      </c>
      <c r="B1385" s="2">
        <f>'[01_Entry.xlsx]Book'!B1385</f>
        <v/>
      </c>
      <c r="C1385" s="2">
        <f>'[01_Entry.xlsx]Book'!D1385</f>
        <v/>
      </c>
      <c r="D1385" s="2">
        <f>'[01_Entry.xlsx]Book'!E1385</f>
        <v/>
      </c>
      <c r="E1385" s="2">
        <f>'[01_Entry.xlsx]Book'!O1385</f>
        <v/>
      </c>
      <c r="F1385" s="2">
        <f>'[01_Entry.xlsx]Book'!N1385</f>
        <v/>
      </c>
      <c r="G1385" s="3">
        <f>'[01_Entry.xlsx]Book'!L1385</f>
        <v/>
      </c>
      <c r="H1385" s="3">
        <f>'[01_Entry.xlsx]Book'!M1385</f>
        <v/>
      </c>
      <c r="I1385" s="3">
        <f>'[01_Entry.xlsx]Book'!K1385</f>
        <v/>
      </c>
      <c r="J1385" s="3">
        <f>'[01_Entry.xlsx]Book'!P1385</f>
        <v/>
      </c>
      <c r="K1385" s="3">
        <f>'[01_Entry.xlsx]Book'!F1385</f>
        <v/>
      </c>
      <c r="L1385" s="3">
        <f>'[01_Entry.xlsx]Book'!G1385</f>
        <v/>
      </c>
      <c r="M1385" s="3">
        <f>'[01_Entry.xlsx]Book'!I1385</f>
        <v/>
      </c>
      <c r="N1385" s="2">
        <f>IF($A1385="","",MID($A1385,6,2))</f>
        <v>0</v>
      </c>
      <c r="O1385" s="2">
        <f>IF(OR($C1385="",$C1385&lt;&gt;'Inv'!$D$12),"",N(O$1384)+1)</f>
        <v>0</v>
      </c>
    </row>
    <row r="1386" spans="1:15">
      <c r="A1386" s="2">
        <f>'[01_Entry.xlsx]Book'!A1386</f>
        <v/>
      </c>
      <c r="B1386" s="2">
        <f>'[01_Entry.xlsx]Book'!B1386</f>
        <v/>
      </c>
      <c r="C1386" s="2">
        <f>'[01_Entry.xlsx]Book'!D1386</f>
        <v/>
      </c>
      <c r="D1386" s="2">
        <f>'[01_Entry.xlsx]Book'!E1386</f>
        <v/>
      </c>
      <c r="E1386" s="2">
        <f>'[01_Entry.xlsx]Book'!O1386</f>
        <v/>
      </c>
      <c r="F1386" s="2">
        <f>'[01_Entry.xlsx]Book'!N1386</f>
        <v/>
      </c>
      <c r="G1386" s="3">
        <f>'[01_Entry.xlsx]Book'!L1386</f>
        <v/>
      </c>
      <c r="H1386" s="3">
        <f>'[01_Entry.xlsx]Book'!M1386</f>
        <v/>
      </c>
      <c r="I1386" s="3">
        <f>'[01_Entry.xlsx]Book'!K1386</f>
        <v/>
      </c>
      <c r="J1386" s="3">
        <f>'[01_Entry.xlsx]Book'!P1386</f>
        <v/>
      </c>
      <c r="K1386" s="3">
        <f>'[01_Entry.xlsx]Book'!F1386</f>
        <v/>
      </c>
      <c r="L1386" s="3">
        <f>'[01_Entry.xlsx]Book'!G1386</f>
        <v/>
      </c>
      <c r="M1386" s="3">
        <f>'[01_Entry.xlsx]Book'!I1386</f>
        <v/>
      </c>
      <c r="N1386" s="2">
        <f>IF($A1386="","",MID($A1386,6,2))</f>
        <v>0</v>
      </c>
      <c r="O1386" s="2">
        <f>IF(OR($C1386="",$C1386&lt;&gt;'Inv'!$D$12),"",N(O$1385)+1)</f>
        <v>0</v>
      </c>
    </row>
    <row r="1387" spans="1:15">
      <c r="A1387" s="2">
        <f>'[01_Entry.xlsx]Book'!A1387</f>
        <v/>
      </c>
      <c r="B1387" s="2">
        <f>'[01_Entry.xlsx]Book'!B1387</f>
        <v/>
      </c>
      <c r="C1387" s="2">
        <f>'[01_Entry.xlsx]Book'!D1387</f>
        <v/>
      </c>
      <c r="D1387" s="2">
        <f>'[01_Entry.xlsx]Book'!E1387</f>
        <v/>
      </c>
      <c r="E1387" s="2">
        <f>'[01_Entry.xlsx]Book'!O1387</f>
        <v/>
      </c>
      <c r="F1387" s="2">
        <f>'[01_Entry.xlsx]Book'!N1387</f>
        <v/>
      </c>
      <c r="G1387" s="3">
        <f>'[01_Entry.xlsx]Book'!L1387</f>
        <v/>
      </c>
      <c r="H1387" s="3">
        <f>'[01_Entry.xlsx]Book'!M1387</f>
        <v/>
      </c>
      <c r="I1387" s="3">
        <f>'[01_Entry.xlsx]Book'!K1387</f>
        <v/>
      </c>
      <c r="J1387" s="3">
        <f>'[01_Entry.xlsx]Book'!P1387</f>
        <v/>
      </c>
      <c r="K1387" s="3">
        <f>'[01_Entry.xlsx]Book'!F1387</f>
        <v/>
      </c>
      <c r="L1387" s="3">
        <f>'[01_Entry.xlsx]Book'!G1387</f>
        <v/>
      </c>
      <c r="M1387" s="3">
        <f>'[01_Entry.xlsx]Book'!I1387</f>
        <v/>
      </c>
      <c r="N1387" s="2">
        <f>IF($A1387="","",MID($A1387,6,2))</f>
        <v>0</v>
      </c>
      <c r="O1387" s="2">
        <f>IF(OR($C1387="",$C1387&lt;&gt;'Inv'!$D$12),"",N(O$1386)+1)</f>
        <v>0</v>
      </c>
    </row>
    <row r="1388" spans="1:15">
      <c r="A1388" s="2">
        <f>'[01_Entry.xlsx]Book'!A1388</f>
        <v/>
      </c>
      <c r="B1388" s="2">
        <f>'[01_Entry.xlsx]Book'!B1388</f>
        <v/>
      </c>
      <c r="C1388" s="2">
        <f>'[01_Entry.xlsx]Book'!D1388</f>
        <v/>
      </c>
      <c r="D1388" s="2">
        <f>'[01_Entry.xlsx]Book'!E1388</f>
        <v/>
      </c>
      <c r="E1388" s="2">
        <f>'[01_Entry.xlsx]Book'!O1388</f>
        <v/>
      </c>
      <c r="F1388" s="2">
        <f>'[01_Entry.xlsx]Book'!N1388</f>
        <v/>
      </c>
      <c r="G1388" s="3">
        <f>'[01_Entry.xlsx]Book'!L1388</f>
        <v/>
      </c>
      <c r="H1388" s="3">
        <f>'[01_Entry.xlsx]Book'!M1388</f>
        <v/>
      </c>
      <c r="I1388" s="3">
        <f>'[01_Entry.xlsx]Book'!K1388</f>
        <v/>
      </c>
      <c r="J1388" s="3">
        <f>'[01_Entry.xlsx]Book'!P1388</f>
        <v/>
      </c>
      <c r="K1388" s="3">
        <f>'[01_Entry.xlsx]Book'!F1388</f>
        <v/>
      </c>
      <c r="L1388" s="3">
        <f>'[01_Entry.xlsx]Book'!G1388</f>
        <v/>
      </c>
      <c r="M1388" s="3">
        <f>'[01_Entry.xlsx]Book'!I1388</f>
        <v/>
      </c>
      <c r="N1388" s="2">
        <f>IF($A1388="","",MID($A1388,6,2))</f>
        <v>0</v>
      </c>
      <c r="O1388" s="2">
        <f>IF(OR($C1388="",$C1388&lt;&gt;'Inv'!$D$12),"",N(O$1387)+1)</f>
        <v>0</v>
      </c>
    </row>
    <row r="1389" spans="1:15">
      <c r="A1389" s="2">
        <f>'[01_Entry.xlsx]Book'!A1389</f>
        <v/>
      </c>
      <c r="B1389" s="2">
        <f>'[01_Entry.xlsx]Book'!B1389</f>
        <v/>
      </c>
      <c r="C1389" s="2">
        <f>'[01_Entry.xlsx]Book'!D1389</f>
        <v/>
      </c>
      <c r="D1389" s="2">
        <f>'[01_Entry.xlsx]Book'!E1389</f>
        <v/>
      </c>
      <c r="E1389" s="2">
        <f>'[01_Entry.xlsx]Book'!O1389</f>
        <v/>
      </c>
      <c r="F1389" s="2">
        <f>'[01_Entry.xlsx]Book'!N1389</f>
        <v/>
      </c>
      <c r="G1389" s="3">
        <f>'[01_Entry.xlsx]Book'!L1389</f>
        <v/>
      </c>
      <c r="H1389" s="3">
        <f>'[01_Entry.xlsx]Book'!M1389</f>
        <v/>
      </c>
      <c r="I1389" s="3">
        <f>'[01_Entry.xlsx]Book'!K1389</f>
        <v/>
      </c>
      <c r="J1389" s="3">
        <f>'[01_Entry.xlsx]Book'!P1389</f>
        <v/>
      </c>
      <c r="K1389" s="3">
        <f>'[01_Entry.xlsx]Book'!F1389</f>
        <v/>
      </c>
      <c r="L1389" s="3">
        <f>'[01_Entry.xlsx]Book'!G1389</f>
        <v/>
      </c>
      <c r="M1389" s="3">
        <f>'[01_Entry.xlsx]Book'!I1389</f>
        <v/>
      </c>
      <c r="N1389" s="2">
        <f>IF($A1389="","",MID($A1389,6,2))</f>
        <v>0</v>
      </c>
      <c r="O1389" s="2">
        <f>IF(OR($C1389="",$C1389&lt;&gt;'Inv'!$D$12),"",N(O$1388)+1)</f>
        <v>0</v>
      </c>
    </row>
    <row r="1390" spans="1:15">
      <c r="A1390" s="2">
        <f>'[01_Entry.xlsx]Book'!A1390</f>
        <v/>
      </c>
      <c r="B1390" s="2">
        <f>'[01_Entry.xlsx]Book'!B1390</f>
        <v/>
      </c>
      <c r="C1390" s="2">
        <f>'[01_Entry.xlsx]Book'!D1390</f>
        <v/>
      </c>
      <c r="D1390" s="2">
        <f>'[01_Entry.xlsx]Book'!E1390</f>
        <v/>
      </c>
      <c r="E1390" s="2">
        <f>'[01_Entry.xlsx]Book'!O1390</f>
        <v/>
      </c>
      <c r="F1390" s="2">
        <f>'[01_Entry.xlsx]Book'!N1390</f>
        <v/>
      </c>
      <c r="G1390" s="3">
        <f>'[01_Entry.xlsx]Book'!L1390</f>
        <v/>
      </c>
      <c r="H1390" s="3">
        <f>'[01_Entry.xlsx]Book'!M1390</f>
        <v/>
      </c>
      <c r="I1390" s="3">
        <f>'[01_Entry.xlsx]Book'!K1390</f>
        <v/>
      </c>
      <c r="J1390" s="3">
        <f>'[01_Entry.xlsx]Book'!P1390</f>
        <v/>
      </c>
      <c r="K1390" s="3">
        <f>'[01_Entry.xlsx]Book'!F1390</f>
        <v/>
      </c>
      <c r="L1390" s="3">
        <f>'[01_Entry.xlsx]Book'!G1390</f>
        <v/>
      </c>
      <c r="M1390" s="3">
        <f>'[01_Entry.xlsx]Book'!I1390</f>
        <v/>
      </c>
      <c r="N1390" s="2">
        <f>IF($A1390="","",MID($A1390,6,2))</f>
        <v>0</v>
      </c>
      <c r="O1390" s="2">
        <f>IF(OR($C1390="",$C1390&lt;&gt;'Inv'!$D$12),"",N(O$1389)+1)</f>
        <v>0</v>
      </c>
    </row>
    <row r="1391" spans="1:15">
      <c r="A1391" s="2">
        <f>'[01_Entry.xlsx]Book'!A1391</f>
        <v/>
      </c>
      <c r="B1391" s="2">
        <f>'[01_Entry.xlsx]Book'!B1391</f>
        <v/>
      </c>
      <c r="C1391" s="2">
        <f>'[01_Entry.xlsx]Book'!D1391</f>
        <v/>
      </c>
      <c r="D1391" s="2">
        <f>'[01_Entry.xlsx]Book'!E1391</f>
        <v/>
      </c>
      <c r="E1391" s="2">
        <f>'[01_Entry.xlsx]Book'!O1391</f>
        <v/>
      </c>
      <c r="F1391" s="2">
        <f>'[01_Entry.xlsx]Book'!N1391</f>
        <v/>
      </c>
      <c r="G1391" s="3">
        <f>'[01_Entry.xlsx]Book'!L1391</f>
        <v/>
      </c>
      <c r="H1391" s="3">
        <f>'[01_Entry.xlsx]Book'!M1391</f>
        <v/>
      </c>
      <c r="I1391" s="3">
        <f>'[01_Entry.xlsx]Book'!K1391</f>
        <v/>
      </c>
      <c r="J1391" s="3">
        <f>'[01_Entry.xlsx]Book'!P1391</f>
        <v/>
      </c>
      <c r="K1391" s="3">
        <f>'[01_Entry.xlsx]Book'!F1391</f>
        <v/>
      </c>
      <c r="L1391" s="3">
        <f>'[01_Entry.xlsx]Book'!G1391</f>
        <v/>
      </c>
      <c r="M1391" s="3">
        <f>'[01_Entry.xlsx]Book'!I1391</f>
        <v/>
      </c>
      <c r="N1391" s="2">
        <f>IF($A1391="","",MID($A1391,6,2))</f>
        <v>0</v>
      </c>
      <c r="O1391" s="2">
        <f>IF(OR($C1391="",$C1391&lt;&gt;'Inv'!$D$12),"",N(O$1390)+1)</f>
        <v>0</v>
      </c>
    </row>
    <row r="1392" spans="1:15">
      <c r="A1392" s="2">
        <f>'[01_Entry.xlsx]Book'!A1392</f>
        <v/>
      </c>
      <c r="B1392" s="2">
        <f>'[01_Entry.xlsx]Book'!B1392</f>
        <v/>
      </c>
      <c r="C1392" s="2">
        <f>'[01_Entry.xlsx]Book'!D1392</f>
        <v/>
      </c>
      <c r="D1392" s="2">
        <f>'[01_Entry.xlsx]Book'!E1392</f>
        <v/>
      </c>
      <c r="E1392" s="2">
        <f>'[01_Entry.xlsx]Book'!O1392</f>
        <v/>
      </c>
      <c r="F1392" s="2">
        <f>'[01_Entry.xlsx]Book'!N1392</f>
        <v/>
      </c>
      <c r="G1392" s="3">
        <f>'[01_Entry.xlsx]Book'!L1392</f>
        <v/>
      </c>
      <c r="H1392" s="3">
        <f>'[01_Entry.xlsx]Book'!M1392</f>
        <v/>
      </c>
      <c r="I1392" s="3">
        <f>'[01_Entry.xlsx]Book'!K1392</f>
        <v/>
      </c>
      <c r="J1392" s="3">
        <f>'[01_Entry.xlsx]Book'!P1392</f>
        <v/>
      </c>
      <c r="K1392" s="3">
        <f>'[01_Entry.xlsx]Book'!F1392</f>
        <v/>
      </c>
      <c r="L1392" s="3">
        <f>'[01_Entry.xlsx]Book'!G1392</f>
        <v/>
      </c>
      <c r="M1392" s="3">
        <f>'[01_Entry.xlsx]Book'!I1392</f>
        <v/>
      </c>
      <c r="N1392" s="2">
        <f>IF($A1392="","",MID($A1392,6,2))</f>
        <v>0</v>
      </c>
      <c r="O1392" s="2">
        <f>IF(OR($C1392="",$C1392&lt;&gt;'Inv'!$D$12),"",N(O$1391)+1)</f>
        <v>0</v>
      </c>
    </row>
    <row r="1393" spans="1:15">
      <c r="A1393" s="2">
        <f>'[01_Entry.xlsx]Book'!A1393</f>
        <v/>
      </c>
      <c r="B1393" s="2">
        <f>'[01_Entry.xlsx]Book'!B1393</f>
        <v/>
      </c>
      <c r="C1393" s="2">
        <f>'[01_Entry.xlsx]Book'!D1393</f>
        <v/>
      </c>
      <c r="D1393" s="2">
        <f>'[01_Entry.xlsx]Book'!E1393</f>
        <v/>
      </c>
      <c r="E1393" s="2">
        <f>'[01_Entry.xlsx]Book'!O1393</f>
        <v/>
      </c>
      <c r="F1393" s="2">
        <f>'[01_Entry.xlsx]Book'!N1393</f>
        <v/>
      </c>
      <c r="G1393" s="3">
        <f>'[01_Entry.xlsx]Book'!L1393</f>
        <v/>
      </c>
      <c r="H1393" s="3">
        <f>'[01_Entry.xlsx]Book'!M1393</f>
        <v/>
      </c>
      <c r="I1393" s="3">
        <f>'[01_Entry.xlsx]Book'!K1393</f>
        <v/>
      </c>
      <c r="J1393" s="3">
        <f>'[01_Entry.xlsx]Book'!P1393</f>
        <v/>
      </c>
      <c r="K1393" s="3">
        <f>'[01_Entry.xlsx]Book'!F1393</f>
        <v/>
      </c>
      <c r="L1393" s="3">
        <f>'[01_Entry.xlsx]Book'!G1393</f>
        <v/>
      </c>
      <c r="M1393" s="3">
        <f>'[01_Entry.xlsx]Book'!I1393</f>
        <v/>
      </c>
      <c r="N1393" s="2">
        <f>IF($A1393="","",MID($A1393,6,2))</f>
        <v>0</v>
      </c>
      <c r="O1393" s="2">
        <f>IF(OR($C1393="",$C1393&lt;&gt;'Inv'!$D$12),"",N(O$1392)+1)</f>
        <v>0</v>
      </c>
    </row>
    <row r="1394" spans="1:15">
      <c r="A1394" s="2">
        <f>'[01_Entry.xlsx]Book'!A1394</f>
        <v/>
      </c>
      <c r="B1394" s="2">
        <f>'[01_Entry.xlsx]Book'!B1394</f>
        <v/>
      </c>
      <c r="C1394" s="2">
        <f>'[01_Entry.xlsx]Book'!D1394</f>
        <v/>
      </c>
      <c r="D1394" s="2">
        <f>'[01_Entry.xlsx]Book'!E1394</f>
        <v/>
      </c>
      <c r="E1394" s="2">
        <f>'[01_Entry.xlsx]Book'!O1394</f>
        <v/>
      </c>
      <c r="F1394" s="2">
        <f>'[01_Entry.xlsx]Book'!N1394</f>
        <v/>
      </c>
      <c r="G1394" s="3">
        <f>'[01_Entry.xlsx]Book'!L1394</f>
        <v/>
      </c>
      <c r="H1394" s="3">
        <f>'[01_Entry.xlsx]Book'!M1394</f>
        <v/>
      </c>
      <c r="I1394" s="3">
        <f>'[01_Entry.xlsx]Book'!K1394</f>
        <v/>
      </c>
      <c r="J1394" s="3">
        <f>'[01_Entry.xlsx]Book'!P1394</f>
        <v/>
      </c>
      <c r="K1394" s="3">
        <f>'[01_Entry.xlsx]Book'!F1394</f>
        <v/>
      </c>
      <c r="L1394" s="3">
        <f>'[01_Entry.xlsx]Book'!G1394</f>
        <v/>
      </c>
      <c r="M1394" s="3">
        <f>'[01_Entry.xlsx]Book'!I1394</f>
        <v/>
      </c>
      <c r="N1394" s="2">
        <f>IF($A1394="","",MID($A1394,6,2))</f>
        <v>0</v>
      </c>
      <c r="O1394" s="2">
        <f>IF(OR($C1394="",$C1394&lt;&gt;'Inv'!$D$12),"",N(O$1393)+1)</f>
        <v>0</v>
      </c>
    </row>
    <row r="1395" spans="1:15">
      <c r="A1395" s="2">
        <f>'[01_Entry.xlsx]Book'!A1395</f>
        <v/>
      </c>
      <c r="B1395" s="2">
        <f>'[01_Entry.xlsx]Book'!B1395</f>
        <v/>
      </c>
      <c r="C1395" s="2">
        <f>'[01_Entry.xlsx]Book'!D1395</f>
        <v/>
      </c>
      <c r="D1395" s="2">
        <f>'[01_Entry.xlsx]Book'!E1395</f>
        <v/>
      </c>
      <c r="E1395" s="2">
        <f>'[01_Entry.xlsx]Book'!O1395</f>
        <v/>
      </c>
      <c r="F1395" s="2">
        <f>'[01_Entry.xlsx]Book'!N1395</f>
        <v/>
      </c>
      <c r="G1395" s="3">
        <f>'[01_Entry.xlsx]Book'!L1395</f>
        <v/>
      </c>
      <c r="H1395" s="3">
        <f>'[01_Entry.xlsx]Book'!M1395</f>
        <v/>
      </c>
      <c r="I1395" s="3">
        <f>'[01_Entry.xlsx]Book'!K1395</f>
        <v/>
      </c>
      <c r="J1395" s="3">
        <f>'[01_Entry.xlsx]Book'!P1395</f>
        <v/>
      </c>
      <c r="K1395" s="3">
        <f>'[01_Entry.xlsx]Book'!F1395</f>
        <v/>
      </c>
      <c r="L1395" s="3">
        <f>'[01_Entry.xlsx]Book'!G1395</f>
        <v/>
      </c>
      <c r="M1395" s="3">
        <f>'[01_Entry.xlsx]Book'!I1395</f>
        <v/>
      </c>
      <c r="N1395" s="2">
        <f>IF($A1395="","",MID($A1395,6,2))</f>
        <v>0</v>
      </c>
      <c r="O1395" s="2">
        <f>IF(OR($C1395="",$C1395&lt;&gt;'Inv'!$D$12),"",N(O$1394)+1)</f>
        <v>0</v>
      </c>
    </row>
    <row r="1396" spans="1:15">
      <c r="A1396" s="2">
        <f>'[01_Entry.xlsx]Book'!A1396</f>
        <v/>
      </c>
      <c r="B1396" s="2">
        <f>'[01_Entry.xlsx]Book'!B1396</f>
        <v/>
      </c>
      <c r="C1396" s="2">
        <f>'[01_Entry.xlsx]Book'!D1396</f>
        <v/>
      </c>
      <c r="D1396" s="2">
        <f>'[01_Entry.xlsx]Book'!E1396</f>
        <v/>
      </c>
      <c r="E1396" s="2">
        <f>'[01_Entry.xlsx]Book'!O1396</f>
        <v/>
      </c>
      <c r="F1396" s="2">
        <f>'[01_Entry.xlsx]Book'!N1396</f>
        <v/>
      </c>
      <c r="G1396" s="3">
        <f>'[01_Entry.xlsx]Book'!L1396</f>
        <v/>
      </c>
      <c r="H1396" s="3">
        <f>'[01_Entry.xlsx]Book'!M1396</f>
        <v/>
      </c>
      <c r="I1396" s="3">
        <f>'[01_Entry.xlsx]Book'!K1396</f>
        <v/>
      </c>
      <c r="J1396" s="3">
        <f>'[01_Entry.xlsx]Book'!P1396</f>
        <v/>
      </c>
      <c r="K1396" s="3">
        <f>'[01_Entry.xlsx]Book'!F1396</f>
        <v/>
      </c>
      <c r="L1396" s="3">
        <f>'[01_Entry.xlsx]Book'!G1396</f>
        <v/>
      </c>
      <c r="M1396" s="3">
        <f>'[01_Entry.xlsx]Book'!I1396</f>
        <v/>
      </c>
      <c r="N1396" s="2">
        <f>IF($A1396="","",MID($A1396,6,2))</f>
        <v>0</v>
      </c>
      <c r="O1396" s="2">
        <f>IF(OR($C1396="",$C1396&lt;&gt;'Inv'!$D$12),"",N(O$1395)+1)</f>
        <v>0</v>
      </c>
    </row>
    <row r="1397" spans="1:15">
      <c r="A1397" s="2">
        <f>'[01_Entry.xlsx]Book'!A1397</f>
        <v/>
      </c>
      <c r="B1397" s="2">
        <f>'[01_Entry.xlsx]Book'!B1397</f>
        <v/>
      </c>
      <c r="C1397" s="2">
        <f>'[01_Entry.xlsx]Book'!D1397</f>
        <v/>
      </c>
      <c r="D1397" s="2">
        <f>'[01_Entry.xlsx]Book'!E1397</f>
        <v/>
      </c>
      <c r="E1397" s="2">
        <f>'[01_Entry.xlsx]Book'!O1397</f>
        <v/>
      </c>
      <c r="F1397" s="2">
        <f>'[01_Entry.xlsx]Book'!N1397</f>
        <v/>
      </c>
      <c r="G1397" s="3">
        <f>'[01_Entry.xlsx]Book'!L1397</f>
        <v/>
      </c>
      <c r="H1397" s="3">
        <f>'[01_Entry.xlsx]Book'!M1397</f>
        <v/>
      </c>
      <c r="I1397" s="3">
        <f>'[01_Entry.xlsx]Book'!K1397</f>
        <v/>
      </c>
      <c r="J1397" s="3">
        <f>'[01_Entry.xlsx]Book'!P1397</f>
        <v/>
      </c>
      <c r="K1397" s="3">
        <f>'[01_Entry.xlsx]Book'!F1397</f>
        <v/>
      </c>
      <c r="L1397" s="3">
        <f>'[01_Entry.xlsx]Book'!G1397</f>
        <v/>
      </c>
      <c r="M1397" s="3">
        <f>'[01_Entry.xlsx]Book'!I1397</f>
        <v/>
      </c>
      <c r="N1397" s="2">
        <f>IF($A1397="","",MID($A1397,6,2))</f>
        <v>0</v>
      </c>
      <c r="O1397" s="2">
        <f>IF(OR($C1397="",$C1397&lt;&gt;'Inv'!$D$12),"",N(O$1396)+1)</f>
        <v>0</v>
      </c>
    </row>
    <row r="1398" spans="1:15">
      <c r="A1398" s="2">
        <f>'[01_Entry.xlsx]Book'!A1398</f>
        <v/>
      </c>
      <c r="B1398" s="2">
        <f>'[01_Entry.xlsx]Book'!B1398</f>
        <v/>
      </c>
      <c r="C1398" s="2">
        <f>'[01_Entry.xlsx]Book'!D1398</f>
        <v/>
      </c>
      <c r="D1398" s="2">
        <f>'[01_Entry.xlsx]Book'!E1398</f>
        <v/>
      </c>
      <c r="E1398" s="2">
        <f>'[01_Entry.xlsx]Book'!O1398</f>
        <v/>
      </c>
      <c r="F1398" s="2">
        <f>'[01_Entry.xlsx]Book'!N1398</f>
        <v/>
      </c>
      <c r="G1398" s="3">
        <f>'[01_Entry.xlsx]Book'!L1398</f>
        <v/>
      </c>
      <c r="H1398" s="3">
        <f>'[01_Entry.xlsx]Book'!M1398</f>
        <v/>
      </c>
      <c r="I1398" s="3">
        <f>'[01_Entry.xlsx]Book'!K1398</f>
        <v/>
      </c>
      <c r="J1398" s="3">
        <f>'[01_Entry.xlsx]Book'!P1398</f>
        <v/>
      </c>
      <c r="K1398" s="3">
        <f>'[01_Entry.xlsx]Book'!F1398</f>
        <v/>
      </c>
      <c r="L1398" s="3">
        <f>'[01_Entry.xlsx]Book'!G1398</f>
        <v/>
      </c>
      <c r="M1398" s="3">
        <f>'[01_Entry.xlsx]Book'!I1398</f>
        <v/>
      </c>
      <c r="N1398" s="2">
        <f>IF($A1398="","",MID($A1398,6,2))</f>
        <v>0</v>
      </c>
      <c r="O1398" s="2">
        <f>IF(OR($C1398="",$C1398&lt;&gt;'Inv'!$D$12),"",N(O$1397)+1)</f>
        <v>0</v>
      </c>
    </row>
    <row r="1399" spans="1:15">
      <c r="A1399" s="2">
        <f>'[01_Entry.xlsx]Book'!A1399</f>
        <v/>
      </c>
      <c r="B1399" s="2">
        <f>'[01_Entry.xlsx]Book'!B1399</f>
        <v/>
      </c>
      <c r="C1399" s="2">
        <f>'[01_Entry.xlsx]Book'!D1399</f>
        <v/>
      </c>
      <c r="D1399" s="2">
        <f>'[01_Entry.xlsx]Book'!E1399</f>
        <v/>
      </c>
      <c r="E1399" s="2">
        <f>'[01_Entry.xlsx]Book'!O1399</f>
        <v/>
      </c>
      <c r="F1399" s="2">
        <f>'[01_Entry.xlsx]Book'!N1399</f>
        <v/>
      </c>
      <c r="G1399" s="3">
        <f>'[01_Entry.xlsx]Book'!L1399</f>
        <v/>
      </c>
      <c r="H1399" s="3">
        <f>'[01_Entry.xlsx]Book'!M1399</f>
        <v/>
      </c>
      <c r="I1399" s="3">
        <f>'[01_Entry.xlsx]Book'!K1399</f>
        <v/>
      </c>
      <c r="J1399" s="3">
        <f>'[01_Entry.xlsx]Book'!P1399</f>
        <v/>
      </c>
      <c r="K1399" s="3">
        <f>'[01_Entry.xlsx]Book'!F1399</f>
        <v/>
      </c>
      <c r="L1399" s="3">
        <f>'[01_Entry.xlsx]Book'!G1399</f>
        <v/>
      </c>
      <c r="M1399" s="3">
        <f>'[01_Entry.xlsx]Book'!I1399</f>
        <v/>
      </c>
      <c r="N1399" s="2">
        <f>IF($A1399="","",MID($A1399,6,2))</f>
        <v>0</v>
      </c>
      <c r="O1399" s="2">
        <f>IF(OR($C1399="",$C1399&lt;&gt;'Inv'!$D$12),"",N(O$1398)+1)</f>
        <v>0</v>
      </c>
    </row>
    <row r="1400" spans="1:15">
      <c r="A1400" s="2">
        <f>'[01_Entry.xlsx]Book'!A1400</f>
        <v/>
      </c>
      <c r="B1400" s="2">
        <f>'[01_Entry.xlsx]Book'!B1400</f>
        <v/>
      </c>
      <c r="C1400" s="2">
        <f>'[01_Entry.xlsx]Book'!D1400</f>
        <v/>
      </c>
      <c r="D1400" s="2">
        <f>'[01_Entry.xlsx]Book'!E1400</f>
        <v/>
      </c>
      <c r="E1400" s="2">
        <f>'[01_Entry.xlsx]Book'!O1400</f>
        <v/>
      </c>
      <c r="F1400" s="2">
        <f>'[01_Entry.xlsx]Book'!N1400</f>
        <v/>
      </c>
      <c r="G1400" s="3">
        <f>'[01_Entry.xlsx]Book'!L1400</f>
        <v/>
      </c>
      <c r="H1400" s="3">
        <f>'[01_Entry.xlsx]Book'!M1400</f>
        <v/>
      </c>
      <c r="I1400" s="3">
        <f>'[01_Entry.xlsx]Book'!K1400</f>
        <v/>
      </c>
      <c r="J1400" s="3">
        <f>'[01_Entry.xlsx]Book'!P1400</f>
        <v/>
      </c>
      <c r="K1400" s="3">
        <f>'[01_Entry.xlsx]Book'!F1400</f>
        <v/>
      </c>
      <c r="L1400" s="3">
        <f>'[01_Entry.xlsx]Book'!G1400</f>
        <v/>
      </c>
      <c r="M1400" s="3">
        <f>'[01_Entry.xlsx]Book'!I1400</f>
        <v/>
      </c>
      <c r="N1400" s="2">
        <f>IF($A1400="","",MID($A1400,6,2))</f>
        <v>0</v>
      </c>
      <c r="O1400" s="2">
        <f>IF(OR($C1400="",$C1400&lt;&gt;'Inv'!$D$12),"",N(O$1399)+1)</f>
        <v>0</v>
      </c>
    </row>
    <row r="1401" spans="1:15">
      <c r="A1401" s="2">
        <f>'[01_Entry.xlsx]Book'!A1401</f>
        <v/>
      </c>
      <c r="B1401" s="2">
        <f>'[01_Entry.xlsx]Book'!B1401</f>
        <v/>
      </c>
      <c r="C1401" s="2">
        <f>'[01_Entry.xlsx]Book'!D1401</f>
        <v/>
      </c>
      <c r="D1401" s="2">
        <f>'[01_Entry.xlsx]Book'!E1401</f>
        <v/>
      </c>
      <c r="E1401" s="2">
        <f>'[01_Entry.xlsx]Book'!O1401</f>
        <v/>
      </c>
      <c r="F1401" s="2">
        <f>'[01_Entry.xlsx]Book'!N1401</f>
        <v/>
      </c>
      <c r="G1401" s="3">
        <f>'[01_Entry.xlsx]Book'!L1401</f>
        <v/>
      </c>
      <c r="H1401" s="3">
        <f>'[01_Entry.xlsx]Book'!M1401</f>
        <v/>
      </c>
      <c r="I1401" s="3">
        <f>'[01_Entry.xlsx]Book'!K1401</f>
        <v/>
      </c>
      <c r="J1401" s="3">
        <f>'[01_Entry.xlsx]Book'!P1401</f>
        <v/>
      </c>
      <c r="K1401" s="3">
        <f>'[01_Entry.xlsx]Book'!F1401</f>
        <v/>
      </c>
      <c r="L1401" s="3">
        <f>'[01_Entry.xlsx]Book'!G1401</f>
        <v/>
      </c>
      <c r="M1401" s="3">
        <f>'[01_Entry.xlsx]Book'!I1401</f>
        <v/>
      </c>
      <c r="N1401" s="2">
        <f>IF($A1401="","",MID($A1401,6,2))</f>
        <v>0</v>
      </c>
      <c r="O1401" s="2">
        <f>IF(OR($C1401="",$C1401&lt;&gt;'Inv'!$D$12),"",N(O$1400)+1)</f>
        <v>0</v>
      </c>
    </row>
    <row r="1402" spans="1:15">
      <c r="A1402" s="2">
        <f>'[01_Entry.xlsx]Book'!A1402</f>
        <v/>
      </c>
      <c r="B1402" s="2">
        <f>'[01_Entry.xlsx]Book'!B1402</f>
        <v/>
      </c>
      <c r="C1402" s="2">
        <f>'[01_Entry.xlsx]Book'!D1402</f>
        <v/>
      </c>
      <c r="D1402" s="2">
        <f>'[01_Entry.xlsx]Book'!E1402</f>
        <v/>
      </c>
      <c r="E1402" s="2">
        <f>'[01_Entry.xlsx]Book'!O1402</f>
        <v/>
      </c>
      <c r="F1402" s="2">
        <f>'[01_Entry.xlsx]Book'!N1402</f>
        <v/>
      </c>
      <c r="G1402" s="3">
        <f>'[01_Entry.xlsx]Book'!L1402</f>
        <v/>
      </c>
      <c r="H1402" s="3">
        <f>'[01_Entry.xlsx]Book'!M1402</f>
        <v/>
      </c>
      <c r="I1402" s="3">
        <f>'[01_Entry.xlsx]Book'!K1402</f>
        <v/>
      </c>
      <c r="J1402" s="3">
        <f>'[01_Entry.xlsx]Book'!P1402</f>
        <v/>
      </c>
      <c r="K1402" s="3">
        <f>'[01_Entry.xlsx]Book'!F1402</f>
        <v/>
      </c>
      <c r="L1402" s="3">
        <f>'[01_Entry.xlsx]Book'!G1402</f>
        <v/>
      </c>
      <c r="M1402" s="3">
        <f>'[01_Entry.xlsx]Book'!I1402</f>
        <v/>
      </c>
      <c r="N1402" s="2">
        <f>IF($A1402="","",MID($A1402,6,2))</f>
        <v>0</v>
      </c>
      <c r="O1402" s="2">
        <f>IF(OR($C1402="",$C1402&lt;&gt;'Inv'!$D$12),"",N(O$1401)+1)</f>
        <v>0</v>
      </c>
    </row>
    <row r="1403" spans="1:15">
      <c r="A1403" s="2">
        <f>'[01_Entry.xlsx]Book'!A1403</f>
        <v/>
      </c>
      <c r="B1403" s="2">
        <f>'[01_Entry.xlsx]Book'!B1403</f>
        <v/>
      </c>
      <c r="C1403" s="2">
        <f>'[01_Entry.xlsx]Book'!D1403</f>
        <v/>
      </c>
      <c r="D1403" s="2">
        <f>'[01_Entry.xlsx]Book'!E1403</f>
        <v/>
      </c>
      <c r="E1403" s="2">
        <f>'[01_Entry.xlsx]Book'!O1403</f>
        <v/>
      </c>
      <c r="F1403" s="2">
        <f>'[01_Entry.xlsx]Book'!N1403</f>
        <v/>
      </c>
      <c r="G1403" s="3">
        <f>'[01_Entry.xlsx]Book'!L1403</f>
        <v/>
      </c>
      <c r="H1403" s="3">
        <f>'[01_Entry.xlsx]Book'!M1403</f>
        <v/>
      </c>
      <c r="I1403" s="3">
        <f>'[01_Entry.xlsx]Book'!K1403</f>
        <v/>
      </c>
      <c r="J1403" s="3">
        <f>'[01_Entry.xlsx]Book'!P1403</f>
        <v/>
      </c>
      <c r="K1403" s="3">
        <f>'[01_Entry.xlsx]Book'!F1403</f>
        <v/>
      </c>
      <c r="L1403" s="3">
        <f>'[01_Entry.xlsx]Book'!G1403</f>
        <v/>
      </c>
      <c r="M1403" s="3">
        <f>'[01_Entry.xlsx]Book'!I1403</f>
        <v/>
      </c>
      <c r="N1403" s="2">
        <f>IF($A1403="","",MID($A1403,6,2))</f>
        <v>0</v>
      </c>
      <c r="O1403" s="2">
        <f>IF(OR($C1403="",$C1403&lt;&gt;'Inv'!$D$12),"",N(O$1402)+1)</f>
        <v>0</v>
      </c>
    </row>
    <row r="1404" spans="1:15">
      <c r="A1404" s="2">
        <f>'[01_Entry.xlsx]Book'!A1404</f>
        <v/>
      </c>
      <c r="B1404" s="2">
        <f>'[01_Entry.xlsx]Book'!B1404</f>
        <v/>
      </c>
      <c r="C1404" s="2">
        <f>'[01_Entry.xlsx]Book'!D1404</f>
        <v/>
      </c>
      <c r="D1404" s="2">
        <f>'[01_Entry.xlsx]Book'!E1404</f>
        <v/>
      </c>
      <c r="E1404" s="2">
        <f>'[01_Entry.xlsx]Book'!O1404</f>
        <v/>
      </c>
      <c r="F1404" s="2">
        <f>'[01_Entry.xlsx]Book'!N1404</f>
        <v/>
      </c>
      <c r="G1404" s="3">
        <f>'[01_Entry.xlsx]Book'!L1404</f>
        <v/>
      </c>
      <c r="H1404" s="3">
        <f>'[01_Entry.xlsx]Book'!M1404</f>
        <v/>
      </c>
      <c r="I1404" s="3">
        <f>'[01_Entry.xlsx]Book'!K1404</f>
        <v/>
      </c>
      <c r="J1404" s="3">
        <f>'[01_Entry.xlsx]Book'!P1404</f>
        <v/>
      </c>
      <c r="K1404" s="3">
        <f>'[01_Entry.xlsx]Book'!F1404</f>
        <v/>
      </c>
      <c r="L1404" s="3">
        <f>'[01_Entry.xlsx]Book'!G1404</f>
        <v/>
      </c>
      <c r="M1404" s="3">
        <f>'[01_Entry.xlsx]Book'!I1404</f>
        <v/>
      </c>
      <c r="N1404" s="2">
        <f>IF($A1404="","",MID($A1404,6,2))</f>
        <v>0</v>
      </c>
      <c r="O1404" s="2">
        <f>IF(OR($C1404="",$C1404&lt;&gt;'Inv'!$D$12),"",N(O$1403)+1)</f>
        <v>0</v>
      </c>
    </row>
    <row r="1405" spans="1:15">
      <c r="A1405" s="2">
        <f>'[01_Entry.xlsx]Book'!A1405</f>
        <v/>
      </c>
      <c r="B1405" s="2">
        <f>'[01_Entry.xlsx]Book'!B1405</f>
        <v/>
      </c>
      <c r="C1405" s="2">
        <f>'[01_Entry.xlsx]Book'!D1405</f>
        <v/>
      </c>
      <c r="D1405" s="2">
        <f>'[01_Entry.xlsx]Book'!E1405</f>
        <v/>
      </c>
      <c r="E1405" s="2">
        <f>'[01_Entry.xlsx]Book'!O1405</f>
        <v/>
      </c>
      <c r="F1405" s="2">
        <f>'[01_Entry.xlsx]Book'!N1405</f>
        <v/>
      </c>
      <c r="G1405" s="3">
        <f>'[01_Entry.xlsx]Book'!L1405</f>
        <v/>
      </c>
      <c r="H1405" s="3">
        <f>'[01_Entry.xlsx]Book'!M1405</f>
        <v/>
      </c>
      <c r="I1405" s="3">
        <f>'[01_Entry.xlsx]Book'!K1405</f>
        <v/>
      </c>
      <c r="J1405" s="3">
        <f>'[01_Entry.xlsx]Book'!P1405</f>
        <v/>
      </c>
      <c r="K1405" s="3">
        <f>'[01_Entry.xlsx]Book'!F1405</f>
        <v/>
      </c>
      <c r="L1405" s="3">
        <f>'[01_Entry.xlsx]Book'!G1405</f>
        <v/>
      </c>
      <c r="M1405" s="3">
        <f>'[01_Entry.xlsx]Book'!I1405</f>
        <v/>
      </c>
      <c r="N1405" s="2">
        <f>IF($A1405="","",MID($A1405,6,2))</f>
        <v>0</v>
      </c>
      <c r="O1405" s="2">
        <f>IF(OR($C1405="",$C1405&lt;&gt;'Inv'!$D$12),"",N(O$1404)+1)</f>
        <v>0</v>
      </c>
    </row>
    <row r="1406" spans="1:15">
      <c r="A1406" s="2">
        <f>'[01_Entry.xlsx]Book'!A1406</f>
        <v/>
      </c>
      <c r="B1406" s="2">
        <f>'[01_Entry.xlsx]Book'!B1406</f>
        <v/>
      </c>
      <c r="C1406" s="2">
        <f>'[01_Entry.xlsx]Book'!D1406</f>
        <v/>
      </c>
      <c r="D1406" s="2">
        <f>'[01_Entry.xlsx]Book'!E1406</f>
        <v/>
      </c>
      <c r="E1406" s="2">
        <f>'[01_Entry.xlsx]Book'!O1406</f>
        <v/>
      </c>
      <c r="F1406" s="2">
        <f>'[01_Entry.xlsx]Book'!N1406</f>
        <v/>
      </c>
      <c r="G1406" s="3">
        <f>'[01_Entry.xlsx]Book'!L1406</f>
        <v/>
      </c>
      <c r="H1406" s="3">
        <f>'[01_Entry.xlsx]Book'!M1406</f>
        <v/>
      </c>
      <c r="I1406" s="3">
        <f>'[01_Entry.xlsx]Book'!K1406</f>
        <v/>
      </c>
      <c r="J1406" s="3">
        <f>'[01_Entry.xlsx]Book'!P1406</f>
        <v/>
      </c>
      <c r="K1406" s="3">
        <f>'[01_Entry.xlsx]Book'!F1406</f>
        <v/>
      </c>
      <c r="L1406" s="3">
        <f>'[01_Entry.xlsx]Book'!G1406</f>
        <v/>
      </c>
      <c r="M1406" s="3">
        <f>'[01_Entry.xlsx]Book'!I1406</f>
        <v/>
      </c>
      <c r="N1406" s="2">
        <f>IF($A1406="","",MID($A1406,6,2))</f>
        <v>0</v>
      </c>
      <c r="O1406" s="2">
        <f>IF(OR($C1406="",$C1406&lt;&gt;'Inv'!$D$12),"",N(O$1405)+1)</f>
        <v>0</v>
      </c>
    </row>
    <row r="1407" spans="1:15">
      <c r="A1407" s="2">
        <f>'[01_Entry.xlsx]Book'!A1407</f>
        <v/>
      </c>
      <c r="B1407" s="2">
        <f>'[01_Entry.xlsx]Book'!B1407</f>
        <v/>
      </c>
      <c r="C1407" s="2">
        <f>'[01_Entry.xlsx]Book'!D1407</f>
        <v/>
      </c>
      <c r="D1407" s="2">
        <f>'[01_Entry.xlsx]Book'!E1407</f>
        <v/>
      </c>
      <c r="E1407" s="2">
        <f>'[01_Entry.xlsx]Book'!O1407</f>
        <v/>
      </c>
      <c r="F1407" s="2">
        <f>'[01_Entry.xlsx]Book'!N1407</f>
        <v/>
      </c>
      <c r="G1407" s="3">
        <f>'[01_Entry.xlsx]Book'!L1407</f>
        <v/>
      </c>
      <c r="H1407" s="3">
        <f>'[01_Entry.xlsx]Book'!M1407</f>
        <v/>
      </c>
      <c r="I1407" s="3">
        <f>'[01_Entry.xlsx]Book'!K1407</f>
        <v/>
      </c>
      <c r="J1407" s="3">
        <f>'[01_Entry.xlsx]Book'!P1407</f>
        <v/>
      </c>
      <c r="K1407" s="3">
        <f>'[01_Entry.xlsx]Book'!F1407</f>
        <v/>
      </c>
      <c r="L1407" s="3">
        <f>'[01_Entry.xlsx]Book'!G1407</f>
        <v/>
      </c>
      <c r="M1407" s="3">
        <f>'[01_Entry.xlsx]Book'!I1407</f>
        <v/>
      </c>
      <c r="N1407" s="2">
        <f>IF($A1407="","",MID($A1407,6,2))</f>
        <v>0</v>
      </c>
      <c r="O1407" s="2">
        <f>IF(OR($C1407="",$C1407&lt;&gt;'Inv'!$D$12),"",N(O$1406)+1)</f>
        <v>0</v>
      </c>
    </row>
    <row r="1408" spans="1:15">
      <c r="A1408" s="2">
        <f>'[01_Entry.xlsx]Book'!A1408</f>
        <v/>
      </c>
      <c r="B1408" s="2">
        <f>'[01_Entry.xlsx]Book'!B1408</f>
        <v/>
      </c>
      <c r="C1408" s="2">
        <f>'[01_Entry.xlsx]Book'!D1408</f>
        <v/>
      </c>
      <c r="D1408" s="2">
        <f>'[01_Entry.xlsx]Book'!E1408</f>
        <v/>
      </c>
      <c r="E1408" s="2">
        <f>'[01_Entry.xlsx]Book'!O1408</f>
        <v/>
      </c>
      <c r="F1408" s="2">
        <f>'[01_Entry.xlsx]Book'!N1408</f>
        <v/>
      </c>
      <c r="G1408" s="3">
        <f>'[01_Entry.xlsx]Book'!L1408</f>
        <v/>
      </c>
      <c r="H1408" s="3">
        <f>'[01_Entry.xlsx]Book'!M1408</f>
        <v/>
      </c>
      <c r="I1408" s="3">
        <f>'[01_Entry.xlsx]Book'!K1408</f>
        <v/>
      </c>
      <c r="J1408" s="3">
        <f>'[01_Entry.xlsx]Book'!P1408</f>
        <v/>
      </c>
      <c r="K1408" s="3">
        <f>'[01_Entry.xlsx]Book'!F1408</f>
        <v/>
      </c>
      <c r="L1408" s="3">
        <f>'[01_Entry.xlsx]Book'!G1408</f>
        <v/>
      </c>
      <c r="M1408" s="3">
        <f>'[01_Entry.xlsx]Book'!I1408</f>
        <v/>
      </c>
      <c r="N1408" s="2">
        <f>IF($A1408="","",MID($A1408,6,2))</f>
        <v>0</v>
      </c>
      <c r="O1408" s="2">
        <f>IF(OR($C1408="",$C1408&lt;&gt;'Inv'!$D$12),"",N(O$1407)+1)</f>
        <v>0</v>
      </c>
    </row>
    <row r="1409" spans="1:15">
      <c r="A1409" s="2">
        <f>'[01_Entry.xlsx]Book'!A1409</f>
        <v/>
      </c>
      <c r="B1409" s="2">
        <f>'[01_Entry.xlsx]Book'!B1409</f>
        <v/>
      </c>
      <c r="C1409" s="2">
        <f>'[01_Entry.xlsx]Book'!D1409</f>
        <v/>
      </c>
      <c r="D1409" s="2">
        <f>'[01_Entry.xlsx]Book'!E1409</f>
        <v/>
      </c>
      <c r="E1409" s="2">
        <f>'[01_Entry.xlsx]Book'!O1409</f>
        <v/>
      </c>
      <c r="F1409" s="2">
        <f>'[01_Entry.xlsx]Book'!N1409</f>
        <v/>
      </c>
      <c r="G1409" s="3">
        <f>'[01_Entry.xlsx]Book'!L1409</f>
        <v/>
      </c>
      <c r="H1409" s="3">
        <f>'[01_Entry.xlsx]Book'!M1409</f>
        <v/>
      </c>
      <c r="I1409" s="3">
        <f>'[01_Entry.xlsx]Book'!K1409</f>
        <v/>
      </c>
      <c r="J1409" s="3">
        <f>'[01_Entry.xlsx]Book'!P1409</f>
        <v/>
      </c>
      <c r="K1409" s="3">
        <f>'[01_Entry.xlsx]Book'!F1409</f>
        <v/>
      </c>
      <c r="L1409" s="3">
        <f>'[01_Entry.xlsx]Book'!G1409</f>
        <v/>
      </c>
      <c r="M1409" s="3">
        <f>'[01_Entry.xlsx]Book'!I1409</f>
        <v/>
      </c>
      <c r="N1409" s="2">
        <f>IF($A1409="","",MID($A1409,6,2))</f>
        <v>0</v>
      </c>
      <c r="O1409" s="2">
        <f>IF(OR($C1409="",$C1409&lt;&gt;'Inv'!$D$12),"",N(O$1408)+1)</f>
        <v>0</v>
      </c>
    </row>
    <row r="1410" spans="1:15">
      <c r="A1410" s="2">
        <f>'[01_Entry.xlsx]Book'!A1410</f>
        <v/>
      </c>
      <c r="B1410" s="2">
        <f>'[01_Entry.xlsx]Book'!B1410</f>
        <v/>
      </c>
      <c r="C1410" s="2">
        <f>'[01_Entry.xlsx]Book'!D1410</f>
        <v/>
      </c>
      <c r="D1410" s="2">
        <f>'[01_Entry.xlsx]Book'!E1410</f>
        <v/>
      </c>
      <c r="E1410" s="2">
        <f>'[01_Entry.xlsx]Book'!O1410</f>
        <v/>
      </c>
      <c r="F1410" s="2">
        <f>'[01_Entry.xlsx]Book'!N1410</f>
        <v/>
      </c>
      <c r="G1410" s="3">
        <f>'[01_Entry.xlsx]Book'!L1410</f>
        <v/>
      </c>
      <c r="H1410" s="3">
        <f>'[01_Entry.xlsx]Book'!M1410</f>
        <v/>
      </c>
      <c r="I1410" s="3">
        <f>'[01_Entry.xlsx]Book'!K1410</f>
        <v/>
      </c>
      <c r="J1410" s="3">
        <f>'[01_Entry.xlsx]Book'!P1410</f>
        <v/>
      </c>
      <c r="K1410" s="3">
        <f>'[01_Entry.xlsx]Book'!F1410</f>
        <v/>
      </c>
      <c r="L1410" s="3">
        <f>'[01_Entry.xlsx]Book'!G1410</f>
        <v/>
      </c>
      <c r="M1410" s="3">
        <f>'[01_Entry.xlsx]Book'!I1410</f>
        <v/>
      </c>
      <c r="N1410" s="2">
        <f>IF($A1410="","",MID($A1410,6,2))</f>
        <v>0</v>
      </c>
      <c r="O1410" s="2">
        <f>IF(OR($C1410="",$C1410&lt;&gt;'Inv'!$D$12),"",N(O$1409)+1)</f>
        <v>0</v>
      </c>
    </row>
    <row r="1411" spans="1:15">
      <c r="A1411" s="2">
        <f>'[01_Entry.xlsx]Book'!A1411</f>
        <v/>
      </c>
      <c r="B1411" s="2">
        <f>'[01_Entry.xlsx]Book'!B1411</f>
        <v/>
      </c>
      <c r="C1411" s="2">
        <f>'[01_Entry.xlsx]Book'!D1411</f>
        <v/>
      </c>
      <c r="D1411" s="2">
        <f>'[01_Entry.xlsx]Book'!E1411</f>
        <v/>
      </c>
      <c r="E1411" s="2">
        <f>'[01_Entry.xlsx]Book'!O1411</f>
        <v/>
      </c>
      <c r="F1411" s="2">
        <f>'[01_Entry.xlsx]Book'!N1411</f>
        <v/>
      </c>
      <c r="G1411" s="3">
        <f>'[01_Entry.xlsx]Book'!L1411</f>
        <v/>
      </c>
      <c r="H1411" s="3">
        <f>'[01_Entry.xlsx]Book'!M1411</f>
        <v/>
      </c>
      <c r="I1411" s="3">
        <f>'[01_Entry.xlsx]Book'!K1411</f>
        <v/>
      </c>
      <c r="J1411" s="3">
        <f>'[01_Entry.xlsx]Book'!P1411</f>
        <v/>
      </c>
      <c r="K1411" s="3">
        <f>'[01_Entry.xlsx]Book'!F1411</f>
        <v/>
      </c>
      <c r="L1411" s="3">
        <f>'[01_Entry.xlsx]Book'!G1411</f>
        <v/>
      </c>
      <c r="M1411" s="3">
        <f>'[01_Entry.xlsx]Book'!I1411</f>
        <v/>
      </c>
      <c r="N1411" s="2">
        <f>IF($A1411="","",MID($A1411,6,2))</f>
        <v>0</v>
      </c>
      <c r="O1411" s="2">
        <f>IF(OR($C1411="",$C1411&lt;&gt;'Inv'!$D$12),"",N(O$1410)+1)</f>
        <v>0</v>
      </c>
    </row>
    <row r="1412" spans="1:15">
      <c r="A1412" s="2">
        <f>'[01_Entry.xlsx]Book'!A1412</f>
        <v/>
      </c>
      <c r="B1412" s="2">
        <f>'[01_Entry.xlsx]Book'!B1412</f>
        <v/>
      </c>
      <c r="C1412" s="2">
        <f>'[01_Entry.xlsx]Book'!D1412</f>
        <v/>
      </c>
      <c r="D1412" s="2">
        <f>'[01_Entry.xlsx]Book'!E1412</f>
        <v/>
      </c>
      <c r="E1412" s="2">
        <f>'[01_Entry.xlsx]Book'!O1412</f>
        <v/>
      </c>
      <c r="F1412" s="2">
        <f>'[01_Entry.xlsx]Book'!N1412</f>
        <v/>
      </c>
      <c r="G1412" s="3">
        <f>'[01_Entry.xlsx]Book'!L1412</f>
        <v/>
      </c>
      <c r="H1412" s="3">
        <f>'[01_Entry.xlsx]Book'!M1412</f>
        <v/>
      </c>
      <c r="I1412" s="3">
        <f>'[01_Entry.xlsx]Book'!K1412</f>
        <v/>
      </c>
      <c r="J1412" s="3">
        <f>'[01_Entry.xlsx]Book'!P1412</f>
        <v/>
      </c>
      <c r="K1412" s="3">
        <f>'[01_Entry.xlsx]Book'!F1412</f>
        <v/>
      </c>
      <c r="L1412" s="3">
        <f>'[01_Entry.xlsx]Book'!G1412</f>
        <v/>
      </c>
      <c r="M1412" s="3">
        <f>'[01_Entry.xlsx]Book'!I1412</f>
        <v/>
      </c>
      <c r="N1412" s="2">
        <f>IF($A1412="","",MID($A1412,6,2))</f>
        <v>0</v>
      </c>
      <c r="O1412" s="2">
        <f>IF(OR($C1412="",$C1412&lt;&gt;'Inv'!$D$12),"",N(O$1411)+1)</f>
        <v>0</v>
      </c>
    </row>
    <row r="1413" spans="1:15">
      <c r="A1413" s="2">
        <f>'[01_Entry.xlsx]Book'!A1413</f>
        <v/>
      </c>
      <c r="B1413" s="2">
        <f>'[01_Entry.xlsx]Book'!B1413</f>
        <v/>
      </c>
      <c r="C1413" s="2">
        <f>'[01_Entry.xlsx]Book'!D1413</f>
        <v/>
      </c>
      <c r="D1413" s="2">
        <f>'[01_Entry.xlsx]Book'!E1413</f>
        <v/>
      </c>
      <c r="E1413" s="2">
        <f>'[01_Entry.xlsx]Book'!O1413</f>
        <v/>
      </c>
      <c r="F1413" s="2">
        <f>'[01_Entry.xlsx]Book'!N1413</f>
        <v/>
      </c>
      <c r="G1413" s="3">
        <f>'[01_Entry.xlsx]Book'!L1413</f>
        <v/>
      </c>
      <c r="H1413" s="3">
        <f>'[01_Entry.xlsx]Book'!M1413</f>
        <v/>
      </c>
      <c r="I1413" s="3">
        <f>'[01_Entry.xlsx]Book'!K1413</f>
        <v/>
      </c>
      <c r="J1413" s="3">
        <f>'[01_Entry.xlsx]Book'!P1413</f>
        <v/>
      </c>
      <c r="K1413" s="3">
        <f>'[01_Entry.xlsx]Book'!F1413</f>
        <v/>
      </c>
      <c r="L1413" s="3">
        <f>'[01_Entry.xlsx]Book'!G1413</f>
        <v/>
      </c>
      <c r="M1413" s="3">
        <f>'[01_Entry.xlsx]Book'!I1413</f>
        <v/>
      </c>
      <c r="N1413" s="2">
        <f>IF($A1413="","",MID($A1413,6,2))</f>
        <v>0</v>
      </c>
      <c r="O1413" s="2">
        <f>IF(OR($C1413="",$C1413&lt;&gt;'Inv'!$D$12),"",N(O$1412)+1)</f>
        <v>0</v>
      </c>
    </row>
    <row r="1414" spans="1:15">
      <c r="A1414" s="2">
        <f>'[01_Entry.xlsx]Book'!A1414</f>
        <v/>
      </c>
      <c r="B1414" s="2">
        <f>'[01_Entry.xlsx]Book'!B1414</f>
        <v/>
      </c>
      <c r="C1414" s="2">
        <f>'[01_Entry.xlsx]Book'!D1414</f>
        <v/>
      </c>
      <c r="D1414" s="2">
        <f>'[01_Entry.xlsx]Book'!E1414</f>
        <v/>
      </c>
      <c r="E1414" s="2">
        <f>'[01_Entry.xlsx]Book'!O1414</f>
        <v/>
      </c>
      <c r="F1414" s="2">
        <f>'[01_Entry.xlsx]Book'!N1414</f>
        <v/>
      </c>
      <c r="G1414" s="3">
        <f>'[01_Entry.xlsx]Book'!L1414</f>
        <v/>
      </c>
      <c r="H1414" s="3">
        <f>'[01_Entry.xlsx]Book'!M1414</f>
        <v/>
      </c>
      <c r="I1414" s="3">
        <f>'[01_Entry.xlsx]Book'!K1414</f>
        <v/>
      </c>
      <c r="J1414" s="3">
        <f>'[01_Entry.xlsx]Book'!P1414</f>
        <v/>
      </c>
      <c r="K1414" s="3">
        <f>'[01_Entry.xlsx]Book'!F1414</f>
        <v/>
      </c>
      <c r="L1414" s="3">
        <f>'[01_Entry.xlsx]Book'!G1414</f>
        <v/>
      </c>
      <c r="M1414" s="3">
        <f>'[01_Entry.xlsx]Book'!I1414</f>
        <v/>
      </c>
      <c r="N1414" s="2">
        <f>IF($A1414="","",MID($A1414,6,2))</f>
        <v>0</v>
      </c>
      <c r="O1414" s="2">
        <f>IF(OR($C1414="",$C1414&lt;&gt;'Inv'!$D$12),"",N(O$1413)+1)</f>
        <v>0</v>
      </c>
    </row>
    <row r="1415" spans="1:15">
      <c r="A1415" s="2">
        <f>'[01_Entry.xlsx]Book'!A1415</f>
        <v/>
      </c>
      <c r="B1415" s="2">
        <f>'[01_Entry.xlsx]Book'!B1415</f>
        <v/>
      </c>
      <c r="C1415" s="2">
        <f>'[01_Entry.xlsx]Book'!D1415</f>
        <v/>
      </c>
      <c r="D1415" s="2">
        <f>'[01_Entry.xlsx]Book'!E1415</f>
        <v/>
      </c>
      <c r="E1415" s="2">
        <f>'[01_Entry.xlsx]Book'!O1415</f>
        <v/>
      </c>
      <c r="F1415" s="2">
        <f>'[01_Entry.xlsx]Book'!N1415</f>
        <v/>
      </c>
      <c r="G1415" s="3">
        <f>'[01_Entry.xlsx]Book'!L1415</f>
        <v/>
      </c>
      <c r="H1415" s="3">
        <f>'[01_Entry.xlsx]Book'!M1415</f>
        <v/>
      </c>
      <c r="I1415" s="3">
        <f>'[01_Entry.xlsx]Book'!K1415</f>
        <v/>
      </c>
      <c r="J1415" s="3">
        <f>'[01_Entry.xlsx]Book'!P1415</f>
        <v/>
      </c>
      <c r="K1415" s="3">
        <f>'[01_Entry.xlsx]Book'!F1415</f>
        <v/>
      </c>
      <c r="L1415" s="3">
        <f>'[01_Entry.xlsx]Book'!G1415</f>
        <v/>
      </c>
      <c r="M1415" s="3">
        <f>'[01_Entry.xlsx]Book'!I1415</f>
        <v/>
      </c>
      <c r="N1415" s="2">
        <f>IF($A1415="","",MID($A1415,6,2))</f>
        <v>0</v>
      </c>
      <c r="O1415" s="2">
        <f>IF(OR($C1415="",$C1415&lt;&gt;'Inv'!$D$12),"",N(O$1414)+1)</f>
        <v>0</v>
      </c>
    </row>
    <row r="1416" spans="1:15">
      <c r="A1416" s="2">
        <f>'[01_Entry.xlsx]Book'!A1416</f>
        <v/>
      </c>
      <c r="B1416" s="2">
        <f>'[01_Entry.xlsx]Book'!B1416</f>
        <v/>
      </c>
      <c r="C1416" s="2">
        <f>'[01_Entry.xlsx]Book'!D1416</f>
        <v/>
      </c>
      <c r="D1416" s="2">
        <f>'[01_Entry.xlsx]Book'!E1416</f>
        <v/>
      </c>
      <c r="E1416" s="2">
        <f>'[01_Entry.xlsx]Book'!O1416</f>
        <v/>
      </c>
      <c r="F1416" s="2">
        <f>'[01_Entry.xlsx]Book'!N1416</f>
        <v/>
      </c>
      <c r="G1416" s="3">
        <f>'[01_Entry.xlsx]Book'!L1416</f>
        <v/>
      </c>
      <c r="H1416" s="3">
        <f>'[01_Entry.xlsx]Book'!M1416</f>
        <v/>
      </c>
      <c r="I1416" s="3">
        <f>'[01_Entry.xlsx]Book'!K1416</f>
        <v/>
      </c>
      <c r="J1416" s="3">
        <f>'[01_Entry.xlsx]Book'!P1416</f>
        <v/>
      </c>
      <c r="K1416" s="3">
        <f>'[01_Entry.xlsx]Book'!F1416</f>
        <v/>
      </c>
      <c r="L1416" s="3">
        <f>'[01_Entry.xlsx]Book'!G1416</f>
        <v/>
      </c>
      <c r="M1416" s="3">
        <f>'[01_Entry.xlsx]Book'!I1416</f>
        <v/>
      </c>
      <c r="N1416" s="2">
        <f>IF($A1416="","",MID($A1416,6,2))</f>
        <v>0</v>
      </c>
      <c r="O1416" s="2">
        <f>IF(OR($C1416="",$C1416&lt;&gt;'Inv'!$D$12),"",N(O$1415)+1)</f>
        <v>0</v>
      </c>
    </row>
    <row r="1417" spans="1:15">
      <c r="A1417" s="2">
        <f>'[01_Entry.xlsx]Book'!A1417</f>
        <v/>
      </c>
      <c r="B1417" s="2">
        <f>'[01_Entry.xlsx]Book'!B1417</f>
        <v/>
      </c>
      <c r="C1417" s="2">
        <f>'[01_Entry.xlsx]Book'!D1417</f>
        <v/>
      </c>
      <c r="D1417" s="2">
        <f>'[01_Entry.xlsx]Book'!E1417</f>
        <v/>
      </c>
      <c r="E1417" s="2">
        <f>'[01_Entry.xlsx]Book'!O1417</f>
        <v/>
      </c>
      <c r="F1417" s="2">
        <f>'[01_Entry.xlsx]Book'!N1417</f>
        <v/>
      </c>
      <c r="G1417" s="3">
        <f>'[01_Entry.xlsx]Book'!L1417</f>
        <v/>
      </c>
      <c r="H1417" s="3">
        <f>'[01_Entry.xlsx]Book'!M1417</f>
        <v/>
      </c>
      <c r="I1417" s="3">
        <f>'[01_Entry.xlsx]Book'!K1417</f>
        <v/>
      </c>
      <c r="J1417" s="3">
        <f>'[01_Entry.xlsx]Book'!P1417</f>
        <v/>
      </c>
      <c r="K1417" s="3">
        <f>'[01_Entry.xlsx]Book'!F1417</f>
        <v/>
      </c>
      <c r="L1417" s="3">
        <f>'[01_Entry.xlsx]Book'!G1417</f>
        <v/>
      </c>
      <c r="M1417" s="3">
        <f>'[01_Entry.xlsx]Book'!I1417</f>
        <v/>
      </c>
      <c r="N1417" s="2">
        <f>IF($A1417="","",MID($A1417,6,2))</f>
        <v>0</v>
      </c>
      <c r="O1417" s="2">
        <f>IF(OR($C1417="",$C1417&lt;&gt;'Inv'!$D$12),"",N(O$1416)+1)</f>
        <v>0</v>
      </c>
    </row>
    <row r="1418" spans="1:15">
      <c r="A1418" s="2">
        <f>'[01_Entry.xlsx]Book'!A1418</f>
        <v/>
      </c>
      <c r="B1418" s="2">
        <f>'[01_Entry.xlsx]Book'!B1418</f>
        <v/>
      </c>
      <c r="C1418" s="2">
        <f>'[01_Entry.xlsx]Book'!D1418</f>
        <v/>
      </c>
      <c r="D1418" s="2">
        <f>'[01_Entry.xlsx]Book'!E1418</f>
        <v/>
      </c>
      <c r="E1418" s="2">
        <f>'[01_Entry.xlsx]Book'!O1418</f>
        <v/>
      </c>
      <c r="F1418" s="2">
        <f>'[01_Entry.xlsx]Book'!N1418</f>
        <v/>
      </c>
      <c r="G1418" s="3">
        <f>'[01_Entry.xlsx]Book'!L1418</f>
        <v/>
      </c>
      <c r="H1418" s="3">
        <f>'[01_Entry.xlsx]Book'!M1418</f>
        <v/>
      </c>
      <c r="I1418" s="3">
        <f>'[01_Entry.xlsx]Book'!K1418</f>
        <v/>
      </c>
      <c r="J1418" s="3">
        <f>'[01_Entry.xlsx]Book'!P1418</f>
        <v/>
      </c>
      <c r="K1418" s="3">
        <f>'[01_Entry.xlsx]Book'!F1418</f>
        <v/>
      </c>
      <c r="L1418" s="3">
        <f>'[01_Entry.xlsx]Book'!G1418</f>
        <v/>
      </c>
      <c r="M1418" s="3">
        <f>'[01_Entry.xlsx]Book'!I1418</f>
        <v/>
      </c>
      <c r="N1418" s="2">
        <f>IF($A1418="","",MID($A1418,6,2))</f>
        <v>0</v>
      </c>
      <c r="O1418" s="2">
        <f>IF(OR($C1418="",$C1418&lt;&gt;'Inv'!$D$12),"",N(O$1417)+1)</f>
        <v>0</v>
      </c>
    </row>
    <row r="1419" spans="1:15">
      <c r="A1419" s="2">
        <f>'[01_Entry.xlsx]Book'!A1419</f>
        <v/>
      </c>
      <c r="B1419" s="2">
        <f>'[01_Entry.xlsx]Book'!B1419</f>
        <v/>
      </c>
      <c r="C1419" s="2">
        <f>'[01_Entry.xlsx]Book'!D1419</f>
        <v/>
      </c>
      <c r="D1419" s="2">
        <f>'[01_Entry.xlsx]Book'!E1419</f>
        <v/>
      </c>
      <c r="E1419" s="2">
        <f>'[01_Entry.xlsx]Book'!O1419</f>
        <v/>
      </c>
      <c r="F1419" s="2">
        <f>'[01_Entry.xlsx]Book'!N1419</f>
        <v/>
      </c>
      <c r="G1419" s="3">
        <f>'[01_Entry.xlsx]Book'!L1419</f>
        <v/>
      </c>
      <c r="H1419" s="3">
        <f>'[01_Entry.xlsx]Book'!M1419</f>
        <v/>
      </c>
      <c r="I1419" s="3">
        <f>'[01_Entry.xlsx]Book'!K1419</f>
        <v/>
      </c>
      <c r="J1419" s="3">
        <f>'[01_Entry.xlsx]Book'!P1419</f>
        <v/>
      </c>
      <c r="K1419" s="3">
        <f>'[01_Entry.xlsx]Book'!F1419</f>
        <v/>
      </c>
      <c r="L1419" s="3">
        <f>'[01_Entry.xlsx]Book'!G1419</f>
        <v/>
      </c>
      <c r="M1419" s="3">
        <f>'[01_Entry.xlsx]Book'!I1419</f>
        <v/>
      </c>
      <c r="N1419" s="2">
        <f>IF($A1419="","",MID($A1419,6,2))</f>
        <v>0</v>
      </c>
      <c r="O1419" s="2">
        <f>IF(OR($C1419="",$C1419&lt;&gt;'Inv'!$D$12),"",N(O$1418)+1)</f>
        <v>0</v>
      </c>
    </row>
    <row r="1420" spans="1:15">
      <c r="A1420" s="2">
        <f>'[01_Entry.xlsx]Book'!A1420</f>
        <v/>
      </c>
      <c r="B1420" s="2">
        <f>'[01_Entry.xlsx]Book'!B1420</f>
        <v/>
      </c>
      <c r="C1420" s="2">
        <f>'[01_Entry.xlsx]Book'!D1420</f>
        <v/>
      </c>
      <c r="D1420" s="2">
        <f>'[01_Entry.xlsx]Book'!E1420</f>
        <v/>
      </c>
      <c r="E1420" s="2">
        <f>'[01_Entry.xlsx]Book'!O1420</f>
        <v/>
      </c>
      <c r="F1420" s="2">
        <f>'[01_Entry.xlsx]Book'!N1420</f>
        <v/>
      </c>
      <c r="G1420" s="3">
        <f>'[01_Entry.xlsx]Book'!L1420</f>
        <v/>
      </c>
      <c r="H1420" s="3">
        <f>'[01_Entry.xlsx]Book'!M1420</f>
        <v/>
      </c>
      <c r="I1420" s="3">
        <f>'[01_Entry.xlsx]Book'!K1420</f>
        <v/>
      </c>
      <c r="J1420" s="3">
        <f>'[01_Entry.xlsx]Book'!P1420</f>
        <v/>
      </c>
      <c r="K1420" s="3">
        <f>'[01_Entry.xlsx]Book'!F1420</f>
        <v/>
      </c>
      <c r="L1420" s="3">
        <f>'[01_Entry.xlsx]Book'!G1420</f>
        <v/>
      </c>
      <c r="M1420" s="3">
        <f>'[01_Entry.xlsx]Book'!I1420</f>
        <v/>
      </c>
      <c r="N1420" s="2">
        <f>IF($A1420="","",MID($A1420,6,2))</f>
        <v>0</v>
      </c>
      <c r="O1420" s="2">
        <f>IF(OR($C1420="",$C1420&lt;&gt;'Inv'!$D$12),"",N(O$1419)+1)</f>
        <v>0</v>
      </c>
    </row>
    <row r="1421" spans="1:15">
      <c r="A1421" s="2">
        <f>'[01_Entry.xlsx]Book'!A1421</f>
        <v/>
      </c>
      <c r="B1421" s="2">
        <f>'[01_Entry.xlsx]Book'!B1421</f>
        <v/>
      </c>
      <c r="C1421" s="2">
        <f>'[01_Entry.xlsx]Book'!D1421</f>
        <v/>
      </c>
      <c r="D1421" s="2">
        <f>'[01_Entry.xlsx]Book'!E1421</f>
        <v/>
      </c>
      <c r="E1421" s="2">
        <f>'[01_Entry.xlsx]Book'!O1421</f>
        <v/>
      </c>
      <c r="F1421" s="2">
        <f>'[01_Entry.xlsx]Book'!N1421</f>
        <v/>
      </c>
      <c r="G1421" s="3">
        <f>'[01_Entry.xlsx]Book'!L1421</f>
        <v/>
      </c>
      <c r="H1421" s="3">
        <f>'[01_Entry.xlsx]Book'!M1421</f>
        <v/>
      </c>
      <c r="I1421" s="3">
        <f>'[01_Entry.xlsx]Book'!K1421</f>
        <v/>
      </c>
      <c r="J1421" s="3">
        <f>'[01_Entry.xlsx]Book'!P1421</f>
        <v/>
      </c>
      <c r="K1421" s="3">
        <f>'[01_Entry.xlsx]Book'!F1421</f>
        <v/>
      </c>
      <c r="L1421" s="3">
        <f>'[01_Entry.xlsx]Book'!G1421</f>
        <v/>
      </c>
      <c r="M1421" s="3">
        <f>'[01_Entry.xlsx]Book'!I1421</f>
        <v/>
      </c>
      <c r="N1421" s="2">
        <f>IF($A1421="","",MID($A1421,6,2))</f>
        <v>0</v>
      </c>
      <c r="O1421" s="2">
        <f>IF(OR($C1421="",$C1421&lt;&gt;'Inv'!$D$12),"",N(O$1420)+1)</f>
        <v>0</v>
      </c>
    </row>
    <row r="1422" spans="1:15">
      <c r="A1422" s="2">
        <f>'[01_Entry.xlsx]Book'!A1422</f>
        <v/>
      </c>
      <c r="B1422" s="2">
        <f>'[01_Entry.xlsx]Book'!B1422</f>
        <v/>
      </c>
      <c r="C1422" s="2">
        <f>'[01_Entry.xlsx]Book'!D1422</f>
        <v/>
      </c>
      <c r="D1422" s="2">
        <f>'[01_Entry.xlsx]Book'!E1422</f>
        <v/>
      </c>
      <c r="E1422" s="2">
        <f>'[01_Entry.xlsx]Book'!O1422</f>
        <v/>
      </c>
      <c r="F1422" s="2">
        <f>'[01_Entry.xlsx]Book'!N1422</f>
        <v/>
      </c>
      <c r="G1422" s="3">
        <f>'[01_Entry.xlsx]Book'!L1422</f>
        <v/>
      </c>
      <c r="H1422" s="3">
        <f>'[01_Entry.xlsx]Book'!M1422</f>
        <v/>
      </c>
      <c r="I1422" s="3">
        <f>'[01_Entry.xlsx]Book'!K1422</f>
        <v/>
      </c>
      <c r="J1422" s="3">
        <f>'[01_Entry.xlsx]Book'!P1422</f>
        <v/>
      </c>
      <c r="K1422" s="3">
        <f>'[01_Entry.xlsx]Book'!F1422</f>
        <v/>
      </c>
      <c r="L1422" s="3">
        <f>'[01_Entry.xlsx]Book'!G1422</f>
        <v/>
      </c>
      <c r="M1422" s="3">
        <f>'[01_Entry.xlsx]Book'!I1422</f>
        <v/>
      </c>
      <c r="N1422" s="2">
        <f>IF($A1422="","",MID($A1422,6,2))</f>
        <v>0</v>
      </c>
      <c r="O1422" s="2">
        <f>IF(OR($C1422="",$C1422&lt;&gt;'Inv'!$D$12),"",N(O$1421)+1)</f>
        <v>0</v>
      </c>
    </row>
    <row r="1423" spans="1:15">
      <c r="A1423" s="2">
        <f>'[01_Entry.xlsx]Book'!A1423</f>
        <v/>
      </c>
      <c r="B1423" s="2">
        <f>'[01_Entry.xlsx]Book'!B1423</f>
        <v/>
      </c>
      <c r="C1423" s="2">
        <f>'[01_Entry.xlsx]Book'!D1423</f>
        <v/>
      </c>
      <c r="D1423" s="2">
        <f>'[01_Entry.xlsx]Book'!E1423</f>
        <v/>
      </c>
      <c r="E1423" s="2">
        <f>'[01_Entry.xlsx]Book'!O1423</f>
        <v/>
      </c>
      <c r="F1423" s="2">
        <f>'[01_Entry.xlsx]Book'!N1423</f>
        <v/>
      </c>
      <c r="G1423" s="3">
        <f>'[01_Entry.xlsx]Book'!L1423</f>
        <v/>
      </c>
      <c r="H1423" s="3">
        <f>'[01_Entry.xlsx]Book'!M1423</f>
        <v/>
      </c>
      <c r="I1423" s="3">
        <f>'[01_Entry.xlsx]Book'!K1423</f>
        <v/>
      </c>
      <c r="J1423" s="3">
        <f>'[01_Entry.xlsx]Book'!P1423</f>
        <v/>
      </c>
      <c r="K1423" s="3">
        <f>'[01_Entry.xlsx]Book'!F1423</f>
        <v/>
      </c>
      <c r="L1423" s="3">
        <f>'[01_Entry.xlsx]Book'!G1423</f>
        <v/>
      </c>
      <c r="M1423" s="3">
        <f>'[01_Entry.xlsx]Book'!I1423</f>
        <v/>
      </c>
      <c r="N1423" s="2">
        <f>IF($A1423="","",MID($A1423,6,2))</f>
        <v>0</v>
      </c>
      <c r="O1423" s="2">
        <f>IF(OR($C1423="",$C1423&lt;&gt;'Inv'!$D$12),"",N(O$1422)+1)</f>
        <v>0</v>
      </c>
    </row>
    <row r="1424" spans="1:15">
      <c r="A1424" s="2">
        <f>'[01_Entry.xlsx]Book'!A1424</f>
        <v/>
      </c>
      <c r="B1424" s="2">
        <f>'[01_Entry.xlsx]Book'!B1424</f>
        <v/>
      </c>
      <c r="C1424" s="2">
        <f>'[01_Entry.xlsx]Book'!D1424</f>
        <v/>
      </c>
      <c r="D1424" s="2">
        <f>'[01_Entry.xlsx]Book'!E1424</f>
        <v/>
      </c>
      <c r="E1424" s="2">
        <f>'[01_Entry.xlsx]Book'!O1424</f>
        <v/>
      </c>
      <c r="F1424" s="2">
        <f>'[01_Entry.xlsx]Book'!N1424</f>
        <v/>
      </c>
      <c r="G1424" s="3">
        <f>'[01_Entry.xlsx]Book'!L1424</f>
        <v/>
      </c>
      <c r="H1424" s="3">
        <f>'[01_Entry.xlsx]Book'!M1424</f>
        <v/>
      </c>
      <c r="I1424" s="3">
        <f>'[01_Entry.xlsx]Book'!K1424</f>
        <v/>
      </c>
      <c r="J1424" s="3">
        <f>'[01_Entry.xlsx]Book'!P1424</f>
        <v/>
      </c>
      <c r="K1424" s="3">
        <f>'[01_Entry.xlsx]Book'!F1424</f>
        <v/>
      </c>
      <c r="L1424" s="3">
        <f>'[01_Entry.xlsx]Book'!G1424</f>
        <v/>
      </c>
      <c r="M1424" s="3">
        <f>'[01_Entry.xlsx]Book'!I1424</f>
        <v/>
      </c>
      <c r="N1424" s="2">
        <f>IF($A1424="","",MID($A1424,6,2))</f>
        <v>0</v>
      </c>
      <c r="O1424" s="2">
        <f>IF(OR($C1424="",$C1424&lt;&gt;'Inv'!$D$12),"",N(O$1423)+1)</f>
        <v>0</v>
      </c>
    </row>
    <row r="1425" spans="1:15">
      <c r="A1425" s="2">
        <f>'[01_Entry.xlsx]Book'!A1425</f>
        <v/>
      </c>
      <c r="B1425" s="2">
        <f>'[01_Entry.xlsx]Book'!B1425</f>
        <v/>
      </c>
      <c r="C1425" s="2">
        <f>'[01_Entry.xlsx]Book'!D1425</f>
        <v/>
      </c>
      <c r="D1425" s="2">
        <f>'[01_Entry.xlsx]Book'!E1425</f>
        <v/>
      </c>
      <c r="E1425" s="2">
        <f>'[01_Entry.xlsx]Book'!O1425</f>
        <v/>
      </c>
      <c r="F1425" s="2">
        <f>'[01_Entry.xlsx]Book'!N1425</f>
        <v/>
      </c>
      <c r="G1425" s="3">
        <f>'[01_Entry.xlsx]Book'!L1425</f>
        <v/>
      </c>
      <c r="H1425" s="3">
        <f>'[01_Entry.xlsx]Book'!M1425</f>
        <v/>
      </c>
      <c r="I1425" s="3">
        <f>'[01_Entry.xlsx]Book'!K1425</f>
        <v/>
      </c>
      <c r="J1425" s="3">
        <f>'[01_Entry.xlsx]Book'!P1425</f>
        <v/>
      </c>
      <c r="K1425" s="3">
        <f>'[01_Entry.xlsx]Book'!F1425</f>
        <v/>
      </c>
      <c r="L1425" s="3">
        <f>'[01_Entry.xlsx]Book'!G1425</f>
        <v/>
      </c>
      <c r="M1425" s="3">
        <f>'[01_Entry.xlsx]Book'!I1425</f>
        <v/>
      </c>
      <c r="N1425" s="2">
        <f>IF($A1425="","",MID($A1425,6,2))</f>
        <v>0</v>
      </c>
      <c r="O1425" s="2">
        <f>IF(OR($C1425="",$C1425&lt;&gt;'Inv'!$D$12),"",N(O$1424)+1)</f>
        <v>0</v>
      </c>
    </row>
    <row r="1426" spans="1:15">
      <c r="A1426" s="2">
        <f>'[01_Entry.xlsx]Book'!A1426</f>
        <v/>
      </c>
      <c r="B1426" s="2">
        <f>'[01_Entry.xlsx]Book'!B1426</f>
        <v/>
      </c>
      <c r="C1426" s="2">
        <f>'[01_Entry.xlsx]Book'!D1426</f>
        <v/>
      </c>
      <c r="D1426" s="2">
        <f>'[01_Entry.xlsx]Book'!E1426</f>
        <v/>
      </c>
      <c r="E1426" s="2">
        <f>'[01_Entry.xlsx]Book'!O1426</f>
        <v/>
      </c>
      <c r="F1426" s="2">
        <f>'[01_Entry.xlsx]Book'!N1426</f>
        <v/>
      </c>
      <c r="G1426" s="3">
        <f>'[01_Entry.xlsx]Book'!L1426</f>
        <v/>
      </c>
      <c r="H1426" s="3">
        <f>'[01_Entry.xlsx]Book'!M1426</f>
        <v/>
      </c>
      <c r="I1426" s="3">
        <f>'[01_Entry.xlsx]Book'!K1426</f>
        <v/>
      </c>
      <c r="J1426" s="3">
        <f>'[01_Entry.xlsx]Book'!P1426</f>
        <v/>
      </c>
      <c r="K1426" s="3">
        <f>'[01_Entry.xlsx]Book'!F1426</f>
        <v/>
      </c>
      <c r="L1426" s="3">
        <f>'[01_Entry.xlsx]Book'!G1426</f>
        <v/>
      </c>
      <c r="M1426" s="3">
        <f>'[01_Entry.xlsx]Book'!I1426</f>
        <v/>
      </c>
      <c r="N1426" s="2">
        <f>IF($A1426="","",MID($A1426,6,2))</f>
        <v>0</v>
      </c>
      <c r="O1426" s="2">
        <f>IF(OR($C1426="",$C1426&lt;&gt;'Inv'!$D$12),"",N(O$1425)+1)</f>
        <v>0</v>
      </c>
    </row>
    <row r="1427" spans="1:15">
      <c r="A1427" s="2">
        <f>'[01_Entry.xlsx]Book'!A1427</f>
        <v/>
      </c>
      <c r="B1427" s="2">
        <f>'[01_Entry.xlsx]Book'!B1427</f>
        <v/>
      </c>
      <c r="C1427" s="2">
        <f>'[01_Entry.xlsx]Book'!D1427</f>
        <v/>
      </c>
      <c r="D1427" s="2">
        <f>'[01_Entry.xlsx]Book'!E1427</f>
        <v/>
      </c>
      <c r="E1427" s="2">
        <f>'[01_Entry.xlsx]Book'!O1427</f>
        <v/>
      </c>
      <c r="F1427" s="2">
        <f>'[01_Entry.xlsx]Book'!N1427</f>
        <v/>
      </c>
      <c r="G1427" s="3">
        <f>'[01_Entry.xlsx]Book'!L1427</f>
        <v/>
      </c>
      <c r="H1427" s="3">
        <f>'[01_Entry.xlsx]Book'!M1427</f>
        <v/>
      </c>
      <c r="I1427" s="3">
        <f>'[01_Entry.xlsx]Book'!K1427</f>
        <v/>
      </c>
      <c r="J1427" s="3">
        <f>'[01_Entry.xlsx]Book'!P1427</f>
        <v/>
      </c>
      <c r="K1427" s="3">
        <f>'[01_Entry.xlsx]Book'!F1427</f>
        <v/>
      </c>
      <c r="L1427" s="3">
        <f>'[01_Entry.xlsx]Book'!G1427</f>
        <v/>
      </c>
      <c r="M1427" s="3">
        <f>'[01_Entry.xlsx]Book'!I1427</f>
        <v/>
      </c>
      <c r="N1427" s="2">
        <f>IF($A1427="","",MID($A1427,6,2))</f>
        <v>0</v>
      </c>
      <c r="O1427" s="2">
        <f>IF(OR($C1427="",$C1427&lt;&gt;'Inv'!$D$12),"",N(O$1426)+1)</f>
        <v>0</v>
      </c>
    </row>
    <row r="1428" spans="1:15">
      <c r="A1428" s="2">
        <f>'[01_Entry.xlsx]Book'!A1428</f>
        <v/>
      </c>
      <c r="B1428" s="2">
        <f>'[01_Entry.xlsx]Book'!B1428</f>
        <v/>
      </c>
      <c r="C1428" s="2">
        <f>'[01_Entry.xlsx]Book'!D1428</f>
        <v/>
      </c>
      <c r="D1428" s="2">
        <f>'[01_Entry.xlsx]Book'!E1428</f>
        <v/>
      </c>
      <c r="E1428" s="2">
        <f>'[01_Entry.xlsx]Book'!O1428</f>
        <v/>
      </c>
      <c r="F1428" s="2">
        <f>'[01_Entry.xlsx]Book'!N1428</f>
        <v/>
      </c>
      <c r="G1428" s="3">
        <f>'[01_Entry.xlsx]Book'!L1428</f>
        <v/>
      </c>
      <c r="H1428" s="3">
        <f>'[01_Entry.xlsx]Book'!M1428</f>
        <v/>
      </c>
      <c r="I1428" s="3">
        <f>'[01_Entry.xlsx]Book'!K1428</f>
        <v/>
      </c>
      <c r="J1428" s="3">
        <f>'[01_Entry.xlsx]Book'!P1428</f>
        <v/>
      </c>
      <c r="K1428" s="3">
        <f>'[01_Entry.xlsx]Book'!F1428</f>
        <v/>
      </c>
      <c r="L1428" s="3">
        <f>'[01_Entry.xlsx]Book'!G1428</f>
        <v/>
      </c>
      <c r="M1428" s="3">
        <f>'[01_Entry.xlsx]Book'!I1428</f>
        <v/>
      </c>
      <c r="N1428" s="2">
        <f>IF($A1428="","",MID($A1428,6,2))</f>
        <v>0</v>
      </c>
      <c r="O1428" s="2">
        <f>IF(OR($C1428="",$C1428&lt;&gt;'Inv'!$D$12),"",N(O$1427)+1)</f>
        <v>0</v>
      </c>
    </row>
    <row r="1429" spans="1:15">
      <c r="A1429" s="2">
        <f>'[01_Entry.xlsx]Book'!A1429</f>
        <v/>
      </c>
      <c r="B1429" s="2">
        <f>'[01_Entry.xlsx]Book'!B1429</f>
        <v/>
      </c>
      <c r="C1429" s="2">
        <f>'[01_Entry.xlsx]Book'!D1429</f>
        <v/>
      </c>
      <c r="D1429" s="2">
        <f>'[01_Entry.xlsx]Book'!E1429</f>
        <v/>
      </c>
      <c r="E1429" s="2">
        <f>'[01_Entry.xlsx]Book'!O1429</f>
        <v/>
      </c>
      <c r="F1429" s="2">
        <f>'[01_Entry.xlsx]Book'!N1429</f>
        <v/>
      </c>
      <c r="G1429" s="3">
        <f>'[01_Entry.xlsx]Book'!L1429</f>
        <v/>
      </c>
      <c r="H1429" s="3">
        <f>'[01_Entry.xlsx]Book'!M1429</f>
        <v/>
      </c>
      <c r="I1429" s="3">
        <f>'[01_Entry.xlsx]Book'!K1429</f>
        <v/>
      </c>
      <c r="J1429" s="3">
        <f>'[01_Entry.xlsx]Book'!P1429</f>
        <v/>
      </c>
      <c r="K1429" s="3">
        <f>'[01_Entry.xlsx]Book'!F1429</f>
        <v/>
      </c>
      <c r="L1429" s="3">
        <f>'[01_Entry.xlsx]Book'!G1429</f>
        <v/>
      </c>
      <c r="M1429" s="3">
        <f>'[01_Entry.xlsx]Book'!I1429</f>
        <v/>
      </c>
      <c r="N1429" s="2">
        <f>IF($A1429="","",MID($A1429,6,2))</f>
        <v>0</v>
      </c>
      <c r="O1429" s="2">
        <f>IF(OR($C1429="",$C1429&lt;&gt;'Inv'!$D$12),"",N(O$1428)+1)</f>
        <v>0</v>
      </c>
    </row>
    <row r="1430" spans="1:15">
      <c r="A1430" s="2">
        <f>'[01_Entry.xlsx]Book'!A1430</f>
        <v/>
      </c>
      <c r="B1430" s="2">
        <f>'[01_Entry.xlsx]Book'!B1430</f>
        <v/>
      </c>
      <c r="C1430" s="2">
        <f>'[01_Entry.xlsx]Book'!D1430</f>
        <v/>
      </c>
      <c r="D1430" s="2">
        <f>'[01_Entry.xlsx]Book'!E1430</f>
        <v/>
      </c>
      <c r="E1430" s="2">
        <f>'[01_Entry.xlsx]Book'!O1430</f>
        <v/>
      </c>
      <c r="F1430" s="2">
        <f>'[01_Entry.xlsx]Book'!N1430</f>
        <v/>
      </c>
      <c r="G1430" s="3">
        <f>'[01_Entry.xlsx]Book'!L1430</f>
        <v/>
      </c>
      <c r="H1430" s="3">
        <f>'[01_Entry.xlsx]Book'!M1430</f>
        <v/>
      </c>
      <c r="I1430" s="3">
        <f>'[01_Entry.xlsx]Book'!K1430</f>
        <v/>
      </c>
      <c r="J1430" s="3">
        <f>'[01_Entry.xlsx]Book'!P1430</f>
        <v/>
      </c>
      <c r="K1430" s="3">
        <f>'[01_Entry.xlsx]Book'!F1430</f>
        <v/>
      </c>
      <c r="L1430" s="3">
        <f>'[01_Entry.xlsx]Book'!G1430</f>
        <v/>
      </c>
      <c r="M1430" s="3">
        <f>'[01_Entry.xlsx]Book'!I1430</f>
        <v/>
      </c>
      <c r="N1430" s="2">
        <f>IF($A1430="","",MID($A1430,6,2))</f>
        <v>0</v>
      </c>
      <c r="O1430" s="2">
        <f>IF(OR($C1430="",$C1430&lt;&gt;'Inv'!$D$12),"",N(O$1429)+1)</f>
        <v>0</v>
      </c>
    </row>
    <row r="1431" spans="1:15">
      <c r="A1431" s="2">
        <f>'[01_Entry.xlsx]Book'!A1431</f>
        <v/>
      </c>
      <c r="B1431" s="2">
        <f>'[01_Entry.xlsx]Book'!B1431</f>
        <v/>
      </c>
      <c r="C1431" s="2">
        <f>'[01_Entry.xlsx]Book'!D1431</f>
        <v/>
      </c>
      <c r="D1431" s="2">
        <f>'[01_Entry.xlsx]Book'!E1431</f>
        <v/>
      </c>
      <c r="E1431" s="2">
        <f>'[01_Entry.xlsx]Book'!O1431</f>
        <v/>
      </c>
      <c r="F1431" s="2">
        <f>'[01_Entry.xlsx]Book'!N1431</f>
        <v/>
      </c>
      <c r="G1431" s="3">
        <f>'[01_Entry.xlsx]Book'!L1431</f>
        <v/>
      </c>
      <c r="H1431" s="3">
        <f>'[01_Entry.xlsx]Book'!M1431</f>
        <v/>
      </c>
      <c r="I1431" s="3">
        <f>'[01_Entry.xlsx]Book'!K1431</f>
        <v/>
      </c>
      <c r="J1431" s="3">
        <f>'[01_Entry.xlsx]Book'!P1431</f>
        <v/>
      </c>
      <c r="K1431" s="3">
        <f>'[01_Entry.xlsx]Book'!F1431</f>
        <v/>
      </c>
      <c r="L1431" s="3">
        <f>'[01_Entry.xlsx]Book'!G1431</f>
        <v/>
      </c>
      <c r="M1431" s="3">
        <f>'[01_Entry.xlsx]Book'!I1431</f>
        <v/>
      </c>
      <c r="N1431" s="2">
        <f>IF($A1431="","",MID($A1431,6,2))</f>
        <v>0</v>
      </c>
      <c r="O1431" s="2">
        <f>IF(OR($C1431="",$C1431&lt;&gt;'Inv'!$D$12),"",N(O$1430)+1)</f>
        <v>0</v>
      </c>
    </row>
    <row r="1432" spans="1:15">
      <c r="A1432" s="2">
        <f>'[01_Entry.xlsx]Book'!A1432</f>
        <v/>
      </c>
      <c r="B1432" s="2">
        <f>'[01_Entry.xlsx]Book'!B1432</f>
        <v/>
      </c>
      <c r="C1432" s="2">
        <f>'[01_Entry.xlsx]Book'!D1432</f>
        <v/>
      </c>
      <c r="D1432" s="2">
        <f>'[01_Entry.xlsx]Book'!E1432</f>
        <v/>
      </c>
      <c r="E1432" s="2">
        <f>'[01_Entry.xlsx]Book'!O1432</f>
        <v/>
      </c>
      <c r="F1432" s="2">
        <f>'[01_Entry.xlsx]Book'!N1432</f>
        <v/>
      </c>
      <c r="G1432" s="3">
        <f>'[01_Entry.xlsx]Book'!L1432</f>
        <v/>
      </c>
      <c r="H1432" s="3">
        <f>'[01_Entry.xlsx]Book'!M1432</f>
        <v/>
      </c>
      <c r="I1432" s="3">
        <f>'[01_Entry.xlsx]Book'!K1432</f>
        <v/>
      </c>
      <c r="J1432" s="3">
        <f>'[01_Entry.xlsx]Book'!P1432</f>
        <v/>
      </c>
      <c r="K1432" s="3">
        <f>'[01_Entry.xlsx]Book'!F1432</f>
        <v/>
      </c>
      <c r="L1432" s="3">
        <f>'[01_Entry.xlsx]Book'!G1432</f>
        <v/>
      </c>
      <c r="M1432" s="3">
        <f>'[01_Entry.xlsx]Book'!I1432</f>
        <v/>
      </c>
      <c r="N1432" s="2">
        <f>IF($A1432="","",MID($A1432,6,2))</f>
        <v>0</v>
      </c>
      <c r="O1432" s="2">
        <f>IF(OR($C1432="",$C1432&lt;&gt;'Inv'!$D$12),"",N(O$1431)+1)</f>
        <v>0</v>
      </c>
    </row>
    <row r="1433" spans="1:15">
      <c r="A1433" s="2">
        <f>'[01_Entry.xlsx]Book'!A1433</f>
        <v/>
      </c>
      <c r="B1433" s="2">
        <f>'[01_Entry.xlsx]Book'!B1433</f>
        <v/>
      </c>
      <c r="C1433" s="2">
        <f>'[01_Entry.xlsx]Book'!D1433</f>
        <v/>
      </c>
      <c r="D1433" s="2">
        <f>'[01_Entry.xlsx]Book'!E1433</f>
        <v/>
      </c>
      <c r="E1433" s="2">
        <f>'[01_Entry.xlsx]Book'!O1433</f>
        <v/>
      </c>
      <c r="F1433" s="2">
        <f>'[01_Entry.xlsx]Book'!N1433</f>
        <v/>
      </c>
      <c r="G1433" s="3">
        <f>'[01_Entry.xlsx]Book'!L1433</f>
        <v/>
      </c>
      <c r="H1433" s="3">
        <f>'[01_Entry.xlsx]Book'!M1433</f>
        <v/>
      </c>
      <c r="I1433" s="3">
        <f>'[01_Entry.xlsx]Book'!K1433</f>
        <v/>
      </c>
      <c r="J1433" s="3">
        <f>'[01_Entry.xlsx]Book'!P1433</f>
        <v/>
      </c>
      <c r="K1433" s="3">
        <f>'[01_Entry.xlsx]Book'!F1433</f>
        <v/>
      </c>
      <c r="L1433" s="3">
        <f>'[01_Entry.xlsx]Book'!G1433</f>
        <v/>
      </c>
      <c r="M1433" s="3">
        <f>'[01_Entry.xlsx]Book'!I1433</f>
        <v/>
      </c>
      <c r="N1433" s="2">
        <f>IF($A1433="","",MID($A1433,6,2))</f>
        <v>0</v>
      </c>
      <c r="O1433" s="2">
        <f>IF(OR($C1433="",$C1433&lt;&gt;'Inv'!$D$12),"",N(O$1432)+1)</f>
        <v>0</v>
      </c>
    </row>
    <row r="1434" spans="1:15">
      <c r="A1434" s="2">
        <f>'[01_Entry.xlsx]Book'!A1434</f>
        <v/>
      </c>
      <c r="B1434" s="2">
        <f>'[01_Entry.xlsx]Book'!B1434</f>
        <v/>
      </c>
      <c r="C1434" s="2">
        <f>'[01_Entry.xlsx]Book'!D1434</f>
        <v/>
      </c>
      <c r="D1434" s="2">
        <f>'[01_Entry.xlsx]Book'!E1434</f>
        <v/>
      </c>
      <c r="E1434" s="2">
        <f>'[01_Entry.xlsx]Book'!O1434</f>
        <v/>
      </c>
      <c r="F1434" s="2">
        <f>'[01_Entry.xlsx]Book'!N1434</f>
        <v/>
      </c>
      <c r="G1434" s="3">
        <f>'[01_Entry.xlsx]Book'!L1434</f>
        <v/>
      </c>
      <c r="H1434" s="3">
        <f>'[01_Entry.xlsx]Book'!M1434</f>
        <v/>
      </c>
      <c r="I1434" s="3">
        <f>'[01_Entry.xlsx]Book'!K1434</f>
        <v/>
      </c>
      <c r="J1434" s="3">
        <f>'[01_Entry.xlsx]Book'!P1434</f>
        <v/>
      </c>
      <c r="K1434" s="3">
        <f>'[01_Entry.xlsx]Book'!F1434</f>
        <v/>
      </c>
      <c r="L1434" s="3">
        <f>'[01_Entry.xlsx]Book'!G1434</f>
        <v/>
      </c>
      <c r="M1434" s="3">
        <f>'[01_Entry.xlsx]Book'!I1434</f>
        <v/>
      </c>
      <c r="N1434" s="2">
        <f>IF($A1434="","",MID($A1434,6,2))</f>
        <v>0</v>
      </c>
      <c r="O1434" s="2">
        <f>IF(OR($C1434="",$C1434&lt;&gt;'Inv'!$D$12),"",N(O$1433)+1)</f>
        <v>0</v>
      </c>
    </row>
    <row r="1435" spans="1:15">
      <c r="A1435" s="2">
        <f>'[01_Entry.xlsx]Book'!A1435</f>
        <v/>
      </c>
      <c r="B1435" s="2">
        <f>'[01_Entry.xlsx]Book'!B1435</f>
        <v/>
      </c>
      <c r="C1435" s="2">
        <f>'[01_Entry.xlsx]Book'!D1435</f>
        <v/>
      </c>
      <c r="D1435" s="2">
        <f>'[01_Entry.xlsx]Book'!E1435</f>
        <v/>
      </c>
      <c r="E1435" s="2">
        <f>'[01_Entry.xlsx]Book'!O1435</f>
        <v/>
      </c>
      <c r="F1435" s="2">
        <f>'[01_Entry.xlsx]Book'!N1435</f>
        <v/>
      </c>
      <c r="G1435" s="3">
        <f>'[01_Entry.xlsx]Book'!L1435</f>
        <v/>
      </c>
      <c r="H1435" s="3">
        <f>'[01_Entry.xlsx]Book'!M1435</f>
        <v/>
      </c>
      <c r="I1435" s="3">
        <f>'[01_Entry.xlsx]Book'!K1435</f>
        <v/>
      </c>
      <c r="J1435" s="3">
        <f>'[01_Entry.xlsx]Book'!P1435</f>
        <v/>
      </c>
      <c r="K1435" s="3">
        <f>'[01_Entry.xlsx]Book'!F1435</f>
        <v/>
      </c>
      <c r="L1435" s="3">
        <f>'[01_Entry.xlsx]Book'!G1435</f>
        <v/>
      </c>
      <c r="M1435" s="3">
        <f>'[01_Entry.xlsx]Book'!I1435</f>
        <v/>
      </c>
      <c r="N1435" s="2">
        <f>IF($A1435="","",MID($A1435,6,2))</f>
        <v>0</v>
      </c>
      <c r="O1435" s="2">
        <f>IF(OR($C1435="",$C1435&lt;&gt;'Inv'!$D$12),"",N(O$1434)+1)</f>
        <v>0</v>
      </c>
    </row>
    <row r="1436" spans="1:15">
      <c r="A1436" s="2">
        <f>'[01_Entry.xlsx]Book'!A1436</f>
        <v/>
      </c>
      <c r="B1436" s="2">
        <f>'[01_Entry.xlsx]Book'!B1436</f>
        <v/>
      </c>
      <c r="C1436" s="2">
        <f>'[01_Entry.xlsx]Book'!D1436</f>
        <v/>
      </c>
      <c r="D1436" s="2">
        <f>'[01_Entry.xlsx]Book'!E1436</f>
        <v/>
      </c>
      <c r="E1436" s="2">
        <f>'[01_Entry.xlsx]Book'!O1436</f>
        <v/>
      </c>
      <c r="F1436" s="2">
        <f>'[01_Entry.xlsx]Book'!N1436</f>
        <v/>
      </c>
      <c r="G1436" s="3">
        <f>'[01_Entry.xlsx]Book'!L1436</f>
        <v/>
      </c>
      <c r="H1436" s="3">
        <f>'[01_Entry.xlsx]Book'!M1436</f>
        <v/>
      </c>
      <c r="I1436" s="3">
        <f>'[01_Entry.xlsx]Book'!K1436</f>
        <v/>
      </c>
      <c r="J1436" s="3">
        <f>'[01_Entry.xlsx]Book'!P1436</f>
        <v/>
      </c>
      <c r="K1436" s="3">
        <f>'[01_Entry.xlsx]Book'!F1436</f>
        <v/>
      </c>
      <c r="L1436" s="3">
        <f>'[01_Entry.xlsx]Book'!G1436</f>
        <v/>
      </c>
      <c r="M1436" s="3">
        <f>'[01_Entry.xlsx]Book'!I1436</f>
        <v/>
      </c>
      <c r="N1436" s="2">
        <f>IF($A1436="","",MID($A1436,6,2))</f>
        <v>0</v>
      </c>
      <c r="O1436" s="2">
        <f>IF(OR($C1436="",$C1436&lt;&gt;'Inv'!$D$12),"",N(O$1435)+1)</f>
        <v>0</v>
      </c>
    </row>
    <row r="1437" spans="1:15">
      <c r="A1437" s="2">
        <f>'[01_Entry.xlsx]Book'!A1437</f>
        <v/>
      </c>
      <c r="B1437" s="2">
        <f>'[01_Entry.xlsx]Book'!B1437</f>
        <v/>
      </c>
      <c r="C1437" s="2">
        <f>'[01_Entry.xlsx]Book'!D1437</f>
        <v/>
      </c>
      <c r="D1437" s="2">
        <f>'[01_Entry.xlsx]Book'!E1437</f>
        <v/>
      </c>
      <c r="E1437" s="2">
        <f>'[01_Entry.xlsx]Book'!O1437</f>
        <v/>
      </c>
      <c r="F1437" s="2">
        <f>'[01_Entry.xlsx]Book'!N1437</f>
        <v/>
      </c>
      <c r="G1437" s="3">
        <f>'[01_Entry.xlsx]Book'!L1437</f>
        <v/>
      </c>
      <c r="H1437" s="3">
        <f>'[01_Entry.xlsx]Book'!M1437</f>
        <v/>
      </c>
      <c r="I1437" s="3">
        <f>'[01_Entry.xlsx]Book'!K1437</f>
        <v/>
      </c>
      <c r="J1437" s="3">
        <f>'[01_Entry.xlsx]Book'!P1437</f>
        <v/>
      </c>
      <c r="K1437" s="3">
        <f>'[01_Entry.xlsx]Book'!F1437</f>
        <v/>
      </c>
      <c r="L1437" s="3">
        <f>'[01_Entry.xlsx]Book'!G1437</f>
        <v/>
      </c>
      <c r="M1437" s="3">
        <f>'[01_Entry.xlsx]Book'!I1437</f>
        <v/>
      </c>
      <c r="N1437" s="2">
        <f>IF($A1437="","",MID($A1437,6,2))</f>
        <v>0</v>
      </c>
      <c r="O1437" s="2">
        <f>IF(OR($C1437="",$C1437&lt;&gt;'Inv'!$D$12),"",N(O$1436)+1)</f>
        <v>0</v>
      </c>
    </row>
    <row r="1438" spans="1:15">
      <c r="A1438" s="2">
        <f>'[01_Entry.xlsx]Book'!A1438</f>
        <v/>
      </c>
      <c r="B1438" s="2">
        <f>'[01_Entry.xlsx]Book'!B1438</f>
        <v/>
      </c>
      <c r="C1438" s="2">
        <f>'[01_Entry.xlsx]Book'!D1438</f>
        <v/>
      </c>
      <c r="D1438" s="2">
        <f>'[01_Entry.xlsx]Book'!E1438</f>
        <v/>
      </c>
      <c r="E1438" s="2">
        <f>'[01_Entry.xlsx]Book'!O1438</f>
        <v/>
      </c>
      <c r="F1438" s="2">
        <f>'[01_Entry.xlsx]Book'!N1438</f>
        <v/>
      </c>
      <c r="G1438" s="3">
        <f>'[01_Entry.xlsx]Book'!L1438</f>
        <v/>
      </c>
      <c r="H1438" s="3">
        <f>'[01_Entry.xlsx]Book'!M1438</f>
        <v/>
      </c>
      <c r="I1438" s="3">
        <f>'[01_Entry.xlsx]Book'!K1438</f>
        <v/>
      </c>
      <c r="J1438" s="3">
        <f>'[01_Entry.xlsx]Book'!P1438</f>
        <v/>
      </c>
      <c r="K1438" s="3">
        <f>'[01_Entry.xlsx]Book'!F1438</f>
        <v/>
      </c>
      <c r="L1438" s="3">
        <f>'[01_Entry.xlsx]Book'!G1438</f>
        <v/>
      </c>
      <c r="M1438" s="3">
        <f>'[01_Entry.xlsx]Book'!I1438</f>
        <v/>
      </c>
      <c r="N1438" s="2">
        <f>IF($A1438="","",MID($A1438,6,2))</f>
        <v>0</v>
      </c>
      <c r="O1438" s="2">
        <f>IF(OR($C1438="",$C1438&lt;&gt;'Inv'!$D$12),"",N(O$1437)+1)</f>
        <v>0</v>
      </c>
    </row>
    <row r="1439" spans="1:15">
      <c r="A1439" s="2">
        <f>'[01_Entry.xlsx]Book'!A1439</f>
        <v/>
      </c>
      <c r="B1439" s="2">
        <f>'[01_Entry.xlsx]Book'!B1439</f>
        <v/>
      </c>
      <c r="C1439" s="2">
        <f>'[01_Entry.xlsx]Book'!D1439</f>
        <v/>
      </c>
      <c r="D1439" s="2">
        <f>'[01_Entry.xlsx]Book'!E1439</f>
        <v/>
      </c>
      <c r="E1439" s="2">
        <f>'[01_Entry.xlsx]Book'!O1439</f>
        <v/>
      </c>
      <c r="F1439" s="2">
        <f>'[01_Entry.xlsx]Book'!N1439</f>
        <v/>
      </c>
      <c r="G1439" s="3">
        <f>'[01_Entry.xlsx]Book'!L1439</f>
        <v/>
      </c>
      <c r="H1439" s="3">
        <f>'[01_Entry.xlsx]Book'!M1439</f>
        <v/>
      </c>
      <c r="I1439" s="3">
        <f>'[01_Entry.xlsx]Book'!K1439</f>
        <v/>
      </c>
      <c r="J1439" s="3">
        <f>'[01_Entry.xlsx]Book'!P1439</f>
        <v/>
      </c>
      <c r="K1439" s="3">
        <f>'[01_Entry.xlsx]Book'!F1439</f>
        <v/>
      </c>
      <c r="L1439" s="3">
        <f>'[01_Entry.xlsx]Book'!G1439</f>
        <v/>
      </c>
      <c r="M1439" s="3">
        <f>'[01_Entry.xlsx]Book'!I1439</f>
        <v/>
      </c>
      <c r="N1439" s="2">
        <f>IF($A1439="","",MID($A1439,6,2))</f>
        <v>0</v>
      </c>
      <c r="O1439" s="2">
        <f>IF(OR($C1439="",$C1439&lt;&gt;'Inv'!$D$12),"",N(O$1438)+1)</f>
        <v>0</v>
      </c>
    </row>
    <row r="1440" spans="1:15">
      <c r="A1440" s="2">
        <f>'[01_Entry.xlsx]Book'!A1440</f>
        <v/>
      </c>
      <c r="B1440" s="2">
        <f>'[01_Entry.xlsx]Book'!B1440</f>
        <v/>
      </c>
      <c r="C1440" s="2">
        <f>'[01_Entry.xlsx]Book'!D1440</f>
        <v/>
      </c>
      <c r="D1440" s="2">
        <f>'[01_Entry.xlsx]Book'!E1440</f>
        <v/>
      </c>
      <c r="E1440" s="2">
        <f>'[01_Entry.xlsx]Book'!O1440</f>
        <v/>
      </c>
      <c r="F1440" s="2">
        <f>'[01_Entry.xlsx]Book'!N1440</f>
        <v/>
      </c>
      <c r="G1440" s="3">
        <f>'[01_Entry.xlsx]Book'!L1440</f>
        <v/>
      </c>
      <c r="H1440" s="3">
        <f>'[01_Entry.xlsx]Book'!M1440</f>
        <v/>
      </c>
      <c r="I1440" s="3">
        <f>'[01_Entry.xlsx]Book'!K1440</f>
        <v/>
      </c>
      <c r="J1440" s="3">
        <f>'[01_Entry.xlsx]Book'!P1440</f>
        <v/>
      </c>
      <c r="K1440" s="3">
        <f>'[01_Entry.xlsx]Book'!F1440</f>
        <v/>
      </c>
      <c r="L1440" s="3">
        <f>'[01_Entry.xlsx]Book'!G1440</f>
        <v/>
      </c>
      <c r="M1440" s="3">
        <f>'[01_Entry.xlsx]Book'!I1440</f>
        <v/>
      </c>
      <c r="N1440" s="2">
        <f>IF($A1440="","",MID($A1440,6,2))</f>
        <v>0</v>
      </c>
      <c r="O1440" s="2">
        <f>IF(OR($C1440="",$C1440&lt;&gt;'Inv'!$D$12),"",N(O$1439)+1)</f>
        <v>0</v>
      </c>
    </row>
    <row r="1441" spans="1:15">
      <c r="A1441" s="2">
        <f>'[01_Entry.xlsx]Book'!A1441</f>
        <v/>
      </c>
      <c r="B1441" s="2">
        <f>'[01_Entry.xlsx]Book'!B1441</f>
        <v/>
      </c>
      <c r="C1441" s="2">
        <f>'[01_Entry.xlsx]Book'!D1441</f>
        <v/>
      </c>
      <c r="D1441" s="2">
        <f>'[01_Entry.xlsx]Book'!E1441</f>
        <v/>
      </c>
      <c r="E1441" s="2">
        <f>'[01_Entry.xlsx]Book'!O1441</f>
        <v/>
      </c>
      <c r="F1441" s="2">
        <f>'[01_Entry.xlsx]Book'!N1441</f>
        <v/>
      </c>
      <c r="G1441" s="3">
        <f>'[01_Entry.xlsx]Book'!L1441</f>
        <v/>
      </c>
      <c r="H1441" s="3">
        <f>'[01_Entry.xlsx]Book'!M1441</f>
        <v/>
      </c>
      <c r="I1441" s="3">
        <f>'[01_Entry.xlsx]Book'!K1441</f>
        <v/>
      </c>
      <c r="J1441" s="3">
        <f>'[01_Entry.xlsx]Book'!P1441</f>
        <v/>
      </c>
      <c r="K1441" s="3">
        <f>'[01_Entry.xlsx]Book'!F1441</f>
        <v/>
      </c>
      <c r="L1441" s="3">
        <f>'[01_Entry.xlsx]Book'!G1441</f>
        <v/>
      </c>
      <c r="M1441" s="3">
        <f>'[01_Entry.xlsx]Book'!I1441</f>
        <v/>
      </c>
      <c r="N1441" s="2">
        <f>IF($A1441="","",MID($A1441,6,2))</f>
        <v>0</v>
      </c>
      <c r="O1441" s="2">
        <f>IF(OR($C1441="",$C1441&lt;&gt;'Inv'!$D$12),"",N(O$1440)+1)</f>
        <v>0</v>
      </c>
    </row>
    <row r="1442" spans="1:15">
      <c r="A1442" s="2">
        <f>'[01_Entry.xlsx]Book'!A1442</f>
        <v/>
      </c>
      <c r="B1442" s="2">
        <f>'[01_Entry.xlsx]Book'!B1442</f>
        <v/>
      </c>
      <c r="C1442" s="2">
        <f>'[01_Entry.xlsx]Book'!D1442</f>
        <v/>
      </c>
      <c r="D1442" s="2">
        <f>'[01_Entry.xlsx]Book'!E1442</f>
        <v/>
      </c>
      <c r="E1442" s="2">
        <f>'[01_Entry.xlsx]Book'!O1442</f>
        <v/>
      </c>
      <c r="F1442" s="2">
        <f>'[01_Entry.xlsx]Book'!N1442</f>
        <v/>
      </c>
      <c r="G1442" s="3">
        <f>'[01_Entry.xlsx]Book'!L1442</f>
        <v/>
      </c>
      <c r="H1442" s="3">
        <f>'[01_Entry.xlsx]Book'!M1442</f>
        <v/>
      </c>
      <c r="I1442" s="3">
        <f>'[01_Entry.xlsx]Book'!K1442</f>
        <v/>
      </c>
      <c r="J1442" s="3">
        <f>'[01_Entry.xlsx]Book'!P1442</f>
        <v/>
      </c>
      <c r="K1442" s="3">
        <f>'[01_Entry.xlsx]Book'!F1442</f>
        <v/>
      </c>
      <c r="L1442" s="3">
        <f>'[01_Entry.xlsx]Book'!G1442</f>
        <v/>
      </c>
      <c r="M1442" s="3">
        <f>'[01_Entry.xlsx]Book'!I1442</f>
        <v/>
      </c>
      <c r="N1442" s="2">
        <f>IF($A1442="","",MID($A1442,6,2))</f>
        <v>0</v>
      </c>
      <c r="O1442" s="2">
        <f>IF(OR($C1442="",$C1442&lt;&gt;'Inv'!$D$12),"",N(O$1441)+1)</f>
        <v>0</v>
      </c>
    </row>
    <row r="1443" spans="1:15">
      <c r="A1443" s="2">
        <f>'[01_Entry.xlsx]Book'!A1443</f>
        <v/>
      </c>
      <c r="B1443" s="2">
        <f>'[01_Entry.xlsx]Book'!B1443</f>
        <v/>
      </c>
      <c r="C1443" s="2">
        <f>'[01_Entry.xlsx]Book'!D1443</f>
        <v/>
      </c>
      <c r="D1443" s="2">
        <f>'[01_Entry.xlsx]Book'!E1443</f>
        <v/>
      </c>
      <c r="E1443" s="2">
        <f>'[01_Entry.xlsx]Book'!O1443</f>
        <v/>
      </c>
      <c r="F1443" s="2">
        <f>'[01_Entry.xlsx]Book'!N1443</f>
        <v/>
      </c>
      <c r="G1443" s="3">
        <f>'[01_Entry.xlsx]Book'!L1443</f>
        <v/>
      </c>
      <c r="H1443" s="3">
        <f>'[01_Entry.xlsx]Book'!M1443</f>
        <v/>
      </c>
      <c r="I1443" s="3">
        <f>'[01_Entry.xlsx]Book'!K1443</f>
        <v/>
      </c>
      <c r="J1443" s="3">
        <f>'[01_Entry.xlsx]Book'!P1443</f>
        <v/>
      </c>
      <c r="K1443" s="3">
        <f>'[01_Entry.xlsx]Book'!F1443</f>
        <v/>
      </c>
      <c r="L1443" s="3">
        <f>'[01_Entry.xlsx]Book'!G1443</f>
        <v/>
      </c>
      <c r="M1443" s="3">
        <f>'[01_Entry.xlsx]Book'!I1443</f>
        <v/>
      </c>
      <c r="N1443" s="2">
        <f>IF($A1443="","",MID($A1443,6,2))</f>
        <v>0</v>
      </c>
      <c r="O1443" s="2">
        <f>IF(OR($C1443="",$C1443&lt;&gt;'Inv'!$D$12),"",N(O$1442)+1)</f>
        <v>0</v>
      </c>
    </row>
    <row r="1444" spans="1:15">
      <c r="A1444" s="2">
        <f>'[01_Entry.xlsx]Book'!A1444</f>
        <v/>
      </c>
      <c r="B1444" s="2">
        <f>'[01_Entry.xlsx]Book'!B1444</f>
        <v/>
      </c>
      <c r="C1444" s="2">
        <f>'[01_Entry.xlsx]Book'!D1444</f>
        <v/>
      </c>
      <c r="D1444" s="2">
        <f>'[01_Entry.xlsx]Book'!E1444</f>
        <v/>
      </c>
      <c r="E1444" s="2">
        <f>'[01_Entry.xlsx]Book'!O1444</f>
        <v/>
      </c>
      <c r="F1444" s="2">
        <f>'[01_Entry.xlsx]Book'!N1444</f>
        <v/>
      </c>
      <c r="G1444" s="3">
        <f>'[01_Entry.xlsx]Book'!L1444</f>
        <v/>
      </c>
      <c r="H1444" s="3">
        <f>'[01_Entry.xlsx]Book'!M1444</f>
        <v/>
      </c>
      <c r="I1444" s="3">
        <f>'[01_Entry.xlsx]Book'!K1444</f>
        <v/>
      </c>
      <c r="J1444" s="3">
        <f>'[01_Entry.xlsx]Book'!P1444</f>
        <v/>
      </c>
      <c r="K1444" s="3">
        <f>'[01_Entry.xlsx]Book'!F1444</f>
        <v/>
      </c>
      <c r="L1444" s="3">
        <f>'[01_Entry.xlsx]Book'!G1444</f>
        <v/>
      </c>
      <c r="M1444" s="3">
        <f>'[01_Entry.xlsx]Book'!I1444</f>
        <v/>
      </c>
      <c r="N1444" s="2">
        <f>IF($A1444="","",MID($A1444,6,2))</f>
        <v>0</v>
      </c>
      <c r="O1444" s="2">
        <f>IF(OR($C1444="",$C1444&lt;&gt;'Inv'!$D$12),"",N(O$1443)+1)</f>
        <v>0</v>
      </c>
    </row>
    <row r="1445" spans="1:15">
      <c r="A1445" s="2">
        <f>'[01_Entry.xlsx]Book'!A1445</f>
        <v/>
      </c>
      <c r="B1445" s="2">
        <f>'[01_Entry.xlsx]Book'!B1445</f>
        <v/>
      </c>
      <c r="C1445" s="2">
        <f>'[01_Entry.xlsx]Book'!D1445</f>
        <v/>
      </c>
      <c r="D1445" s="2">
        <f>'[01_Entry.xlsx]Book'!E1445</f>
        <v/>
      </c>
      <c r="E1445" s="2">
        <f>'[01_Entry.xlsx]Book'!O1445</f>
        <v/>
      </c>
      <c r="F1445" s="2">
        <f>'[01_Entry.xlsx]Book'!N1445</f>
        <v/>
      </c>
      <c r="G1445" s="3">
        <f>'[01_Entry.xlsx]Book'!L1445</f>
        <v/>
      </c>
      <c r="H1445" s="3">
        <f>'[01_Entry.xlsx]Book'!M1445</f>
        <v/>
      </c>
      <c r="I1445" s="3">
        <f>'[01_Entry.xlsx]Book'!K1445</f>
        <v/>
      </c>
      <c r="J1445" s="3">
        <f>'[01_Entry.xlsx]Book'!P1445</f>
        <v/>
      </c>
      <c r="K1445" s="3">
        <f>'[01_Entry.xlsx]Book'!F1445</f>
        <v/>
      </c>
      <c r="L1445" s="3">
        <f>'[01_Entry.xlsx]Book'!G1445</f>
        <v/>
      </c>
      <c r="M1445" s="3">
        <f>'[01_Entry.xlsx]Book'!I1445</f>
        <v/>
      </c>
      <c r="N1445" s="2">
        <f>IF($A1445="","",MID($A1445,6,2))</f>
        <v>0</v>
      </c>
      <c r="O1445" s="2">
        <f>IF(OR($C1445="",$C1445&lt;&gt;'Inv'!$D$12),"",N(O$1444)+1)</f>
        <v>0</v>
      </c>
    </row>
    <row r="1446" spans="1:15">
      <c r="A1446" s="2">
        <f>'[01_Entry.xlsx]Book'!A1446</f>
        <v/>
      </c>
      <c r="B1446" s="2">
        <f>'[01_Entry.xlsx]Book'!B1446</f>
        <v/>
      </c>
      <c r="C1446" s="2">
        <f>'[01_Entry.xlsx]Book'!D1446</f>
        <v/>
      </c>
      <c r="D1446" s="2">
        <f>'[01_Entry.xlsx]Book'!E1446</f>
        <v/>
      </c>
      <c r="E1446" s="2">
        <f>'[01_Entry.xlsx]Book'!O1446</f>
        <v/>
      </c>
      <c r="F1446" s="2">
        <f>'[01_Entry.xlsx]Book'!N1446</f>
        <v/>
      </c>
      <c r="G1446" s="3">
        <f>'[01_Entry.xlsx]Book'!L1446</f>
        <v/>
      </c>
      <c r="H1446" s="3">
        <f>'[01_Entry.xlsx]Book'!M1446</f>
        <v/>
      </c>
      <c r="I1446" s="3">
        <f>'[01_Entry.xlsx]Book'!K1446</f>
        <v/>
      </c>
      <c r="J1446" s="3">
        <f>'[01_Entry.xlsx]Book'!P1446</f>
        <v/>
      </c>
      <c r="K1446" s="3">
        <f>'[01_Entry.xlsx]Book'!F1446</f>
        <v/>
      </c>
      <c r="L1446" s="3">
        <f>'[01_Entry.xlsx]Book'!G1446</f>
        <v/>
      </c>
      <c r="M1446" s="3">
        <f>'[01_Entry.xlsx]Book'!I1446</f>
        <v/>
      </c>
      <c r="N1446" s="2">
        <f>IF($A1446="","",MID($A1446,6,2))</f>
        <v>0</v>
      </c>
      <c r="O1446" s="2">
        <f>IF(OR($C1446="",$C1446&lt;&gt;'Inv'!$D$12),"",N(O$1445)+1)</f>
        <v>0</v>
      </c>
    </row>
    <row r="1447" spans="1:15">
      <c r="A1447" s="2">
        <f>'[01_Entry.xlsx]Book'!A1447</f>
        <v/>
      </c>
      <c r="B1447" s="2">
        <f>'[01_Entry.xlsx]Book'!B1447</f>
        <v/>
      </c>
      <c r="C1447" s="2">
        <f>'[01_Entry.xlsx]Book'!D1447</f>
        <v/>
      </c>
      <c r="D1447" s="2">
        <f>'[01_Entry.xlsx]Book'!E1447</f>
        <v/>
      </c>
      <c r="E1447" s="2">
        <f>'[01_Entry.xlsx]Book'!O1447</f>
        <v/>
      </c>
      <c r="F1447" s="2">
        <f>'[01_Entry.xlsx]Book'!N1447</f>
        <v/>
      </c>
      <c r="G1447" s="3">
        <f>'[01_Entry.xlsx]Book'!L1447</f>
        <v/>
      </c>
      <c r="H1447" s="3">
        <f>'[01_Entry.xlsx]Book'!M1447</f>
        <v/>
      </c>
      <c r="I1447" s="3">
        <f>'[01_Entry.xlsx]Book'!K1447</f>
        <v/>
      </c>
      <c r="J1447" s="3">
        <f>'[01_Entry.xlsx]Book'!P1447</f>
        <v/>
      </c>
      <c r="K1447" s="3">
        <f>'[01_Entry.xlsx]Book'!F1447</f>
        <v/>
      </c>
      <c r="L1447" s="3">
        <f>'[01_Entry.xlsx]Book'!G1447</f>
        <v/>
      </c>
      <c r="M1447" s="3">
        <f>'[01_Entry.xlsx]Book'!I1447</f>
        <v/>
      </c>
      <c r="N1447" s="2">
        <f>IF($A1447="","",MID($A1447,6,2))</f>
        <v>0</v>
      </c>
      <c r="O1447" s="2">
        <f>IF(OR($C1447="",$C1447&lt;&gt;'Inv'!$D$12),"",N(O$1446)+1)</f>
        <v>0</v>
      </c>
    </row>
    <row r="1448" spans="1:15">
      <c r="A1448" s="2">
        <f>'[01_Entry.xlsx]Book'!A1448</f>
        <v/>
      </c>
      <c r="B1448" s="2">
        <f>'[01_Entry.xlsx]Book'!B1448</f>
        <v/>
      </c>
      <c r="C1448" s="2">
        <f>'[01_Entry.xlsx]Book'!D1448</f>
        <v/>
      </c>
      <c r="D1448" s="2">
        <f>'[01_Entry.xlsx]Book'!E1448</f>
        <v/>
      </c>
      <c r="E1448" s="2">
        <f>'[01_Entry.xlsx]Book'!O1448</f>
        <v/>
      </c>
      <c r="F1448" s="2">
        <f>'[01_Entry.xlsx]Book'!N1448</f>
        <v/>
      </c>
      <c r="G1448" s="3">
        <f>'[01_Entry.xlsx]Book'!L1448</f>
        <v/>
      </c>
      <c r="H1448" s="3">
        <f>'[01_Entry.xlsx]Book'!M1448</f>
        <v/>
      </c>
      <c r="I1448" s="3">
        <f>'[01_Entry.xlsx]Book'!K1448</f>
        <v/>
      </c>
      <c r="J1448" s="3">
        <f>'[01_Entry.xlsx]Book'!P1448</f>
        <v/>
      </c>
      <c r="K1448" s="3">
        <f>'[01_Entry.xlsx]Book'!F1448</f>
        <v/>
      </c>
      <c r="L1448" s="3">
        <f>'[01_Entry.xlsx]Book'!G1448</f>
        <v/>
      </c>
      <c r="M1448" s="3">
        <f>'[01_Entry.xlsx]Book'!I1448</f>
        <v/>
      </c>
      <c r="N1448" s="2">
        <f>IF($A1448="","",MID($A1448,6,2))</f>
        <v>0</v>
      </c>
      <c r="O1448" s="2">
        <f>IF(OR($C1448="",$C1448&lt;&gt;'Inv'!$D$12),"",N(O$1447)+1)</f>
        <v>0</v>
      </c>
    </row>
    <row r="1449" spans="1:15">
      <c r="A1449" s="2">
        <f>'[01_Entry.xlsx]Book'!A1449</f>
        <v/>
      </c>
      <c r="B1449" s="2">
        <f>'[01_Entry.xlsx]Book'!B1449</f>
        <v/>
      </c>
      <c r="C1449" s="2">
        <f>'[01_Entry.xlsx]Book'!D1449</f>
        <v/>
      </c>
      <c r="D1449" s="2">
        <f>'[01_Entry.xlsx]Book'!E1449</f>
        <v/>
      </c>
      <c r="E1449" s="2">
        <f>'[01_Entry.xlsx]Book'!O1449</f>
        <v/>
      </c>
      <c r="F1449" s="2">
        <f>'[01_Entry.xlsx]Book'!N1449</f>
        <v/>
      </c>
      <c r="G1449" s="3">
        <f>'[01_Entry.xlsx]Book'!L1449</f>
        <v/>
      </c>
      <c r="H1449" s="3">
        <f>'[01_Entry.xlsx]Book'!M1449</f>
        <v/>
      </c>
      <c r="I1449" s="3">
        <f>'[01_Entry.xlsx]Book'!K1449</f>
        <v/>
      </c>
      <c r="J1449" s="3">
        <f>'[01_Entry.xlsx]Book'!P1449</f>
        <v/>
      </c>
      <c r="K1449" s="3">
        <f>'[01_Entry.xlsx]Book'!F1449</f>
        <v/>
      </c>
      <c r="L1449" s="3">
        <f>'[01_Entry.xlsx]Book'!G1449</f>
        <v/>
      </c>
      <c r="M1449" s="3">
        <f>'[01_Entry.xlsx]Book'!I1449</f>
        <v/>
      </c>
      <c r="N1449" s="2">
        <f>IF($A1449="","",MID($A1449,6,2))</f>
        <v>0</v>
      </c>
      <c r="O1449" s="2">
        <f>IF(OR($C1449="",$C1449&lt;&gt;'Inv'!$D$12),"",N(O$1448)+1)</f>
        <v>0</v>
      </c>
    </row>
    <row r="1450" spans="1:15">
      <c r="A1450" s="2">
        <f>'[01_Entry.xlsx]Book'!A1450</f>
        <v/>
      </c>
      <c r="B1450" s="2">
        <f>'[01_Entry.xlsx]Book'!B1450</f>
        <v/>
      </c>
      <c r="C1450" s="2">
        <f>'[01_Entry.xlsx]Book'!D1450</f>
        <v/>
      </c>
      <c r="D1450" s="2">
        <f>'[01_Entry.xlsx]Book'!E1450</f>
        <v/>
      </c>
      <c r="E1450" s="2">
        <f>'[01_Entry.xlsx]Book'!O1450</f>
        <v/>
      </c>
      <c r="F1450" s="2">
        <f>'[01_Entry.xlsx]Book'!N1450</f>
        <v/>
      </c>
      <c r="G1450" s="3">
        <f>'[01_Entry.xlsx]Book'!L1450</f>
        <v/>
      </c>
      <c r="H1450" s="3">
        <f>'[01_Entry.xlsx]Book'!M1450</f>
        <v/>
      </c>
      <c r="I1450" s="3">
        <f>'[01_Entry.xlsx]Book'!K1450</f>
        <v/>
      </c>
      <c r="J1450" s="3">
        <f>'[01_Entry.xlsx]Book'!P1450</f>
        <v/>
      </c>
      <c r="K1450" s="3">
        <f>'[01_Entry.xlsx]Book'!F1450</f>
        <v/>
      </c>
      <c r="L1450" s="3">
        <f>'[01_Entry.xlsx]Book'!G1450</f>
        <v/>
      </c>
      <c r="M1450" s="3">
        <f>'[01_Entry.xlsx]Book'!I1450</f>
        <v/>
      </c>
      <c r="N1450" s="2">
        <f>IF($A1450="","",MID($A1450,6,2))</f>
        <v>0</v>
      </c>
      <c r="O1450" s="2">
        <f>IF(OR($C1450="",$C1450&lt;&gt;'Inv'!$D$12),"",N(O$1449)+1)</f>
        <v>0</v>
      </c>
    </row>
    <row r="1451" spans="1:15">
      <c r="A1451" s="2">
        <f>'[01_Entry.xlsx]Book'!A1451</f>
        <v/>
      </c>
      <c r="B1451" s="2">
        <f>'[01_Entry.xlsx]Book'!B1451</f>
        <v/>
      </c>
      <c r="C1451" s="2">
        <f>'[01_Entry.xlsx]Book'!D1451</f>
        <v/>
      </c>
      <c r="D1451" s="2">
        <f>'[01_Entry.xlsx]Book'!E1451</f>
        <v/>
      </c>
      <c r="E1451" s="2">
        <f>'[01_Entry.xlsx]Book'!O1451</f>
        <v/>
      </c>
      <c r="F1451" s="2">
        <f>'[01_Entry.xlsx]Book'!N1451</f>
        <v/>
      </c>
      <c r="G1451" s="3">
        <f>'[01_Entry.xlsx]Book'!L1451</f>
        <v/>
      </c>
      <c r="H1451" s="3">
        <f>'[01_Entry.xlsx]Book'!M1451</f>
        <v/>
      </c>
      <c r="I1451" s="3">
        <f>'[01_Entry.xlsx]Book'!K1451</f>
        <v/>
      </c>
      <c r="J1451" s="3">
        <f>'[01_Entry.xlsx]Book'!P1451</f>
        <v/>
      </c>
      <c r="K1451" s="3">
        <f>'[01_Entry.xlsx]Book'!F1451</f>
        <v/>
      </c>
      <c r="L1451" s="3">
        <f>'[01_Entry.xlsx]Book'!G1451</f>
        <v/>
      </c>
      <c r="M1451" s="3">
        <f>'[01_Entry.xlsx]Book'!I1451</f>
        <v/>
      </c>
      <c r="N1451" s="2">
        <f>IF($A1451="","",MID($A1451,6,2))</f>
        <v>0</v>
      </c>
      <c r="O1451" s="2">
        <f>IF(OR($C1451="",$C1451&lt;&gt;'Inv'!$D$12),"",N(O$1450)+1)</f>
        <v>0</v>
      </c>
    </row>
    <row r="1452" spans="1:15">
      <c r="A1452" s="2">
        <f>'[01_Entry.xlsx]Book'!A1452</f>
        <v/>
      </c>
      <c r="B1452" s="2">
        <f>'[01_Entry.xlsx]Book'!B1452</f>
        <v/>
      </c>
      <c r="C1452" s="2">
        <f>'[01_Entry.xlsx]Book'!D1452</f>
        <v/>
      </c>
      <c r="D1452" s="2">
        <f>'[01_Entry.xlsx]Book'!E1452</f>
        <v/>
      </c>
      <c r="E1452" s="2">
        <f>'[01_Entry.xlsx]Book'!O1452</f>
        <v/>
      </c>
      <c r="F1452" s="2">
        <f>'[01_Entry.xlsx]Book'!N1452</f>
        <v/>
      </c>
      <c r="G1452" s="3">
        <f>'[01_Entry.xlsx]Book'!L1452</f>
        <v/>
      </c>
      <c r="H1452" s="3">
        <f>'[01_Entry.xlsx]Book'!M1452</f>
        <v/>
      </c>
      <c r="I1452" s="3">
        <f>'[01_Entry.xlsx]Book'!K1452</f>
        <v/>
      </c>
      <c r="J1452" s="3">
        <f>'[01_Entry.xlsx]Book'!P1452</f>
        <v/>
      </c>
      <c r="K1452" s="3">
        <f>'[01_Entry.xlsx]Book'!F1452</f>
        <v/>
      </c>
      <c r="L1452" s="3">
        <f>'[01_Entry.xlsx]Book'!G1452</f>
        <v/>
      </c>
      <c r="M1452" s="3">
        <f>'[01_Entry.xlsx]Book'!I1452</f>
        <v/>
      </c>
      <c r="N1452" s="2">
        <f>IF($A1452="","",MID($A1452,6,2))</f>
        <v>0</v>
      </c>
      <c r="O1452" s="2">
        <f>IF(OR($C1452="",$C1452&lt;&gt;'Inv'!$D$12),"",N(O$1451)+1)</f>
        <v>0</v>
      </c>
    </row>
    <row r="1453" spans="1:15">
      <c r="A1453" s="2">
        <f>'[01_Entry.xlsx]Book'!A1453</f>
        <v/>
      </c>
      <c r="B1453" s="2">
        <f>'[01_Entry.xlsx]Book'!B1453</f>
        <v/>
      </c>
      <c r="C1453" s="2">
        <f>'[01_Entry.xlsx]Book'!D1453</f>
        <v/>
      </c>
      <c r="D1453" s="2">
        <f>'[01_Entry.xlsx]Book'!E1453</f>
        <v/>
      </c>
      <c r="E1453" s="2">
        <f>'[01_Entry.xlsx]Book'!O1453</f>
        <v/>
      </c>
      <c r="F1453" s="2">
        <f>'[01_Entry.xlsx]Book'!N1453</f>
        <v/>
      </c>
      <c r="G1453" s="3">
        <f>'[01_Entry.xlsx]Book'!L1453</f>
        <v/>
      </c>
      <c r="H1453" s="3">
        <f>'[01_Entry.xlsx]Book'!M1453</f>
        <v/>
      </c>
      <c r="I1453" s="3">
        <f>'[01_Entry.xlsx]Book'!K1453</f>
        <v/>
      </c>
      <c r="J1453" s="3">
        <f>'[01_Entry.xlsx]Book'!P1453</f>
        <v/>
      </c>
      <c r="K1453" s="3">
        <f>'[01_Entry.xlsx]Book'!F1453</f>
        <v/>
      </c>
      <c r="L1453" s="3">
        <f>'[01_Entry.xlsx]Book'!G1453</f>
        <v/>
      </c>
      <c r="M1453" s="3">
        <f>'[01_Entry.xlsx]Book'!I1453</f>
        <v/>
      </c>
      <c r="N1453" s="2">
        <f>IF($A1453="","",MID($A1453,6,2))</f>
        <v>0</v>
      </c>
      <c r="O1453" s="2">
        <f>IF(OR($C1453="",$C1453&lt;&gt;'Inv'!$D$12),"",N(O$1452)+1)</f>
        <v>0</v>
      </c>
    </row>
    <row r="1454" spans="1:15">
      <c r="A1454" s="2">
        <f>'[01_Entry.xlsx]Book'!A1454</f>
        <v/>
      </c>
      <c r="B1454" s="2">
        <f>'[01_Entry.xlsx]Book'!B1454</f>
        <v/>
      </c>
      <c r="C1454" s="2">
        <f>'[01_Entry.xlsx]Book'!D1454</f>
        <v/>
      </c>
      <c r="D1454" s="2">
        <f>'[01_Entry.xlsx]Book'!E1454</f>
        <v/>
      </c>
      <c r="E1454" s="2">
        <f>'[01_Entry.xlsx]Book'!O1454</f>
        <v/>
      </c>
      <c r="F1454" s="2">
        <f>'[01_Entry.xlsx]Book'!N1454</f>
        <v/>
      </c>
      <c r="G1454" s="3">
        <f>'[01_Entry.xlsx]Book'!L1454</f>
        <v/>
      </c>
      <c r="H1454" s="3">
        <f>'[01_Entry.xlsx]Book'!M1454</f>
        <v/>
      </c>
      <c r="I1454" s="3">
        <f>'[01_Entry.xlsx]Book'!K1454</f>
        <v/>
      </c>
      <c r="J1454" s="3">
        <f>'[01_Entry.xlsx]Book'!P1454</f>
        <v/>
      </c>
      <c r="K1454" s="3">
        <f>'[01_Entry.xlsx]Book'!F1454</f>
        <v/>
      </c>
      <c r="L1454" s="3">
        <f>'[01_Entry.xlsx]Book'!G1454</f>
        <v/>
      </c>
      <c r="M1454" s="3">
        <f>'[01_Entry.xlsx]Book'!I1454</f>
        <v/>
      </c>
      <c r="N1454" s="2">
        <f>IF($A1454="","",MID($A1454,6,2))</f>
        <v>0</v>
      </c>
      <c r="O1454" s="2">
        <f>IF(OR($C1454="",$C1454&lt;&gt;'Inv'!$D$12),"",N(O$1453)+1)</f>
        <v>0</v>
      </c>
    </row>
    <row r="1455" spans="1:15">
      <c r="A1455" s="2">
        <f>'[01_Entry.xlsx]Book'!A1455</f>
        <v/>
      </c>
      <c r="B1455" s="2">
        <f>'[01_Entry.xlsx]Book'!B1455</f>
        <v/>
      </c>
      <c r="C1455" s="2">
        <f>'[01_Entry.xlsx]Book'!D1455</f>
        <v/>
      </c>
      <c r="D1455" s="2">
        <f>'[01_Entry.xlsx]Book'!E1455</f>
        <v/>
      </c>
      <c r="E1455" s="2">
        <f>'[01_Entry.xlsx]Book'!O1455</f>
        <v/>
      </c>
      <c r="F1455" s="2">
        <f>'[01_Entry.xlsx]Book'!N1455</f>
        <v/>
      </c>
      <c r="G1455" s="3">
        <f>'[01_Entry.xlsx]Book'!L1455</f>
        <v/>
      </c>
      <c r="H1455" s="3">
        <f>'[01_Entry.xlsx]Book'!M1455</f>
        <v/>
      </c>
      <c r="I1455" s="3">
        <f>'[01_Entry.xlsx]Book'!K1455</f>
        <v/>
      </c>
      <c r="J1455" s="3">
        <f>'[01_Entry.xlsx]Book'!P1455</f>
        <v/>
      </c>
      <c r="K1455" s="3">
        <f>'[01_Entry.xlsx]Book'!F1455</f>
        <v/>
      </c>
      <c r="L1455" s="3">
        <f>'[01_Entry.xlsx]Book'!G1455</f>
        <v/>
      </c>
      <c r="M1455" s="3">
        <f>'[01_Entry.xlsx]Book'!I1455</f>
        <v/>
      </c>
      <c r="N1455" s="2">
        <f>IF($A1455="","",MID($A1455,6,2))</f>
        <v>0</v>
      </c>
      <c r="O1455" s="2">
        <f>IF(OR($C1455="",$C1455&lt;&gt;'Inv'!$D$12),"",N(O$1454)+1)</f>
        <v>0</v>
      </c>
    </row>
    <row r="1456" spans="1:15">
      <c r="A1456" s="2">
        <f>'[01_Entry.xlsx]Book'!A1456</f>
        <v/>
      </c>
      <c r="B1456" s="2">
        <f>'[01_Entry.xlsx]Book'!B1456</f>
        <v/>
      </c>
      <c r="C1456" s="2">
        <f>'[01_Entry.xlsx]Book'!D1456</f>
        <v/>
      </c>
      <c r="D1456" s="2">
        <f>'[01_Entry.xlsx]Book'!E1456</f>
        <v/>
      </c>
      <c r="E1456" s="2">
        <f>'[01_Entry.xlsx]Book'!O1456</f>
        <v/>
      </c>
      <c r="F1456" s="2">
        <f>'[01_Entry.xlsx]Book'!N1456</f>
        <v/>
      </c>
      <c r="G1456" s="3">
        <f>'[01_Entry.xlsx]Book'!L1456</f>
        <v/>
      </c>
      <c r="H1456" s="3">
        <f>'[01_Entry.xlsx]Book'!M1456</f>
        <v/>
      </c>
      <c r="I1456" s="3">
        <f>'[01_Entry.xlsx]Book'!K1456</f>
        <v/>
      </c>
      <c r="J1456" s="3">
        <f>'[01_Entry.xlsx]Book'!P1456</f>
        <v/>
      </c>
      <c r="K1456" s="3">
        <f>'[01_Entry.xlsx]Book'!F1456</f>
        <v/>
      </c>
      <c r="L1456" s="3">
        <f>'[01_Entry.xlsx]Book'!G1456</f>
        <v/>
      </c>
      <c r="M1456" s="3">
        <f>'[01_Entry.xlsx]Book'!I1456</f>
        <v/>
      </c>
      <c r="N1456" s="2">
        <f>IF($A1456="","",MID($A1456,6,2))</f>
        <v>0</v>
      </c>
      <c r="O1456" s="2">
        <f>IF(OR($C1456="",$C1456&lt;&gt;'Inv'!$D$12),"",N(O$1455)+1)</f>
        <v>0</v>
      </c>
    </row>
    <row r="1457" spans="1:15">
      <c r="A1457" s="2">
        <f>'[01_Entry.xlsx]Book'!A1457</f>
        <v/>
      </c>
      <c r="B1457" s="2">
        <f>'[01_Entry.xlsx]Book'!B1457</f>
        <v/>
      </c>
      <c r="C1457" s="2">
        <f>'[01_Entry.xlsx]Book'!D1457</f>
        <v/>
      </c>
      <c r="D1457" s="2">
        <f>'[01_Entry.xlsx]Book'!E1457</f>
        <v/>
      </c>
      <c r="E1457" s="2">
        <f>'[01_Entry.xlsx]Book'!O1457</f>
        <v/>
      </c>
      <c r="F1457" s="2">
        <f>'[01_Entry.xlsx]Book'!N1457</f>
        <v/>
      </c>
      <c r="G1457" s="3">
        <f>'[01_Entry.xlsx]Book'!L1457</f>
        <v/>
      </c>
      <c r="H1457" s="3">
        <f>'[01_Entry.xlsx]Book'!M1457</f>
        <v/>
      </c>
      <c r="I1457" s="3">
        <f>'[01_Entry.xlsx]Book'!K1457</f>
        <v/>
      </c>
      <c r="J1457" s="3">
        <f>'[01_Entry.xlsx]Book'!P1457</f>
        <v/>
      </c>
      <c r="K1457" s="3">
        <f>'[01_Entry.xlsx]Book'!F1457</f>
        <v/>
      </c>
      <c r="L1457" s="3">
        <f>'[01_Entry.xlsx]Book'!G1457</f>
        <v/>
      </c>
      <c r="M1457" s="3">
        <f>'[01_Entry.xlsx]Book'!I1457</f>
        <v/>
      </c>
      <c r="N1457" s="2">
        <f>IF($A1457="","",MID($A1457,6,2))</f>
        <v>0</v>
      </c>
      <c r="O1457" s="2">
        <f>IF(OR($C1457="",$C1457&lt;&gt;'Inv'!$D$12),"",N(O$1456)+1)</f>
        <v>0</v>
      </c>
    </row>
    <row r="1458" spans="1:15">
      <c r="A1458" s="2">
        <f>'[01_Entry.xlsx]Book'!A1458</f>
        <v/>
      </c>
      <c r="B1458" s="2">
        <f>'[01_Entry.xlsx]Book'!B1458</f>
        <v/>
      </c>
      <c r="C1458" s="2">
        <f>'[01_Entry.xlsx]Book'!D1458</f>
        <v/>
      </c>
      <c r="D1458" s="2">
        <f>'[01_Entry.xlsx]Book'!E1458</f>
        <v/>
      </c>
      <c r="E1458" s="2">
        <f>'[01_Entry.xlsx]Book'!O1458</f>
        <v/>
      </c>
      <c r="F1458" s="2">
        <f>'[01_Entry.xlsx]Book'!N1458</f>
        <v/>
      </c>
      <c r="G1458" s="3">
        <f>'[01_Entry.xlsx]Book'!L1458</f>
        <v/>
      </c>
      <c r="H1458" s="3">
        <f>'[01_Entry.xlsx]Book'!M1458</f>
        <v/>
      </c>
      <c r="I1458" s="3">
        <f>'[01_Entry.xlsx]Book'!K1458</f>
        <v/>
      </c>
      <c r="J1458" s="3">
        <f>'[01_Entry.xlsx]Book'!P1458</f>
        <v/>
      </c>
      <c r="K1458" s="3">
        <f>'[01_Entry.xlsx]Book'!F1458</f>
        <v/>
      </c>
      <c r="L1458" s="3">
        <f>'[01_Entry.xlsx]Book'!G1458</f>
        <v/>
      </c>
      <c r="M1458" s="3">
        <f>'[01_Entry.xlsx]Book'!I1458</f>
        <v/>
      </c>
      <c r="N1458" s="2">
        <f>IF($A1458="","",MID($A1458,6,2))</f>
        <v>0</v>
      </c>
      <c r="O1458" s="2">
        <f>IF(OR($C1458="",$C1458&lt;&gt;'Inv'!$D$12),"",N(O$1457)+1)</f>
        <v>0</v>
      </c>
    </row>
    <row r="1459" spans="1:15">
      <c r="A1459" s="2">
        <f>'[01_Entry.xlsx]Book'!A1459</f>
        <v/>
      </c>
      <c r="B1459" s="2">
        <f>'[01_Entry.xlsx]Book'!B1459</f>
        <v/>
      </c>
      <c r="C1459" s="2">
        <f>'[01_Entry.xlsx]Book'!D1459</f>
        <v/>
      </c>
      <c r="D1459" s="2">
        <f>'[01_Entry.xlsx]Book'!E1459</f>
        <v/>
      </c>
      <c r="E1459" s="2">
        <f>'[01_Entry.xlsx]Book'!O1459</f>
        <v/>
      </c>
      <c r="F1459" s="2">
        <f>'[01_Entry.xlsx]Book'!N1459</f>
        <v/>
      </c>
      <c r="G1459" s="3">
        <f>'[01_Entry.xlsx]Book'!L1459</f>
        <v/>
      </c>
      <c r="H1459" s="3">
        <f>'[01_Entry.xlsx]Book'!M1459</f>
        <v/>
      </c>
      <c r="I1459" s="3">
        <f>'[01_Entry.xlsx]Book'!K1459</f>
        <v/>
      </c>
      <c r="J1459" s="3">
        <f>'[01_Entry.xlsx]Book'!P1459</f>
        <v/>
      </c>
      <c r="K1459" s="3">
        <f>'[01_Entry.xlsx]Book'!F1459</f>
        <v/>
      </c>
      <c r="L1459" s="3">
        <f>'[01_Entry.xlsx]Book'!G1459</f>
        <v/>
      </c>
      <c r="M1459" s="3">
        <f>'[01_Entry.xlsx]Book'!I1459</f>
        <v/>
      </c>
      <c r="N1459" s="2">
        <f>IF($A1459="","",MID($A1459,6,2))</f>
        <v>0</v>
      </c>
      <c r="O1459" s="2">
        <f>IF(OR($C1459="",$C1459&lt;&gt;'Inv'!$D$12),"",N(O$1458)+1)</f>
        <v>0</v>
      </c>
    </row>
    <row r="1460" spans="1:15">
      <c r="A1460" s="2">
        <f>'[01_Entry.xlsx]Book'!A1460</f>
        <v/>
      </c>
      <c r="B1460" s="2">
        <f>'[01_Entry.xlsx]Book'!B1460</f>
        <v/>
      </c>
      <c r="C1460" s="2">
        <f>'[01_Entry.xlsx]Book'!D1460</f>
        <v/>
      </c>
      <c r="D1460" s="2">
        <f>'[01_Entry.xlsx]Book'!E1460</f>
        <v/>
      </c>
      <c r="E1460" s="2">
        <f>'[01_Entry.xlsx]Book'!O1460</f>
        <v/>
      </c>
      <c r="F1460" s="2">
        <f>'[01_Entry.xlsx]Book'!N1460</f>
        <v/>
      </c>
      <c r="G1460" s="3">
        <f>'[01_Entry.xlsx]Book'!L1460</f>
        <v/>
      </c>
      <c r="H1460" s="3">
        <f>'[01_Entry.xlsx]Book'!M1460</f>
        <v/>
      </c>
      <c r="I1460" s="3">
        <f>'[01_Entry.xlsx]Book'!K1460</f>
        <v/>
      </c>
      <c r="J1460" s="3">
        <f>'[01_Entry.xlsx]Book'!P1460</f>
        <v/>
      </c>
      <c r="K1460" s="3">
        <f>'[01_Entry.xlsx]Book'!F1460</f>
        <v/>
      </c>
      <c r="L1460" s="3">
        <f>'[01_Entry.xlsx]Book'!G1460</f>
        <v/>
      </c>
      <c r="M1460" s="3">
        <f>'[01_Entry.xlsx]Book'!I1460</f>
        <v/>
      </c>
      <c r="N1460" s="2">
        <f>IF($A1460="","",MID($A1460,6,2))</f>
        <v>0</v>
      </c>
      <c r="O1460" s="2">
        <f>IF(OR($C1460="",$C1460&lt;&gt;'Inv'!$D$12),"",N(O$1459)+1)</f>
        <v>0</v>
      </c>
    </row>
    <row r="1461" spans="1:15">
      <c r="A1461" s="2">
        <f>'[01_Entry.xlsx]Book'!A1461</f>
        <v/>
      </c>
      <c r="B1461" s="2">
        <f>'[01_Entry.xlsx]Book'!B1461</f>
        <v/>
      </c>
      <c r="C1461" s="2">
        <f>'[01_Entry.xlsx]Book'!D1461</f>
        <v/>
      </c>
      <c r="D1461" s="2">
        <f>'[01_Entry.xlsx]Book'!E1461</f>
        <v/>
      </c>
      <c r="E1461" s="2">
        <f>'[01_Entry.xlsx]Book'!O1461</f>
        <v/>
      </c>
      <c r="F1461" s="2">
        <f>'[01_Entry.xlsx]Book'!N1461</f>
        <v/>
      </c>
      <c r="G1461" s="3">
        <f>'[01_Entry.xlsx]Book'!L1461</f>
        <v/>
      </c>
      <c r="H1461" s="3">
        <f>'[01_Entry.xlsx]Book'!M1461</f>
        <v/>
      </c>
      <c r="I1461" s="3">
        <f>'[01_Entry.xlsx]Book'!K1461</f>
        <v/>
      </c>
      <c r="J1461" s="3">
        <f>'[01_Entry.xlsx]Book'!P1461</f>
        <v/>
      </c>
      <c r="K1461" s="3">
        <f>'[01_Entry.xlsx]Book'!F1461</f>
        <v/>
      </c>
      <c r="L1461" s="3">
        <f>'[01_Entry.xlsx]Book'!G1461</f>
        <v/>
      </c>
      <c r="M1461" s="3">
        <f>'[01_Entry.xlsx]Book'!I1461</f>
        <v/>
      </c>
      <c r="N1461" s="2">
        <f>IF($A1461="","",MID($A1461,6,2))</f>
        <v>0</v>
      </c>
      <c r="O1461" s="2">
        <f>IF(OR($C1461="",$C1461&lt;&gt;'Inv'!$D$12),"",N(O$1460)+1)</f>
        <v>0</v>
      </c>
    </row>
    <row r="1462" spans="1:15">
      <c r="A1462" s="2">
        <f>'[01_Entry.xlsx]Book'!A1462</f>
        <v/>
      </c>
      <c r="B1462" s="2">
        <f>'[01_Entry.xlsx]Book'!B1462</f>
        <v/>
      </c>
      <c r="C1462" s="2">
        <f>'[01_Entry.xlsx]Book'!D1462</f>
        <v/>
      </c>
      <c r="D1462" s="2">
        <f>'[01_Entry.xlsx]Book'!E1462</f>
        <v/>
      </c>
      <c r="E1462" s="2">
        <f>'[01_Entry.xlsx]Book'!O1462</f>
        <v/>
      </c>
      <c r="F1462" s="2">
        <f>'[01_Entry.xlsx]Book'!N1462</f>
        <v/>
      </c>
      <c r="G1462" s="3">
        <f>'[01_Entry.xlsx]Book'!L1462</f>
        <v/>
      </c>
      <c r="H1462" s="3">
        <f>'[01_Entry.xlsx]Book'!M1462</f>
        <v/>
      </c>
      <c r="I1462" s="3">
        <f>'[01_Entry.xlsx]Book'!K1462</f>
        <v/>
      </c>
      <c r="J1462" s="3">
        <f>'[01_Entry.xlsx]Book'!P1462</f>
        <v/>
      </c>
      <c r="K1462" s="3">
        <f>'[01_Entry.xlsx]Book'!F1462</f>
        <v/>
      </c>
      <c r="L1462" s="3">
        <f>'[01_Entry.xlsx]Book'!G1462</f>
        <v/>
      </c>
      <c r="M1462" s="3">
        <f>'[01_Entry.xlsx]Book'!I1462</f>
        <v/>
      </c>
      <c r="N1462" s="2">
        <f>IF($A1462="","",MID($A1462,6,2))</f>
        <v>0</v>
      </c>
      <c r="O1462" s="2">
        <f>IF(OR($C1462="",$C1462&lt;&gt;'Inv'!$D$12),"",N(O$1461)+1)</f>
        <v>0</v>
      </c>
    </row>
    <row r="1463" spans="1:15">
      <c r="A1463" s="2">
        <f>'[01_Entry.xlsx]Book'!A1463</f>
        <v/>
      </c>
      <c r="B1463" s="2">
        <f>'[01_Entry.xlsx]Book'!B1463</f>
        <v/>
      </c>
      <c r="C1463" s="2">
        <f>'[01_Entry.xlsx]Book'!D1463</f>
        <v/>
      </c>
      <c r="D1463" s="2">
        <f>'[01_Entry.xlsx]Book'!E1463</f>
        <v/>
      </c>
      <c r="E1463" s="2">
        <f>'[01_Entry.xlsx]Book'!O1463</f>
        <v/>
      </c>
      <c r="F1463" s="2">
        <f>'[01_Entry.xlsx]Book'!N1463</f>
        <v/>
      </c>
      <c r="G1463" s="3">
        <f>'[01_Entry.xlsx]Book'!L1463</f>
        <v/>
      </c>
      <c r="H1463" s="3">
        <f>'[01_Entry.xlsx]Book'!M1463</f>
        <v/>
      </c>
      <c r="I1463" s="3">
        <f>'[01_Entry.xlsx]Book'!K1463</f>
        <v/>
      </c>
      <c r="J1463" s="3">
        <f>'[01_Entry.xlsx]Book'!P1463</f>
        <v/>
      </c>
      <c r="K1463" s="3">
        <f>'[01_Entry.xlsx]Book'!F1463</f>
        <v/>
      </c>
      <c r="L1463" s="3">
        <f>'[01_Entry.xlsx]Book'!G1463</f>
        <v/>
      </c>
      <c r="M1463" s="3">
        <f>'[01_Entry.xlsx]Book'!I1463</f>
        <v/>
      </c>
      <c r="N1463" s="2">
        <f>IF($A1463="","",MID($A1463,6,2))</f>
        <v>0</v>
      </c>
      <c r="O1463" s="2">
        <f>IF(OR($C1463="",$C1463&lt;&gt;'Inv'!$D$12),"",N(O$1462)+1)</f>
        <v>0</v>
      </c>
    </row>
    <row r="1464" spans="1:15">
      <c r="A1464" s="2">
        <f>'[01_Entry.xlsx]Book'!A1464</f>
        <v/>
      </c>
      <c r="B1464" s="2">
        <f>'[01_Entry.xlsx]Book'!B1464</f>
        <v/>
      </c>
      <c r="C1464" s="2">
        <f>'[01_Entry.xlsx]Book'!D1464</f>
        <v/>
      </c>
      <c r="D1464" s="2">
        <f>'[01_Entry.xlsx]Book'!E1464</f>
        <v/>
      </c>
      <c r="E1464" s="2">
        <f>'[01_Entry.xlsx]Book'!O1464</f>
        <v/>
      </c>
      <c r="F1464" s="2">
        <f>'[01_Entry.xlsx]Book'!N1464</f>
        <v/>
      </c>
      <c r="G1464" s="3">
        <f>'[01_Entry.xlsx]Book'!L1464</f>
        <v/>
      </c>
      <c r="H1464" s="3">
        <f>'[01_Entry.xlsx]Book'!M1464</f>
        <v/>
      </c>
      <c r="I1464" s="3">
        <f>'[01_Entry.xlsx]Book'!K1464</f>
        <v/>
      </c>
      <c r="J1464" s="3">
        <f>'[01_Entry.xlsx]Book'!P1464</f>
        <v/>
      </c>
      <c r="K1464" s="3">
        <f>'[01_Entry.xlsx]Book'!F1464</f>
        <v/>
      </c>
      <c r="L1464" s="3">
        <f>'[01_Entry.xlsx]Book'!G1464</f>
        <v/>
      </c>
      <c r="M1464" s="3">
        <f>'[01_Entry.xlsx]Book'!I1464</f>
        <v/>
      </c>
      <c r="N1464" s="2">
        <f>IF($A1464="","",MID($A1464,6,2))</f>
        <v>0</v>
      </c>
      <c r="O1464" s="2">
        <f>IF(OR($C1464="",$C1464&lt;&gt;'Inv'!$D$12),"",N(O$1463)+1)</f>
        <v>0</v>
      </c>
    </row>
    <row r="1465" spans="1:15">
      <c r="A1465" s="2">
        <f>'[01_Entry.xlsx]Book'!A1465</f>
        <v/>
      </c>
      <c r="B1465" s="2">
        <f>'[01_Entry.xlsx]Book'!B1465</f>
        <v/>
      </c>
      <c r="C1465" s="2">
        <f>'[01_Entry.xlsx]Book'!D1465</f>
        <v/>
      </c>
      <c r="D1465" s="2">
        <f>'[01_Entry.xlsx]Book'!E1465</f>
        <v/>
      </c>
      <c r="E1465" s="2">
        <f>'[01_Entry.xlsx]Book'!O1465</f>
        <v/>
      </c>
      <c r="F1465" s="2">
        <f>'[01_Entry.xlsx]Book'!N1465</f>
        <v/>
      </c>
      <c r="G1465" s="3">
        <f>'[01_Entry.xlsx]Book'!L1465</f>
        <v/>
      </c>
      <c r="H1465" s="3">
        <f>'[01_Entry.xlsx]Book'!M1465</f>
        <v/>
      </c>
      <c r="I1465" s="3">
        <f>'[01_Entry.xlsx]Book'!K1465</f>
        <v/>
      </c>
      <c r="J1465" s="3">
        <f>'[01_Entry.xlsx]Book'!P1465</f>
        <v/>
      </c>
      <c r="K1465" s="3">
        <f>'[01_Entry.xlsx]Book'!F1465</f>
        <v/>
      </c>
      <c r="L1465" s="3">
        <f>'[01_Entry.xlsx]Book'!G1465</f>
        <v/>
      </c>
      <c r="M1465" s="3">
        <f>'[01_Entry.xlsx]Book'!I1465</f>
        <v/>
      </c>
      <c r="N1465" s="2">
        <f>IF($A1465="","",MID($A1465,6,2))</f>
        <v>0</v>
      </c>
      <c r="O1465" s="2">
        <f>IF(OR($C1465="",$C1465&lt;&gt;'Inv'!$D$12),"",N(O$1464)+1)</f>
        <v>0</v>
      </c>
    </row>
    <row r="1466" spans="1:15">
      <c r="A1466" s="2">
        <f>'[01_Entry.xlsx]Book'!A1466</f>
        <v/>
      </c>
      <c r="B1466" s="2">
        <f>'[01_Entry.xlsx]Book'!B1466</f>
        <v/>
      </c>
      <c r="C1466" s="2">
        <f>'[01_Entry.xlsx]Book'!D1466</f>
        <v/>
      </c>
      <c r="D1466" s="2">
        <f>'[01_Entry.xlsx]Book'!E1466</f>
        <v/>
      </c>
      <c r="E1466" s="2">
        <f>'[01_Entry.xlsx]Book'!O1466</f>
        <v/>
      </c>
      <c r="F1466" s="2">
        <f>'[01_Entry.xlsx]Book'!N1466</f>
        <v/>
      </c>
      <c r="G1466" s="3">
        <f>'[01_Entry.xlsx]Book'!L1466</f>
        <v/>
      </c>
      <c r="H1466" s="3">
        <f>'[01_Entry.xlsx]Book'!M1466</f>
        <v/>
      </c>
      <c r="I1466" s="3">
        <f>'[01_Entry.xlsx]Book'!K1466</f>
        <v/>
      </c>
      <c r="J1466" s="3">
        <f>'[01_Entry.xlsx]Book'!P1466</f>
        <v/>
      </c>
      <c r="K1466" s="3">
        <f>'[01_Entry.xlsx]Book'!F1466</f>
        <v/>
      </c>
      <c r="L1466" s="3">
        <f>'[01_Entry.xlsx]Book'!G1466</f>
        <v/>
      </c>
      <c r="M1466" s="3">
        <f>'[01_Entry.xlsx]Book'!I1466</f>
        <v/>
      </c>
      <c r="N1466" s="2">
        <f>IF($A1466="","",MID($A1466,6,2))</f>
        <v>0</v>
      </c>
      <c r="O1466" s="2">
        <f>IF(OR($C1466="",$C1466&lt;&gt;'Inv'!$D$12),"",N(O$1465)+1)</f>
        <v>0</v>
      </c>
    </row>
    <row r="1467" spans="1:15">
      <c r="A1467" s="2">
        <f>'[01_Entry.xlsx]Book'!A1467</f>
        <v/>
      </c>
      <c r="B1467" s="2">
        <f>'[01_Entry.xlsx]Book'!B1467</f>
        <v/>
      </c>
      <c r="C1467" s="2">
        <f>'[01_Entry.xlsx]Book'!D1467</f>
        <v/>
      </c>
      <c r="D1467" s="2">
        <f>'[01_Entry.xlsx]Book'!E1467</f>
        <v/>
      </c>
      <c r="E1467" s="2">
        <f>'[01_Entry.xlsx]Book'!O1467</f>
        <v/>
      </c>
      <c r="F1467" s="2">
        <f>'[01_Entry.xlsx]Book'!N1467</f>
        <v/>
      </c>
      <c r="G1467" s="3">
        <f>'[01_Entry.xlsx]Book'!L1467</f>
        <v/>
      </c>
      <c r="H1467" s="3">
        <f>'[01_Entry.xlsx]Book'!M1467</f>
        <v/>
      </c>
      <c r="I1467" s="3">
        <f>'[01_Entry.xlsx]Book'!K1467</f>
        <v/>
      </c>
      <c r="J1467" s="3">
        <f>'[01_Entry.xlsx]Book'!P1467</f>
        <v/>
      </c>
      <c r="K1467" s="3">
        <f>'[01_Entry.xlsx]Book'!F1467</f>
        <v/>
      </c>
      <c r="L1467" s="3">
        <f>'[01_Entry.xlsx]Book'!G1467</f>
        <v/>
      </c>
      <c r="M1467" s="3">
        <f>'[01_Entry.xlsx]Book'!I1467</f>
        <v/>
      </c>
      <c r="N1467" s="2">
        <f>IF($A1467="","",MID($A1467,6,2))</f>
        <v>0</v>
      </c>
      <c r="O1467" s="2">
        <f>IF(OR($C1467="",$C1467&lt;&gt;'Inv'!$D$12),"",N(O$1466)+1)</f>
        <v>0</v>
      </c>
    </row>
    <row r="1468" spans="1:15">
      <c r="A1468" s="2">
        <f>'[01_Entry.xlsx]Book'!A1468</f>
        <v/>
      </c>
      <c r="B1468" s="2">
        <f>'[01_Entry.xlsx]Book'!B1468</f>
        <v/>
      </c>
      <c r="C1468" s="2">
        <f>'[01_Entry.xlsx]Book'!D1468</f>
        <v/>
      </c>
      <c r="D1468" s="2">
        <f>'[01_Entry.xlsx]Book'!E1468</f>
        <v/>
      </c>
      <c r="E1468" s="2">
        <f>'[01_Entry.xlsx]Book'!O1468</f>
        <v/>
      </c>
      <c r="F1468" s="2">
        <f>'[01_Entry.xlsx]Book'!N1468</f>
        <v/>
      </c>
      <c r="G1468" s="3">
        <f>'[01_Entry.xlsx]Book'!L1468</f>
        <v/>
      </c>
      <c r="H1468" s="3">
        <f>'[01_Entry.xlsx]Book'!M1468</f>
        <v/>
      </c>
      <c r="I1468" s="3">
        <f>'[01_Entry.xlsx]Book'!K1468</f>
        <v/>
      </c>
      <c r="J1468" s="3">
        <f>'[01_Entry.xlsx]Book'!P1468</f>
        <v/>
      </c>
      <c r="K1468" s="3">
        <f>'[01_Entry.xlsx]Book'!F1468</f>
        <v/>
      </c>
      <c r="L1468" s="3">
        <f>'[01_Entry.xlsx]Book'!G1468</f>
        <v/>
      </c>
      <c r="M1468" s="3">
        <f>'[01_Entry.xlsx]Book'!I1468</f>
        <v/>
      </c>
      <c r="N1468" s="2">
        <f>IF($A1468="","",MID($A1468,6,2))</f>
        <v>0</v>
      </c>
      <c r="O1468" s="2">
        <f>IF(OR($C1468="",$C1468&lt;&gt;'Inv'!$D$12),"",N(O$1467)+1)</f>
        <v>0</v>
      </c>
    </row>
    <row r="1469" spans="1:15">
      <c r="A1469" s="2">
        <f>'[01_Entry.xlsx]Book'!A1469</f>
        <v/>
      </c>
      <c r="B1469" s="2">
        <f>'[01_Entry.xlsx]Book'!B1469</f>
        <v/>
      </c>
      <c r="C1469" s="2">
        <f>'[01_Entry.xlsx]Book'!D1469</f>
        <v/>
      </c>
      <c r="D1469" s="2">
        <f>'[01_Entry.xlsx]Book'!E1469</f>
        <v/>
      </c>
      <c r="E1469" s="2">
        <f>'[01_Entry.xlsx]Book'!O1469</f>
        <v/>
      </c>
      <c r="F1469" s="2">
        <f>'[01_Entry.xlsx]Book'!N1469</f>
        <v/>
      </c>
      <c r="G1469" s="3">
        <f>'[01_Entry.xlsx]Book'!L1469</f>
        <v/>
      </c>
      <c r="H1469" s="3">
        <f>'[01_Entry.xlsx]Book'!M1469</f>
        <v/>
      </c>
      <c r="I1469" s="3">
        <f>'[01_Entry.xlsx]Book'!K1469</f>
        <v/>
      </c>
      <c r="J1469" s="3">
        <f>'[01_Entry.xlsx]Book'!P1469</f>
        <v/>
      </c>
      <c r="K1469" s="3">
        <f>'[01_Entry.xlsx]Book'!F1469</f>
        <v/>
      </c>
      <c r="L1469" s="3">
        <f>'[01_Entry.xlsx]Book'!G1469</f>
        <v/>
      </c>
      <c r="M1469" s="3">
        <f>'[01_Entry.xlsx]Book'!I1469</f>
        <v/>
      </c>
      <c r="N1469" s="2">
        <f>IF($A1469="","",MID($A1469,6,2))</f>
        <v>0</v>
      </c>
      <c r="O1469" s="2">
        <f>IF(OR($C1469="",$C1469&lt;&gt;'Inv'!$D$12),"",N(O$1468)+1)</f>
        <v>0</v>
      </c>
    </row>
    <row r="1470" spans="1:15">
      <c r="A1470" s="2">
        <f>'[01_Entry.xlsx]Book'!A1470</f>
        <v/>
      </c>
      <c r="B1470" s="2">
        <f>'[01_Entry.xlsx]Book'!B1470</f>
        <v/>
      </c>
      <c r="C1470" s="2">
        <f>'[01_Entry.xlsx]Book'!D1470</f>
        <v/>
      </c>
      <c r="D1470" s="2">
        <f>'[01_Entry.xlsx]Book'!E1470</f>
        <v/>
      </c>
      <c r="E1470" s="2">
        <f>'[01_Entry.xlsx]Book'!O1470</f>
        <v/>
      </c>
      <c r="F1470" s="2">
        <f>'[01_Entry.xlsx]Book'!N1470</f>
        <v/>
      </c>
      <c r="G1470" s="3">
        <f>'[01_Entry.xlsx]Book'!L1470</f>
        <v/>
      </c>
      <c r="H1470" s="3">
        <f>'[01_Entry.xlsx]Book'!M1470</f>
        <v/>
      </c>
      <c r="I1470" s="3">
        <f>'[01_Entry.xlsx]Book'!K1470</f>
        <v/>
      </c>
      <c r="J1470" s="3">
        <f>'[01_Entry.xlsx]Book'!P1470</f>
        <v/>
      </c>
      <c r="K1470" s="3">
        <f>'[01_Entry.xlsx]Book'!F1470</f>
        <v/>
      </c>
      <c r="L1470" s="3">
        <f>'[01_Entry.xlsx]Book'!G1470</f>
        <v/>
      </c>
      <c r="M1470" s="3">
        <f>'[01_Entry.xlsx]Book'!I1470</f>
        <v/>
      </c>
      <c r="N1470" s="2">
        <f>IF($A1470="","",MID($A1470,6,2))</f>
        <v>0</v>
      </c>
      <c r="O1470" s="2">
        <f>IF(OR($C1470="",$C1470&lt;&gt;'Inv'!$D$12),"",N(O$1469)+1)</f>
        <v>0</v>
      </c>
    </row>
    <row r="1471" spans="1:15">
      <c r="A1471" s="2">
        <f>'[01_Entry.xlsx]Book'!A1471</f>
        <v/>
      </c>
      <c r="B1471" s="2">
        <f>'[01_Entry.xlsx]Book'!B1471</f>
        <v/>
      </c>
      <c r="C1471" s="2">
        <f>'[01_Entry.xlsx]Book'!D1471</f>
        <v/>
      </c>
      <c r="D1471" s="2">
        <f>'[01_Entry.xlsx]Book'!E1471</f>
        <v/>
      </c>
      <c r="E1471" s="2">
        <f>'[01_Entry.xlsx]Book'!O1471</f>
        <v/>
      </c>
      <c r="F1471" s="2">
        <f>'[01_Entry.xlsx]Book'!N1471</f>
        <v/>
      </c>
      <c r="G1471" s="3">
        <f>'[01_Entry.xlsx]Book'!L1471</f>
        <v/>
      </c>
      <c r="H1471" s="3">
        <f>'[01_Entry.xlsx]Book'!M1471</f>
        <v/>
      </c>
      <c r="I1471" s="3">
        <f>'[01_Entry.xlsx]Book'!K1471</f>
        <v/>
      </c>
      <c r="J1471" s="3">
        <f>'[01_Entry.xlsx]Book'!P1471</f>
        <v/>
      </c>
      <c r="K1471" s="3">
        <f>'[01_Entry.xlsx]Book'!F1471</f>
        <v/>
      </c>
      <c r="L1471" s="3">
        <f>'[01_Entry.xlsx]Book'!G1471</f>
        <v/>
      </c>
      <c r="M1471" s="3">
        <f>'[01_Entry.xlsx]Book'!I1471</f>
        <v/>
      </c>
      <c r="N1471" s="2">
        <f>IF($A1471="","",MID($A1471,6,2))</f>
        <v>0</v>
      </c>
      <c r="O1471" s="2">
        <f>IF(OR($C1471="",$C1471&lt;&gt;'Inv'!$D$12),"",N(O$1470)+1)</f>
        <v>0</v>
      </c>
    </row>
    <row r="1472" spans="1:15">
      <c r="A1472" s="2">
        <f>'[01_Entry.xlsx]Book'!A1472</f>
        <v/>
      </c>
      <c r="B1472" s="2">
        <f>'[01_Entry.xlsx]Book'!B1472</f>
        <v/>
      </c>
      <c r="C1472" s="2">
        <f>'[01_Entry.xlsx]Book'!D1472</f>
        <v/>
      </c>
      <c r="D1472" s="2">
        <f>'[01_Entry.xlsx]Book'!E1472</f>
        <v/>
      </c>
      <c r="E1472" s="2">
        <f>'[01_Entry.xlsx]Book'!O1472</f>
        <v/>
      </c>
      <c r="F1472" s="2">
        <f>'[01_Entry.xlsx]Book'!N1472</f>
        <v/>
      </c>
      <c r="G1472" s="3">
        <f>'[01_Entry.xlsx]Book'!L1472</f>
        <v/>
      </c>
      <c r="H1472" s="3">
        <f>'[01_Entry.xlsx]Book'!M1472</f>
        <v/>
      </c>
      <c r="I1472" s="3">
        <f>'[01_Entry.xlsx]Book'!K1472</f>
        <v/>
      </c>
      <c r="J1472" s="3">
        <f>'[01_Entry.xlsx]Book'!P1472</f>
        <v/>
      </c>
      <c r="K1472" s="3">
        <f>'[01_Entry.xlsx]Book'!F1472</f>
        <v/>
      </c>
      <c r="L1472" s="3">
        <f>'[01_Entry.xlsx]Book'!G1472</f>
        <v/>
      </c>
      <c r="M1472" s="3">
        <f>'[01_Entry.xlsx]Book'!I1472</f>
        <v/>
      </c>
      <c r="N1472" s="2">
        <f>IF($A1472="","",MID($A1472,6,2))</f>
        <v>0</v>
      </c>
      <c r="O1472" s="2">
        <f>IF(OR($C1472="",$C1472&lt;&gt;'Inv'!$D$12),"",N(O$1471)+1)</f>
        <v>0</v>
      </c>
    </row>
    <row r="1473" spans="1:15">
      <c r="A1473" s="2">
        <f>'[01_Entry.xlsx]Book'!A1473</f>
        <v/>
      </c>
      <c r="B1473" s="2">
        <f>'[01_Entry.xlsx]Book'!B1473</f>
        <v/>
      </c>
      <c r="C1473" s="2">
        <f>'[01_Entry.xlsx]Book'!D1473</f>
        <v/>
      </c>
      <c r="D1473" s="2">
        <f>'[01_Entry.xlsx]Book'!E1473</f>
        <v/>
      </c>
      <c r="E1473" s="2">
        <f>'[01_Entry.xlsx]Book'!O1473</f>
        <v/>
      </c>
      <c r="F1473" s="2">
        <f>'[01_Entry.xlsx]Book'!N1473</f>
        <v/>
      </c>
      <c r="G1473" s="3">
        <f>'[01_Entry.xlsx]Book'!L1473</f>
        <v/>
      </c>
      <c r="H1473" s="3">
        <f>'[01_Entry.xlsx]Book'!M1473</f>
        <v/>
      </c>
      <c r="I1473" s="3">
        <f>'[01_Entry.xlsx]Book'!K1473</f>
        <v/>
      </c>
      <c r="J1473" s="3">
        <f>'[01_Entry.xlsx]Book'!P1473</f>
        <v/>
      </c>
      <c r="K1473" s="3">
        <f>'[01_Entry.xlsx]Book'!F1473</f>
        <v/>
      </c>
      <c r="L1473" s="3">
        <f>'[01_Entry.xlsx]Book'!G1473</f>
        <v/>
      </c>
      <c r="M1473" s="3">
        <f>'[01_Entry.xlsx]Book'!I1473</f>
        <v/>
      </c>
      <c r="N1473" s="2">
        <f>IF($A1473="","",MID($A1473,6,2))</f>
        <v>0</v>
      </c>
      <c r="O1473" s="2">
        <f>IF(OR($C1473="",$C1473&lt;&gt;'Inv'!$D$12),"",N(O$1472)+1)</f>
        <v>0</v>
      </c>
    </row>
    <row r="1474" spans="1:15">
      <c r="A1474" s="2">
        <f>'[01_Entry.xlsx]Book'!A1474</f>
        <v/>
      </c>
      <c r="B1474" s="2">
        <f>'[01_Entry.xlsx]Book'!B1474</f>
        <v/>
      </c>
      <c r="C1474" s="2">
        <f>'[01_Entry.xlsx]Book'!D1474</f>
        <v/>
      </c>
      <c r="D1474" s="2">
        <f>'[01_Entry.xlsx]Book'!E1474</f>
        <v/>
      </c>
      <c r="E1474" s="2">
        <f>'[01_Entry.xlsx]Book'!O1474</f>
        <v/>
      </c>
      <c r="F1474" s="2">
        <f>'[01_Entry.xlsx]Book'!N1474</f>
        <v/>
      </c>
      <c r="G1474" s="3">
        <f>'[01_Entry.xlsx]Book'!L1474</f>
        <v/>
      </c>
      <c r="H1474" s="3">
        <f>'[01_Entry.xlsx]Book'!M1474</f>
        <v/>
      </c>
      <c r="I1474" s="3">
        <f>'[01_Entry.xlsx]Book'!K1474</f>
        <v/>
      </c>
      <c r="J1474" s="3">
        <f>'[01_Entry.xlsx]Book'!P1474</f>
        <v/>
      </c>
      <c r="K1474" s="3">
        <f>'[01_Entry.xlsx]Book'!F1474</f>
        <v/>
      </c>
      <c r="L1474" s="3">
        <f>'[01_Entry.xlsx]Book'!G1474</f>
        <v/>
      </c>
      <c r="M1474" s="3">
        <f>'[01_Entry.xlsx]Book'!I1474</f>
        <v/>
      </c>
      <c r="N1474" s="2">
        <f>IF($A1474="","",MID($A1474,6,2))</f>
        <v>0</v>
      </c>
      <c r="O1474" s="2">
        <f>IF(OR($C1474="",$C1474&lt;&gt;'Inv'!$D$12),"",N(O$1473)+1)</f>
        <v>0</v>
      </c>
    </row>
    <row r="1475" spans="1:15">
      <c r="A1475" s="2">
        <f>'[01_Entry.xlsx]Book'!A1475</f>
        <v/>
      </c>
      <c r="B1475" s="2">
        <f>'[01_Entry.xlsx]Book'!B1475</f>
        <v/>
      </c>
      <c r="C1475" s="2">
        <f>'[01_Entry.xlsx]Book'!D1475</f>
        <v/>
      </c>
      <c r="D1475" s="2">
        <f>'[01_Entry.xlsx]Book'!E1475</f>
        <v/>
      </c>
      <c r="E1475" s="2">
        <f>'[01_Entry.xlsx]Book'!O1475</f>
        <v/>
      </c>
      <c r="F1475" s="2">
        <f>'[01_Entry.xlsx]Book'!N1475</f>
        <v/>
      </c>
      <c r="G1475" s="3">
        <f>'[01_Entry.xlsx]Book'!L1475</f>
        <v/>
      </c>
      <c r="H1475" s="3">
        <f>'[01_Entry.xlsx]Book'!M1475</f>
        <v/>
      </c>
      <c r="I1475" s="3">
        <f>'[01_Entry.xlsx]Book'!K1475</f>
        <v/>
      </c>
      <c r="J1475" s="3">
        <f>'[01_Entry.xlsx]Book'!P1475</f>
        <v/>
      </c>
      <c r="K1475" s="3">
        <f>'[01_Entry.xlsx]Book'!F1475</f>
        <v/>
      </c>
      <c r="L1475" s="3">
        <f>'[01_Entry.xlsx]Book'!G1475</f>
        <v/>
      </c>
      <c r="M1475" s="3">
        <f>'[01_Entry.xlsx]Book'!I1475</f>
        <v/>
      </c>
      <c r="N1475" s="2">
        <f>IF($A1475="","",MID($A1475,6,2))</f>
        <v>0</v>
      </c>
      <c r="O1475" s="2">
        <f>IF(OR($C1475="",$C1475&lt;&gt;'Inv'!$D$12),"",N(O$1474)+1)</f>
        <v>0</v>
      </c>
    </row>
    <row r="1476" spans="1:15">
      <c r="A1476" s="2">
        <f>'[01_Entry.xlsx]Book'!A1476</f>
        <v/>
      </c>
      <c r="B1476" s="2">
        <f>'[01_Entry.xlsx]Book'!B1476</f>
        <v/>
      </c>
      <c r="C1476" s="2">
        <f>'[01_Entry.xlsx]Book'!D1476</f>
        <v/>
      </c>
      <c r="D1476" s="2">
        <f>'[01_Entry.xlsx]Book'!E1476</f>
        <v/>
      </c>
      <c r="E1476" s="2">
        <f>'[01_Entry.xlsx]Book'!O1476</f>
        <v/>
      </c>
      <c r="F1476" s="2">
        <f>'[01_Entry.xlsx]Book'!N1476</f>
        <v/>
      </c>
      <c r="G1476" s="3">
        <f>'[01_Entry.xlsx]Book'!L1476</f>
        <v/>
      </c>
      <c r="H1476" s="3">
        <f>'[01_Entry.xlsx]Book'!M1476</f>
        <v/>
      </c>
      <c r="I1476" s="3">
        <f>'[01_Entry.xlsx]Book'!K1476</f>
        <v/>
      </c>
      <c r="J1476" s="3">
        <f>'[01_Entry.xlsx]Book'!P1476</f>
        <v/>
      </c>
      <c r="K1476" s="3">
        <f>'[01_Entry.xlsx]Book'!F1476</f>
        <v/>
      </c>
      <c r="L1476" s="3">
        <f>'[01_Entry.xlsx]Book'!G1476</f>
        <v/>
      </c>
      <c r="M1476" s="3">
        <f>'[01_Entry.xlsx]Book'!I1476</f>
        <v/>
      </c>
      <c r="N1476" s="2">
        <f>IF($A1476="","",MID($A1476,6,2))</f>
        <v>0</v>
      </c>
      <c r="O1476" s="2">
        <f>IF(OR($C1476="",$C1476&lt;&gt;'Inv'!$D$12),"",N(O$1475)+1)</f>
        <v>0</v>
      </c>
    </row>
    <row r="1477" spans="1:15">
      <c r="A1477" s="2">
        <f>'[01_Entry.xlsx]Book'!A1477</f>
        <v/>
      </c>
      <c r="B1477" s="2">
        <f>'[01_Entry.xlsx]Book'!B1477</f>
        <v/>
      </c>
      <c r="C1477" s="2">
        <f>'[01_Entry.xlsx]Book'!D1477</f>
        <v/>
      </c>
      <c r="D1477" s="2">
        <f>'[01_Entry.xlsx]Book'!E1477</f>
        <v/>
      </c>
      <c r="E1477" s="2">
        <f>'[01_Entry.xlsx]Book'!O1477</f>
        <v/>
      </c>
      <c r="F1477" s="2">
        <f>'[01_Entry.xlsx]Book'!N1477</f>
        <v/>
      </c>
      <c r="G1477" s="3">
        <f>'[01_Entry.xlsx]Book'!L1477</f>
        <v/>
      </c>
      <c r="H1477" s="3">
        <f>'[01_Entry.xlsx]Book'!M1477</f>
        <v/>
      </c>
      <c r="I1477" s="3">
        <f>'[01_Entry.xlsx]Book'!K1477</f>
        <v/>
      </c>
      <c r="J1477" s="3">
        <f>'[01_Entry.xlsx]Book'!P1477</f>
        <v/>
      </c>
      <c r="K1477" s="3">
        <f>'[01_Entry.xlsx]Book'!F1477</f>
        <v/>
      </c>
      <c r="L1477" s="3">
        <f>'[01_Entry.xlsx]Book'!G1477</f>
        <v/>
      </c>
      <c r="M1477" s="3">
        <f>'[01_Entry.xlsx]Book'!I1477</f>
        <v/>
      </c>
      <c r="N1477" s="2">
        <f>IF($A1477="","",MID($A1477,6,2))</f>
        <v>0</v>
      </c>
      <c r="O1477" s="2">
        <f>IF(OR($C1477="",$C1477&lt;&gt;'Inv'!$D$12),"",N(O$1476)+1)</f>
        <v>0</v>
      </c>
    </row>
    <row r="1478" spans="1:15">
      <c r="A1478" s="2">
        <f>'[01_Entry.xlsx]Book'!A1478</f>
        <v/>
      </c>
      <c r="B1478" s="2">
        <f>'[01_Entry.xlsx]Book'!B1478</f>
        <v/>
      </c>
      <c r="C1478" s="2">
        <f>'[01_Entry.xlsx]Book'!D1478</f>
        <v/>
      </c>
      <c r="D1478" s="2">
        <f>'[01_Entry.xlsx]Book'!E1478</f>
        <v/>
      </c>
      <c r="E1478" s="2">
        <f>'[01_Entry.xlsx]Book'!O1478</f>
        <v/>
      </c>
      <c r="F1478" s="2">
        <f>'[01_Entry.xlsx]Book'!N1478</f>
        <v/>
      </c>
      <c r="G1478" s="3">
        <f>'[01_Entry.xlsx]Book'!L1478</f>
        <v/>
      </c>
      <c r="H1478" s="3">
        <f>'[01_Entry.xlsx]Book'!M1478</f>
        <v/>
      </c>
      <c r="I1478" s="3">
        <f>'[01_Entry.xlsx]Book'!K1478</f>
        <v/>
      </c>
      <c r="J1478" s="3">
        <f>'[01_Entry.xlsx]Book'!P1478</f>
        <v/>
      </c>
      <c r="K1478" s="3">
        <f>'[01_Entry.xlsx]Book'!F1478</f>
        <v/>
      </c>
      <c r="L1478" s="3">
        <f>'[01_Entry.xlsx]Book'!G1478</f>
        <v/>
      </c>
      <c r="M1478" s="3">
        <f>'[01_Entry.xlsx]Book'!I1478</f>
        <v/>
      </c>
      <c r="N1478" s="2">
        <f>IF($A1478="","",MID($A1478,6,2))</f>
        <v>0</v>
      </c>
      <c r="O1478" s="2">
        <f>IF(OR($C1478="",$C1478&lt;&gt;'Inv'!$D$12),"",N(O$1477)+1)</f>
        <v>0</v>
      </c>
    </row>
    <row r="1479" spans="1:15">
      <c r="A1479" s="2">
        <f>'[01_Entry.xlsx]Book'!A1479</f>
        <v/>
      </c>
      <c r="B1479" s="2">
        <f>'[01_Entry.xlsx]Book'!B1479</f>
        <v/>
      </c>
      <c r="C1479" s="2">
        <f>'[01_Entry.xlsx]Book'!D1479</f>
        <v/>
      </c>
      <c r="D1479" s="2">
        <f>'[01_Entry.xlsx]Book'!E1479</f>
        <v/>
      </c>
      <c r="E1479" s="2">
        <f>'[01_Entry.xlsx]Book'!O1479</f>
        <v/>
      </c>
      <c r="F1479" s="2">
        <f>'[01_Entry.xlsx]Book'!N1479</f>
        <v/>
      </c>
      <c r="G1479" s="3">
        <f>'[01_Entry.xlsx]Book'!L1479</f>
        <v/>
      </c>
      <c r="H1479" s="3">
        <f>'[01_Entry.xlsx]Book'!M1479</f>
        <v/>
      </c>
      <c r="I1479" s="3">
        <f>'[01_Entry.xlsx]Book'!K1479</f>
        <v/>
      </c>
      <c r="J1479" s="3">
        <f>'[01_Entry.xlsx]Book'!P1479</f>
        <v/>
      </c>
      <c r="K1479" s="3">
        <f>'[01_Entry.xlsx]Book'!F1479</f>
        <v/>
      </c>
      <c r="L1479" s="3">
        <f>'[01_Entry.xlsx]Book'!G1479</f>
        <v/>
      </c>
      <c r="M1479" s="3">
        <f>'[01_Entry.xlsx]Book'!I1479</f>
        <v/>
      </c>
      <c r="N1479" s="2">
        <f>IF($A1479="","",MID($A1479,6,2))</f>
        <v>0</v>
      </c>
      <c r="O1479" s="2">
        <f>IF(OR($C1479="",$C1479&lt;&gt;'Inv'!$D$12),"",N(O$1478)+1)</f>
        <v>0</v>
      </c>
    </row>
    <row r="1480" spans="1:15">
      <c r="A1480" s="2">
        <f>'[01_Entry.xlsx]Book'!A1480</f>
        <v/>
      </c>
      <c r="B1480" s="2">
        <f>'[01_Entry.xlsx]Book'!B1480</f>
        <v/>
      </c>
      <c r="C1480" s="2">
        <f>'[01_Entry.xlsx]Book'!D1480</f>
        <v/>
      </c>
      <c r="D1480" s="2">
        <f>'[01_Entry.xlsx]Book'!E1480</f>
        <v/>
      </c>
      <c r="E1480" s="2">
        <f>'[01_Entry.xlsx]Book'!O1480</f>
        <v/>
      </c>
      <c r="F1480" s="2">
        <f>'[01_Entry.xlsx]Book'!N1480</f>
        <v/>
      </c>
      <c r="G1480" s="3">
        <f>'[01_Entry.xlsx]Book'!L1480</f>
        <v/>
      </c>
      <c r="H1480" s="3">
        <f>'[01_Entry.xlsx]Book'!M1480</f>
        <v/>
      </c>
      <c r="I1480" s="3">
        <f>'[01_Entry.xlsx]Book'!K1480</f>
        <v/>
      </c>
      <c r="J1480" s="3">
        <f>'[01_Entry.xlsx]Book'!P1480</f>
        <v/>
      </c>
      <c r="K1480" s="3">
        <f>'[01_Entry.xlsx]Book'!F1480</f>
        <v/>
      </c>
      <c r="L1480" s="3">
        <f>'[01_Entry.xlsx]Book'!G1480</f>
        <v/>
      </c>
      <c r="M1480" s="3">
        <f>'[01_Entry.xlsx]Book'!I1480</f>
        <v/>
      </c>
      <c r="N1480" s="2">
        <f>IF($A1480="","",MID($A1480,6,2))</f>
        <v>0</v>
      </c>
      <c r="O1480" s="2">
        <f>IF(OR($C1480="",$C1480&lt;&gt;'Inv'!$D$12),"",N(O$1479)+1)</f>
        <v>0</v>
      </c>
    </row>
    <row r="1481" spans="1:15">
      <c r="A1481" s="2">
        <f>'[01_Entry.xlsx]Book'!A1481</f>
        <v/>
      </c>
      <c r="B1481" s="2">
        <f>'[01_Entry.xlsx]Book'!B1481</f>
        <v/>
      </c>
      <c r="C1481" s="2">
        <f>'[01_Entry.xlsx]Book'!D1481</f>
        <v/>
      </c>
      <c r="D1481" s="2">
        <f>'[01_Entry.xlsx]Book'!E1481</f>
        <v/>
      </c>
      <c r="E1481" s="2">
        <f>'[01_Entry.xlsx]Book'!O1481</f>
        <v/>
      </c>
      <c r="F1481" s="2">
        <f>'[01_Entry.xlsx]Book'!N1481</f>
        <v/>
      </c>
      <c r="G1481" s="3">
        <f>'[01_Entry.xlsx]Book'!L1481</f>
        <v/>
      </c>
      <c r="H1481" s="3">
        <f>'[01_Entry.xlsx]Book'!M1481</f>
        <v/>
      </c>
      <c r="I1481" s="3">
        <f>'[01_Entry.xlsx]Book'!K1481</f>
        <v/>
      </c>
      <c r="J1481" s="3">
        <f>'[01_Entry.xlsx]Book'!P1481</f>
        <v/>
      </c>
      <c r="K1481" s="3">
        <f>'[01_Entry.xlsx]Book'!F1481</f>
        <v/>
      </c>
      <c r="L1481" s="3">
        <f>'[01_Entry.xlsx]Book'!G1481</f>
        <v/>
      </c>
      <c r="M1481" s="3">
        <f>'[01_Entry.xlsx]Book'!I1481</f>
        <v/>
      </c>
      <c r="N1481" s="2">
        <f>IF($A1481="","",MID($A1481,6,2))</f>
        <v>0</v>
      </c>
      <c r="O1481" s="2">
        <f>IF(OR($C1481="",$C1481&lt;&gt;'Inv'!$D$12),"",N(O$1480)+1)</f>
        <v>0</v>
      </c>
    </row>
    <row r="1482" spans="1:15">
      <c r="A1482" s="2">
        <f>'[01_Entry.xlsx]Book'!A1482</f>
        <v/>
      </c>
      <c r="B1482" s="2">
        <f>'[01_Entry.xlsx]Book'!B1482</f>
        <v/>
      </c>
      <c r="C1482" s="2">
        <f>'[01_Entry.xlsx]Book'!D1482</f>
        <v/>
      </c>
      <c r="D1482" s="2">
        <f>'[01_Entry.xlsx]Book'!E1482</f>
        <v/>
      </c>
      <c r="E1482" s="2">
        <f>'[01_Entry.xlsx]Book'!O1482</f>
        <v/>
      </c>
      <c r="F1482" s="2">
        <f>'[01_Entry.xlsx]Book'!N1482</f>
        <v/>
      </c>
      <c r="G1482" s="3">
        <f>'[01_Entry.xlsx]Book'!L1482</f>
        <v/>
      </c>
      <c r="H1482" s="3">
        <f>'[01_Entry.xlsx]Book'!M1482</f>
        <v/>
      </c>
      <c r="I1482" s="3">
        <f>'[01_Entry.xlsx]Book'!K1482</f>
        <v/>
      </c>
      <c r="J1482" s="3">
        <f>'[01_Entry.xlsx]Book'!P1482</f>
        <v/>
      </c>
      <c r="K1482" s="3">
        <f>'[01_Entry.xlsx]Book'!F1482</f>
        <v/>
      </c>
      <c r="L1482" s="3">
        <f>'[01_Entry.xlsx]Book'!G1482</f>
        <v/>
      </c>
      <c r="M1482" s="3">
        <f>'[01_Entry.xlsx]Book'!I1482</f>
        <v/>
      </c>
      <c r="N1482" s="2">
        <f>IF($A1482="","",MID($A1482,6,2))</f>
        <v>0</v>
      </c>
      <c r="O1482" s="2">
        <f>IF(OR($C1482="",$C1482&lt;&gt;'Inv'!$D$12),"",N(O$1481)+1)</f>
        <v>0</v>
      </c>
    </row>
    <row r="1483" spans="1:15">
      <c r="A1483" s="2">
        <f>'[01_Entry.xlsx]Book'!A1483</f>
        <v/>
      </c>
      <c r="B1483" s="2">
        <f>'[01_Entry.xlsx]Book'!B1483</f>
        <v/>
      </c>
      <c r="C1483" s="2">
        <f>'[01_Entry.xlsx]Book'!D1483</f>
        <v/>
      </c>
      <c r="D1483" s="2">
        <f>'[01_Entry.xlsx]Book'!E1483</f>
        <v/>
      </c>
      <c r="E1483" s="2">
        <f>'[01_Entry.xlsx]Book'!O1483</f>
        <v/>
      </c>
      <c r="F1483" s="2">
        <f>'[01_Entry.xlsx]Book'!N1483</f>
        <v/>
      </c>
      <c r="G1483" s="3">
        <f>'[01_Entry.xlsx]Book'!L1483</f>
        <v/>
      </c>
      <c r="H1483" s="3">
        <f>'[01_Entry.xlsx]Book'!M1483</f>
        <v/>
      </c>
      <c r="I1483" s="3">
        <f>'[01_Entry.xlsx]Book'!K1483</f>
        <v/>
      </c>
      <c r="J1483" s="3">
        <f>'[01_Entry.xlsx]Book'!P1483</f>
        <v/>
      </c>
      <c r="K1483" s="3">
        <f>'[01_Entry.xlsx]Book'!F1483</f>
        <v/>
      </c>
      <c r="L1483" s="3">
        <f>'[01_Entry.xlsx]Book'!G1483</f>
        <v/>
      </c>
      <c r="M1483" s="3">
        <f>'[01_Entry.xlsx]Book'!I1483</f>
        <v/>
      </c>
      <c r="N1483" s="2">
        <f>IF($A1483="","",MID($A1483,6,2))</f>
        <v>0</v>
      </c>
      <c r="O1483" s="2">
        <f>IF(OR($C1483="",$C1483&lt;&gt;'Inv'!$D$12),"",N(O$1482)+1)</f>
        <v>0</v>
      </c>
    </row>
    <row r="1484" spans="1:15">
      <c r="A1484" s="2">
        <f>'[01_Entry.xlsx]Book'!A1484</f>
        <v/>
      </c>
      <c r="B1484" s="2">
        <f>'[01_Entry.xlsx]Book'!B1484</f>
        <v/>
      </c>
      <c r="C1484" s="2">
        <f>'[01_Entry.xlsx]Book'!D1484</f>
        <v/>
      </c>
      <c r="D1484" s="2">
        <f>'[01_Entry.xlsx]Book'!E1484</f>
        <v/>
      </c>
      <c r="E1484" s="2">
        <f>'[01_Entry.xlsx]Book'!O1484</f>
        <v/>
      </c>
      <c r="F1484" s="2">
        <f>'[01_Entry.xlsx]Book'!N1484</f>
        <v/>
      </c>
      <c r="G1484" s="3">
        <f>'[01_Entry.xlsx]Book'!L1484</f>
        <v/>
      </c>
      <c r="H1484" s="3">
        <f>'[01_Entry.xlsx]Book'!M1484</f>
        <v/>
      </c>
      <c r="I1484" s="3">
        <f>'[01_Entry.xlsx]Book'!K1484</f>
        <v/>
      </c>
      <c r="J1484" s="3">
        <f>'[01_Entry.xlsx]Book'!P1484</f>
        <v/>
      </c>
      <c r="K1484" s="3">
        <f>'[01_Entry.xlsx]Book'!F1484</f>
        <v/>
      </c>
      <c r="L1484" s="3">
        <f>'[01_Entry.xlsx]Book'!G1484</f>
        <v/>
      </c>
      <c r="M1484" s="3">
        <f>'[01_Entry.xlsx]Book'!I1484</f>
        <v/>
      </c>
      <c r="N1484" s="2">
        <f>IF($A1484="","",MID($A1484,6,2))</f>
        <v>0</v>
      </c>
      <c r="O1484" s="2">
        <f>IF(OR($C1484="",$C1484&lt;&gt;'Inv'!$D$12),"",N(O$1483)+1)</f>
        <v>0</v>
      </c>
    </row>
    <row r="1485" spans="1:15">
      <c r="A1485" s="2">
        <f>'[01_Entry.xlsx]Book'!A1485</f>
        <v/>
      </c>
      <c r="B1485" s="2">
        <f>'[01_Entry.xlsx]Book'!B1485</f>
        <v/>
      </c>
      <c r="C1485" s="2">
        <f>'[01_Entry.xlsx]Book'!D1485</f>
        <v/>
      </c>
      <c r="D1485" s="2">
        <f>'[01_Entry.xlsx]Book'!E1485</f>
        <v/>
      </c>
      <c r="E1485" s="2">
        <f>'[01_Entry.xlsx]Book'!O1485</f>
        <v/>
      </c>
      <c r="F1485" s="2">
        <f>'[01_Entry.xlsx]Book'!N1485</f>
        <v/>
      </c>
      <c r="G1485" s="3">
        <f>'[01_Entry.xlsx]Book'!L1485</f>
        <v/>
      </c>
      <c r="H1485" s="3">
        <f>'[01_Entry.xlsx]Book'!M1485</f>
        <v/>
      </c>
      <c r="I1485" s="3">
        <f>'[01_Entry.xlsx]Book'!K1485</f>
        <v/>
      </c>
      <c r="J1485" s="3">
        <f>'[01_Entry.xlsx]Book'!P1485</f>
        <v/>
      </c>
      <c r="K1485" s="3">
        <f>'[01_Entry.xlsx]Book'!F1485</f>
        <v/>
      </c>
      <c r="L1485" s="3">
        <f>'[01_Entry.xlsx]Book'!G1485</f>
        <v/>
      </c>
      <c r="M1485" s="3">
        <f>'[01_Entry.xlsx]Book'!I1485</f>
        <v/>
      </c>
      <c r="N1485" s="2">
        <f>IF($A1485="","",MID($A1485,6,2))</f>
        <v>0</v>
      </c>
      <c r="O1485" s="2">
        <f>IF(OR($C1485="",$C1485&lt;&gt;'Inv'!$D$12),"",N(O$1484)+1)</f>
        <v>0</v>
      </c>
    </row>
    <row r="1486" spans="1:15">
      <c r="A1486" s="2">
        <f>'[01_Entry.xlsx]Book'!A1486</f>
        <v/>
      </c>
      <c r="B1486" s="2">
        <f>'[01_Entry.xlsx]Book'!B1486</f>
        <v/>
      </c>
      <c r="C1486" s="2">
        <f>'[01_Entry.xlsx]Book'!D1486</f>
        <v/>
      </c>
      <c r="D1486" s="2">
        <f>'[01_Entry.xlsx]Book'!E1486</f>
        <v/>
      </c>
      <c r="E1486" s="2">
        <f>'[01_Entry.xlsx]Book'!O1486</f>
        <v/>
      </c>
      <c r="F1486" s="2">
        <f>'[01_Entry.xlsx]Book'!N1486</f>
        <v/>
      </c>
      <c r="G1486" s="3">
        <f>'[01_Entry.xlsx]Book'!L1486</f>
        <v/>
      </c>
      <c r="H1486" s="3">
        <f>'[01_Entry.xlsx]Book'!M1486</f>
        <v/>
      </c>
      <c r="I1486" s="3">
        <f>'[01_Entry.xlsx]Book'!K1486</f>
        <v/>
      </c>
      <c r="J1486" s="3">
        <f>'[01_Entry.xlsx]Book'!P1486</f>
        <v/>
      </c>
      <c r="K1486" s="3">
        <f>'[01_Entry.xlsx]Book'!F1486</f>
        <v/>
      </c>
      <c r="L1486" s="3">
        <f>'[01_Entry.xlsx]Book'!G1486</f>
        <v/>
      </c>
      <c r="M1486" s="3">
        <f>'[01_Entry.xlsx]Book'!I1486</f>
        <v/>
      </c>
      <c r="N1486" s="2">
        <f>IF($A1486="","",MID($A1486,6,2))</f>
        <v>0</v>
      </c>
      <c r="O1486" s="2">
        <f>IF(OR($C1486="",$C1486&lt;&gt;'Inv'!$D$12),"",N(O$1485)+1)</f>
        <v>0</v>
      </c>
    </row>
    <row r="1487" spans="1:15">
      <c r="A1487" s="2">
        <f>'[01_Entry.xlsx]Book'!A1487</f>
        <v/>
      </c>
      <c r="B1487" s="2">
        <f>'[01_Entry.xlsx]Book'!B1487</f>
        <v/>
      </c>
      <c r="C1487" s="2">
        <f>'[01_Entry.xlsx]Book'!D1487</f>
        <v/>
      </c>
      <c r="D1487" s="2">
        <f>'[01_Entry.xlsx]Book'!E1487</f>
        <v/>
      </c>
      <c r="E1487" s="2">
        <f>'[01_Entry.xlsx]Book'!O1487</f>
        <v/>
      </c>
      <c r="F1487" s="2">
        <f>'[01_Entry.xlsx]Book'!N1487</f>
        <v/>
      </c>
      <c r="G1487" s="3">
        <f>'[01_Entry.xlsx]Book'!L1487</f>
        <v/>
      </c>
      <c r="H1487" s="3">
        <f>'[01_Entry.xlsx]Book'!M1487</f>
        <v/>
      </c>
      <c r="I1487" s="3">
        <f>'[01_Entry.xlsx]Book'!K1487</f>
        <v/>
      </c>
      <c r="J1487" s="3">
        <f>'[01_Entry.xlsx]Book'!P1487</f>
        <v/>
      </c>
      <c r="K1487" s="3">
        <f>'[01_Entry.xlsx]Book'!F1487</f>
        <v/>
      </c>
      <c r="L1487" s="3">
        <f>'[01_Entry.xlsx]Book'!G1487</f>
        <v/>
      </c>
      <c r="M1487" s="3">
        <f>'[01_Entry.xlsx]Book'!I1487</f>
        <v/>
      </c>
      <c r="N1487" s="2">
        <f>IF($A1487="","",MID($A1487,6,2))</f>
        <v>0</v>
      </c>
      <c r="O1487" s="2">
        <f>IF(OR($C1487="",$C1487&lt;&gt;'Inv'!$D$12),"",N(O$1486)+1)</f>
        <v>0</v>
      </c>
    </row>
    <row r="1488" spans="1:15">
      <c r="A1488" s="2">
        <f>'[01_Entry.xlsx]Book'!A1488</f>
        <v/>
      </c>
      <c r="B1488" s="2">
        <f>'[01_Entry.xlsx]Book'!B1488</f>
        <v/>
      </c>
      <c r="C1488" s="2">
        <f>'[01_Entry.xlsx]Book'!D1488</f>
        <v/>
      </c>
      <c r="D1488" s="2">
        <f>'[01_Entry.xlsx]Book'!E1488</f>
        <v/>
      </c>
      <c r="E1488" s="2">
        <f>'[01_Entry.xlsx]Book'!O1488</f>
        <v/>
      </c>
      <c r="F1488" s="2">
        <f>'[01_Entry.xlsx]Book'!N1488</f>
        <v/>
      </c>
      <c r="G1488" s="3">
        <f>'[01_Entry.xlsx]Book'!L1488</f>
        <v/>
      </c>
      <c r="H1488" s="3">
        <f>'[01_Entry.xlsx]Book'!M1488</f>
        <v/>
      </c>
      <c r="I1488" s="3">
        <f>'[01_Entry.xlsx]Book'!K1488</f>
        <v/>
      </c>
      <c r="J1488" s="3">
        <f>'[01_Entry.xlsx]Book'!P1488</f>
        <v/>
      </c>
      <c r="K1488" s="3">
        <f>'[01_Entry.xlsx]Book'!F1488</f>
        <v/>
      </c>
      <c r="L1488" s="3">
        <f>'[01_Entry.xlsx]Book'!G1488</f>
        <v/>
      </c>
      <c r="M1488" s="3">
        <f>'[01_Entry.xlsx]Book'!I1488</f>
        <v/>
      </c>
      <c r="N1488" s="2">
        <f>IF($A1488="","",MID($A1488,6,2))</f>
        <v>0</v>
      </c>
      <c r="O1488" s="2">
        <f>IF(OR($C1488="",$C1488&lt;&gt;'Inv'!$D$12),"",N(O$1487)+1)</f>
        <v>0</v>
      </c>
    </row>
    <row r="1489" spans="1:15">
      <c r="A1489" s="2">
        <f>'[01_Entry.xlsx]Book'!A1489</f>
        <v/>
      </c>
      <c r="B1489" s="2">
        <f>'[01_Entry.xlsx]Book'!B1489</f>
        <v/>
      </c>
      <c r="C1489" s="2">
        <f>'[01_Entry.xlsx]Book'!D1489</f>
        <v/>
      </c>
      <c r="D1489" s="2">
        <f>'[01_Entry.xlsx]Book'!E1489</f>
        <v/>
      </c>
      <c r="E1489" s="2">
        <f>'[01_Entry.xlsx]Book'!O1489</f>
        <v/>
      </c>
      <c r="F1489" s="2">
        <f>'[01_Entry.xlsx]Book'!N1489</f>
        <v/>
      </c>
      <c r="G1489" s="3">
        <f>'[01_Entry.xlsx]Book'!L1489</f>
        <v/>
      </c>
      <c r="H1489" s="3">
        <f>'[01_Entry.xlsx]Book'!M1489</f>
        <v/>
      </c>
      <c r="I1489" s="3">
        <f>'[01_Entry.xlsx]Book'!K1489</f>
        <v/>
      </c>
      <c r="J1489" s="3">
        <f>'[01_Entry.xlsx]Book'!P1489</f>
        <v/>
      </c>
      <c r="K1489" s="3">
        <f>'[01_Entry.xlsx]Book'!F1489</f>
        <v/>
      </c>
      <c r="L1489" s="3">
        <f>'[01_Entry.xlsx]Book'!G1489</f>
        <v/>
      </c>
      <c r="M1489" s="3">
        <f>'[01_Entry.xlsx]Book'!I1489</f>
        <v/>
      </c>
      <c r="N1489" s="2">
        <f>IF($A1489="","",MID($A1489,6,2))</f>
        <v>0</v>
      </c>
      <c r="O1489" s="2">
        <f>IF(OR($C1489="",$C1489&lt;&gt;'Inv'!$D$12),"",N(O$1488)+1)</f>
        <v>0</v>
      </c>
    </row>
    <row r="1490" spans="1:15">
      <c r="A1490" s="2">
        <f>'[01_Entry.xlsx]Book'!A1490</f>
        <v/>
      </c>
      <c r="B1490" s="2">
        <f>'[01_Entry.xlsx]Book'!B1490</f>
        <v/>
      </c>
      <c r="C1490" s="2">
        <f>'[01_Entry.xlsx]Book'!D1490</f>
        <v/>
      </c>
      <c r="D1490" s="2">
        <f>'[01_Entry.xlsx]Book'!E1490</f>
        <v/>
      </c>
      <c r="E1490" s="2">
        <f>'[01_Entry.xlsx]Book'!O1490</f>
        <v/>
      </c>
      <c r="F1490" s="2">
        <f>'[01_Entry.xlsx]Book'!N1490</f>
        <v/>
      </c>
      <c r="G1490" s="3">
        <f>'[01_Entry.xlsx]Book'!L1490</f>
        <v/>
      </c>
      <c r="H1490" s="3">
        <f>'[01_Entry.xlsx]Book'!M1490</f>
        <v/>
      </c>
      <c r="I1490" s="3">
        <f>'[01_Entry.xlsx]Book'!K1490</f>
        <v/>
      </c>
      <c r="J1490" s="3">
        <f>'[01_Entry.xlsx]Book'!P1490</f>
        <v/>
      </c>
      <c r="K1490" s="3">
        <f>'[01_Entry.xlsx]Book'!F1490</f>
        <v/>
      </c>
      <c r="L1490" s="3">
        <f>'[01_Entry.xlsx]Book'!G1490</f>
        <v/>
      </c>
      <c r="M1490" s="3">
        <f>'[01_Entry.xlsx]Book'!I1490</f>
        <v/>
      </c>
      <c r="N1490" s="2">
        <f>IF($A1490="","",MID($A1490,6,2))</f>
        <v>0</v>
      </c>
      <c r="O1490" s="2">
        <f>IF(OR($C1490="",$C1490&lt;&gt;'Inv'!$D$12),"",N(O$1489)+1)</f>
        <v>0</v>
      </c>
    </row>
    <row r="1491" spans="1:15">
      <c r="A1491" s="2">
        <f>'[01_Entry.xlsx]Book'!A1491</f>
        <v/>
      </c>
      <c r="B1491" s="2">
        <f>'[01_Entry.xlsx]Book'!B1491</f>
        <v/>
      </c>
      <c r="C1491" s="2">
        <f>'[01_Entry.xlsx]Book'!D1491</f>
        <v/>
      </c>
      <c r="D1491" s="2">
        <f>'[01_Entry.xlsx]Book'!E1491</f>
        <v/>
      </c>
      <c r="E1491" s="2">
        <f>'[01_Entry.xlsx]Book'!O1491</f>
        <v/>
      </c>
      <c r="F1491" s="2">
        <f>'[01_Entry.xlsx]Book'!N1491</f>
        <v/>
      </c>
      <c r="G1491" s="3">
        <f>'[01_Entry.xlsx]Book'!L1491</f>
        <v/>
      </c>
      <c r="H1491" s="3">
        <f>'[01_Entry.xlsx]Book'!M1491</f>
        <v/>
      </c>
      <c r="I1491" s="3">
        <f>'[01_Entry.xlsx]Book'!K1491</f>
        <v/>
      </c>
      <c r="J1491" s="3">
        <f>'[01_Entry.xlsx]Book'!P1491</f>
        <v/>
      </c>
      <c r="K1491" s="3">
        <f>'[01_Entry.xlsx]Book'!F1491</f>
        <v/>
      </c>
      <c r="L1491" s="3">
        <f>'[01_Entry.xlsx]Book'!G1491</f>
        <v/>
      </c>
      <c r="M1491" s="3">
        <f>'[01_Entry.xlsx]Book'!I1491</f>
        <v/>
      </c>
      <c r="N1491" s="2">
        <f>IF($A1491="","",MID($A1491,6,2))</f>
        <v>0</v>
      </c>
      <c r="O1491" s="2">
        <f>IF(OR($C1491="",$C1491&lt;&gt;'Inv'!$D$12),"",N(O$1490)+1)</f>
        <v>0</v>
      </c>
    </row>
    <row r="1492" spans="1:15">
      <c r="A1492" s="2">
        <f>'[01_Entry.xlsx]Book'!A1492</f>
        <v/>
      </c>
      <c r="B1492" s="2">
        <f>'[01_Entry.xlsx]Book'!B1492</f>
        <v/>
      </c>
      <c r="C1492" s="2">
        <f>'[01_Entry.xlsx]Book'!D1492</f>
        <v/>
      </c>
      <c r="D1492" s="2">
        <f>'[01_Entry.xlsx]Book'!E1492</f>
        <v/>
      </c>
      <c r="E1492" s="2">
        <f>'[01_Entry.xlsx]Book'!O1492</f>
        <v/>
      </c>
      <c r="F1492" s="2">
        <f>'[01_Entry.xlsx]Book'!N1492</f>
        <v/>
      </c>
      <c r="G1492" s="3">
        <f>'[01_Entry.xlsx]Book'!L1492</f>
        <v/>
      </c>
      <c r="H1492" s="3">
        <f>'[01_Entry.xlsx]Book'!M1492</f>
        <v/>
      </c>
      <c r="I1492" s="3">
        <f>'[01_Entry.xlsx]Book'!K1492</f>
        <v/>
      </c>
      <c r="J1492" s="3">
        <f>'[01_Entry.xlsx]Book'!P1492</f>
        <v/>
      </c>
      <c r="K1492" s="3">
        <f>'[01_Entry.xlsx]Book'!F1492</f>
        <v/>
      </c>
      <c r="L1492" s="3">
        <f>'[01_Entry.xlsx]Book'!G1492</f>
        <v/>
      </c>
      <c r="M1492" s="3">
        <f>'[01_Entry.xlsx]Book'!I1492</f>
        <v/>
      </c>
      <c r="N1492" s="2">
        <f>IF($A1492="","",MID($A1492,6,2))</f>
        <v>0</v>
      </c>
      <c r="O1492" s="2">
        <f>IF(OR($C1492="",$C1492&lt;&gt;'Inv'!$D$12),"",N(O$1491)+1)</f>
        <v>0</v>
      </c>
    </row>
    <row r="1493" spans="1:15">
      <c r="A1493" s="2">
        <f>'[01_Entry.xlsx]Book'!A1493</f>
        <v/>
      </c>
      <c r="B1493" s="2">
        <f>'[01_Entry.xlsx]Book'!B1493</f>
        <v/>
      </c>
      <c r="C1493" s="2">
        <f>'[01_Entry.xlsx]Book'!D1493</f>
        <v/>
      </c>
      <c r="D1493" s="2">
        <f>'[01_Entry.xlsx]Book'!E1493</f>
        <v/>
      </c>
      <c r="E1493" s="2">
        <f>'[01_Entry.xlsx]Book'!O1493</f>
        <v/>
      </c>
      <c r="F1493" s="2">
        <f>'[01_Entry.xlsx]Book'!N1493</f>
        <v/>
      </c>
      <c r="G1493" s="3">
        <f>'[01_Entry.xlsx]Book'!L1493</f>
        <v/>
      </c>
      <c r="H1493" s="3">
        <f>'[01_Entry.xlsx]Book'!M1493</f>
        <v/>
      </c>
      <c r="I1493" s="3">
        <f>'[01_Entry.xlsx]Book'!K1493</f>
        <v/>
      </c>
      <c r="J1493" s="3">
        <f>'[01_Entry.xlsx]Book'!P1493</f>
        <v/>
      </c>
      <c r="K1493" s="3">
        <f>'[01_Entry.xlsx]Book'!F1493</f>
        <v/>
      </c>
      <c r="L1493" s="3">
        <f>'[01_Entry.xlsx]Book'!G1493</f>
        <v/>
      </c>
      <c r="M1493" s="3">
        <f>'[01_Entry.xlsx]Book'!I1493</f>
        <v/>
      </c>
      <c r="N1493" s="2">
        <f>IF($A1493="","",MID($A1493,6,2))</f>
        <v>0</v>
      </c>
      <c r="O1493" s="2">
        <f>IF(OR($C1493="",$C1493&lt;&gt;'Inv'!$D$12),"",N(O$1492)+1)</f>
        <v>0</v>
      </c>
    </row>
    <row r="1494" spans="1:15">
      <c r="A1494" s="2">
        <f>'[01_Entry.xlsx]Book'!A1494</f>
        <v/>
      </c>
      <c r="B1494" s="2">
        <f>'[01_Entry.xlsx]Book'!B1494</f>
        <v/>
      </c>
      <c r="C1494" s="2">
        <f>'[01_Entry.xlsx]Book'!D1494</f>
        <v/>
      </c>
      <c r="D1494" s="2">
        <f>'[01_Entry.xlsx]Book'!E1494</f>
        <v/>
      </c>
      <c r="E1494" s="2">
        <f>'[01_Entry.xlsx]Book'!O1494</f>
        <v/>
      </c>
      <c r="F1494" s="2">
        <f>'[01_Entry.xlsx]Book'!N1494</f>
        <v/>
      </c>
      <c r="G1494" s="3">
        <f>'[01_Entry.xlsx]Book'!L1494</f>
        <v/>
      </c>
      <c r="H1494" s="3">
        <f>'[01_Entry.xlsx]Book'!M1494</f>
        <v/>
      </c>
      <c r="I1494" s="3">
        <f>'[01_Entry.xlsx]Book'!K1494</f>
        <v/>
      </c>
      <c r="J1494" s="3">
        <f>'[01_Entry.xlsx]Book'!P1494</f>
        <v/>
      </c>
      <c r="K1494" s="3">
        <f>'[01_Entry.xlsx]Book'!F1494</f>
        <v/>
      </c>
      <c r="L1494" s="3">
        <f>'[01_Entry.xlsx]Book'!G1494</f>
        <v/>
      </c>
      <c r="M1494" s="3">
        <f>'[01_Entry.xlsx]Book'!I1494</f>
        <v/>
      </c>
      <c r="N1494" s="2">
        <f>IF($A1494="","",MID($A1494,6,2))</f>
        <v>0</v>
      </c>
      <c r="O1494" s="2">
        <f>IF(OR($C1494="",$C1494&lt;&gt;'Inv'!$D$12),"",N(O$1493)+1)</f>
        <v>0</v>
      </c>
    </row>
    <row r="1495" spans="1:15">
      <c r="A1495" s="2">
        <f>'[01_Entry.xlsx]Book'!A1495</f>
        <v/>
      </c>
      <c r="B1495" s="2">
        <f>'[01_Entry.xlsx]Book'!B1495</f>
        <v/>
      </c>
      <c r="C1495" s="2">
        <f>'[01_Entry.xlsx]Book'!D1495</f>
        <v/>
      </c>
      <c r="D1495" s="2">
        <f>'[01_Entry.xlsx]Book'!E1495</f>
        <v/>
      </c>
      <c r="E1495" s="2">
        <f>'[01_Entry.xlsx]Book'!O1495</f>
        <v/>
      </c>
      <c r="F1495" s="2">
        <f>'[01_Entry.xlsx]Book'!N1495</f>
        <v/>
      </c>
      <c r="G1495" s="3">
        <f>'[01_Entry.xlsx]Book'!L1495</f>
        <v/>
      </c>
      <c r="H1495" s="3">
        <f>'[01_Entry.xlsx]Book'!M1495</f>
        <v/>
      </c>
      <c r="I1495" s="3">
        <f>'[01_Entry.xlsx]Book'!K1495</f>
        <v/>
      </c>
      <c r="J1495" s="3">
        <f>'[01_Entry.xlsx]Book'!P1495</f>
        <v/>
      </c>
      <c r="K1495" s="3">
        <f>'[01_Entry.xlsx]Book'!F1495</f>
        <v/>
      </c>
      <c r="L1495" s="3">
        <f>'[01_Entry.xlsx]Book'!G1495</f>
        <v/>
      </c>
      <c r="M1495" s="3">
        <f>'[01_Entry.xlsx]Book'!I1495</f>
        <v/>
      </c>
      <c r="N1495" s="2">
        <f>IF($A1495="","",MID($A1495,6,2))</f>
        <v>0</v>
      </c>
      <c r="O1495" s="2">
        <f>IF(OR($C1495="",$C1495&lt;&gt;'Inv'!$D$12),"",N(O$1494)+1)</f>
        <v>0</v>
      </c>
    </row>
    <row r="1496" spans="1:15">
      <c r="A1496" s="2">
        <f>'[01_Entry.xlsx]Book'!A1496</f>
        <v/>
      </c>
      <c r="B1496" s="2">
        <f>'[01_Entry.xlsx]Book'!B1496</f>
        <v/>
      </c>
      <c r="C1496" s="2">
        <f>'[01_Entry.xlsx]Book'!D1496</f>
        <v/>
      </c>
      <c r="D1496" s="2">
        <f>'[01_Entry.xlsx]Book'!E1496</f>
        <v/>
      </c>
      <c r="E1496" s="2">
        <f>'[01_Entry.xlsx]Book'!O1496</f>
        <v/>
      </c>
      <c r="F1496" s="2">
        <f>'[01_Entry.xlsx]Book'!N1496</f>
        <v/>
      </c>
      <c r="G1496" s="3">
        <f>'[01_Entry.xlsx]Book'!L1496</f>
        <v/>
      </c>
      <c r="H1496" s="3">
        <f>'[01_Entry.xlsx]Book'!M1496</f>
        <v/>
      </c>
      <c r="I1496" s="3">
        <f>'[01_Entry.xlsx]Book'!K1496</f>
        <v/>
      </c>
      <c r="J1496" s="3">
        <f>'[01_Entry.xlsx]Book'!P1496</f>
        <v/>
      </c>
      <c r="K1496" s="3">
        <f>'[01_Entry.xlsx]Book'!F1496</f>
        <v/>
      </c>
      <c r="L1496" s="3">
        <f>'[01_Entry.xlsx]Book'!G1496</f>
        <v/>
      </c>
      <c r="M1496" s="3">
        <f>'[01_Entry.xlsx]Book'!I1496</f>
        <v/>
      </c>
      <c r="N1496" s="2">
        <f>IF($A1496="","",MID($A1496,6,2))</f>
        <v>0</v>
      </c>
      <c r="O1496" s="2">
        <f>IF(OR($C1496="",$C1496&lt;&gt;'Inv'!$D$12),"",N(O$1495)+1)</f>
        <v>0</v>
      </c>
    </row>
    <row r="1497" spans="1:15">
      <c r="A1497" s="2">
        <f>'[01_Entry.xlsx]Book'!A1497</f>
        <v/>
      </c>
      <c r="B1497" s="2">
        <f>'[01_Entry.xlsx]Book'!B1497</f>
        <v/>
      </c>
      <c r="C1497" s="2">
        <f>'[01_Entry.xlsx]Book'!D1497</f>
        <v/>
      </c>
      <c r="D1497" s="2">
        <f>'[01_Entry.xlsx]Book'!E1497</f>
        <v/>
      </c>
      <c r="E1497" s="2">
        <f>'[01_Entry.xlsx]Book'!O1497</f>
        <v/>
      </c>
      <c r="F1497" s="2">
        <f>'[01_Entry.xlsx]Book'!N1497</f>
        <v/>
      </c>
      <c r="G1497" s="3">
        <f>'[01_Entry.xlsx]Book'!L1497</f>
        <v/>
      </c>
      <c r="H1497" s="3">
        <f>'[01_Entry.xlsx]Book'!M1497</f>
        <v/>
      </c>
      <c r="I1497" s="3">
        <f>'[01_Entry.xlsx]Book'!K1497</f>
        <v/>
      </c>
      <c r="J1497" s="3">
        <f>'[01_Entry.xlsx]Book'!P1497</f>
        <v/>
      </c>
      <c r="K1497" s="3">
        <f>'[01_Entry.xlsx]Book'!F1497</f>
        <v/>
      </c>
      <c r="L1497" s="3">
        <f>'[01_Entry.xlsx]Book'!G1497</f>
        <v/>
      </c>
      <c r="M1497" s="3">
        <f>'[01_Entry.xlsx]Book'!I1497</f>
        <v/>
      </c>
      <c r="N1497" s="2">
        <f>IF($A1497="","",MID($A1497,6,2))</f>
        <v>0</v>
      </c>
      <c r="O1497" s="2">
        <f>IF(OR($C1497="",$C1497&lt;&gt;'Inv'!$D$12),"",N(O$1496)+1)</f>
        <v>0</v>
      </c>
    </row>
    <row r="1498" spans="1:15">
      <c r="A1498" s="2">
        <f>'[01_Entry.xlsx]Book'!A1498</f>
        <v/>
      </c>
      <c r="B1498" s="2">
        <f>'[01_Entry.xlsx]Book'!B1498</f>
        <v/>
      </c>
      <c r="C1498" s="2">
        <f>'[01_Entry.xlsx]Book'!D1498</f>
        <v/>
      </c>
      <c r="D1498" s="2">
        <f>'[01_Entry.xlsx]Book'!E1498</f>
        <v/>
      </c>
      <c r="E1498" s="2">
        <f>'[01_Entry.xlsx]Book'!O1498</f>
        <v/>
      </c>
      <c r="F1498" s="2">
        <f>'[01_Entry.xlsx]Book'!N1498</f>
        <v/>
      </c>
      <c r="G1498" s="3">
        <f>'[01_Entry.xlsx]Book'!L1498</f>
        <v/>
      </c>
      <c r="H1498" s="3">
        <f>'[01_Entry.xlsx]Book'!M1498</f>
        <v/>
      </c>
      <c r="I1498" s="3">
        <f>'[01_Entry.xlsx]Book'!K1498</f>
        <v/>
      </c>
      <c r="J1498" s="3">
        <f>'[01_Entry.xlsx]Book'!P1498</f>
        <v/>
      </c>
      <c r="K1498" s="3">
        <f>'[01_Entry.xlsx]Book'!F1498</f>
        <v/>
      </c>
      <c r="L1498" s="3">
        <f>'[01_Entry.xlsx]Book'!G1498</f>
        <v/>
      </c>
      <c r="M1498" s="3">
        <f>'[01_Entry.xlsx]Book'!I1498</f>
        <v/>
      </c>
      <c r="N1498" s="2">
        <f>IF($A1498="","",MID($A1498,6,2))</f>
        <v>0</v>
      </c>
      <c r="O1498" s="2">
        <f>IF(OR($C1498="",$C1498&lt;&gt;'Inv'!$D$12),"",N(O$1497)+1)</f>
        <v>0</v>
      </c>
    </row>
    <row r="1499" spans="1:15">
      <c r="A1499" s="2">
        <f>'[01_Entry.xlsx]Book'!A1499</f>
        <v/>
      </c>
      <c r="B1499" s="2">
        <f>'[01_Entry.xlsx]Book'!B1499</f>
        <v/>
      </c>
      <c r="C1499" s="2">
        <f>'[01_Entry.xlsx]Book'!D1499</f>
        <v/>
      </c>
      <c r="D1499" s="2">
        <f>'[01_Entry.xlsx]Book'!E1499</f>
        <v/>
      </c>
      <c r="E1499" s="2">
        <f>'[01_Entry.xlsx]Book'!O1499</f>
        <v/>
      </c>
      <c r="F1499" s="2">
        <f>'[01_Entry.xlsx]Book'!N1499</f>
        <v/>
      </c>
      <c r="G1499" s="3">
        <f>'[01_Entry.xlsx]Book'!L1499</f>
        <v/>
      </c>
      <c r="H1499" s="3">
        <f>'[01_Entry.xlsx]Book'!M1499</f>
        <v/>
      </c>
      <c r="I1499" s="3">
        <f>'[01_Entry.xlsx]Book'!K1499</f>
        <v/>
      </c>
      <c r="J1499" s="3">
        <f>'[01_Entry.xlsx]Book'!P1499</f>
        <v/>
      </c>
      <c r="K1499" s="3">
        <f>'[01_Entry.xlsx]Book'!F1499</f>
        <v/>
      </c>
      <c r="L1499" s="3">
        <f>'[01_Entry.xlsx]Book'!G1499</f>
        <v/>
      </c>
      <c r="M1499" s="3">
        <f>'[01_Entry.xlsx]Book'!I1499</f>
        <v/>
      </c>
      <c r="N1499" s="2">
        <f>IF($A1499="","",MID($A1499,6,2))</f>
        <v>0</v>
      </c>
      <c r="O1499" s="2">
        <f>IF(OR($C1499="",$C1499&lt;&gt;'Inv'!$D$12),"",N(O$1498)+1)</f>
        <v>0</v>
      </c>
    </row>
    <row r="1500" spans="1:15">
      <c r="A1500" s="2">
        <f>'[01_Entry.xlsx]Book'!A1500</f>
        <v/>
      </c>
      <c r="B1500" s="2">
        <f>'[01_Entry.xlsx]Book'!B1500</f>
        <v/>
      </c>
      <c r="C1500" s="2">
        <f>'[01_Entry.xlsx]Book'!D1500</f>
        <v/>
      </c>
      <c r="D1500" s="2">
        <f>'[01_Entry.xlsx]Book'!E1500</f>
        <v/>
      </c>
      <c r="E1500" s="2">
        <f>'[01_Entry.xlsx]Book'!O1500</f>
        <v/>
      </c>
      <c r="F1500" s="2">
        <f>'[01_Entry.xlsx]Book'!N1500</f>
        <v/>
      </c>
      <c r="G1500" s="3">
        <f>'[01_Entry.xlsx]Book'!L1500</f>
        <v/>
      </c>
      <c r="H1500" s="3">
        <f>'[01_Entry.xlsx]Book'!M1500</f>
        <v/>
      </c>
      <c r="I1500" s="3">
        <f>'[01_Entry.xlsx]Book'!K1500</f>
        <v/>
      </c>
      <c r="J1500" s="3">
        <f>'[01_Entry.xlsx]Book'!P1500</f>
        <v/>
      </c>
      <c r="K1500" s="3">
        <f>'[01_Entry.xlsx]Book'!F1500</f>
        <v/>
      </c>
      <c r="L1500" s="3">
        <f>'[01_Entry.xlsx]Book'!G1500</f>
        <v/>
      </c>
      <c r="M1500" s="3">
        <f>'[01_Entry.xlsx]Book'!I1500</f>
        <v/>
      </c>
      <c r="N1500" s="2">
        <f>IF($A1500="","",MID($A1500,6,2))</f>
        <v>0</v>
      </c>
      <c r="O1500" s="2">
        <f>IF(OR($C1500="",$C1500&lt;&gt;'Inv'!$D$12),"",N(O$1499)+1)</f>
        <v>0</v>
      </c>
    </row>
    <row r="1501" spans="1:15">
      <c r="A1501" s="2">
        <f>'[01_Entry.xlsx]Book'!A1501</f>
        <v/>
      </c>
      <c r="B1501" s="2">
        <f>'[01_Entry.xlsx]Book'!B1501</f>
        <v/>
      </c>
      <c r="C1501" s="2">
        <f>'[01_Entry.xlsx]Book'!D1501</f>
        <v/>
      </c>
      <c r="D1501" s="2">
        <f>'[01_Entry.xlsx]Book'!E1501</f>
        <v/>
      </c>
      <c r="E1501" s="2">
        <f>'[01_Entry.xlsx]Book'!O1501</f>
        <v/>
      </c>
      <c r="F1501" s="2">
        <f>'[01_Entry.xlsx]Book'!N1501</f>
        <v/>
      </c>
      <c r="G1501" s="3">
        <f>'[01_Entry.xlsx]Book'!L1501</f>
        <v/>
      </c>
      <c r="H1501" s="3">
        <f>'[01_Entry.xlsx]Book'!M1501</f>
        <v/>
      </c>
      <c r="I1501" s="3">
        <f>'[01_Entry.xlsx]Book'!K1501</f>
        <v/>
      </c>
      <c r="J1501" s="3">
        <f>'[01_Entry.xlsx]Book'!P1501</f>
        <v/>
      </c>
      <c r="K1501" s="3">
        <f>'[01_Entry.xlsx]Book'!F1501</f>
        <v/>
      </c>
      <c r="L1501" s="3">
        <f>'[01_Entry.xlsx]Book'!G1501</f>
        <v/>
      </c>
      <c r="M1501" s="3">
        <f>'[01_Entry.xlsx]Book'!I1501</f>
        <v/>
      </c>
      <c r="N1501" s="2">
        <f>IF($A1501="","",MID($A1501,6,2))</f>
        <v>0</v>
      </c>
      <c r="O1501" s="2">
        <f>IF(OR($C1501="",$C1501&lt;&gt;'Inv'!$D$12),"",N(O$1500)+1)</f>
        <v>0</v>
      </c>
    </row>
    <row r="1502" spans="1:15">
      <c r="A1502" s="2">
        <f>'[01_Entry.xlsx]Book'!A1502</f>
        <v/>
      </c>
      <c r="B1502" s="2">
        <f>'[01_Entry.xlsx]Book'!B1502</f>
        <v/>
      </c>
      <c r="C1502" s="2">
        <f>'[01_Entry.xlsx]Book'!D1502</f>
        <v/>
      </c>
      <c r="D1502" s="2">
        <f>'[01_Entry.xlsx]Book'!E1502</f>
        <v/>
      </c>
      <c r="E1502" s="2">
        <f>'[01_Entry.xlsx]Book'!O1502</f>
        <v/>
      </c>
      <c r="F1502" s="2">
        <f>'[01_Entry.xlsx]Book'!N1502</f>
        <v/>
      </c>
      <c r="G1502" s="3">
        <f>'[01_Entry.xlsx]Book'!L1502</f>
        <v/>
      </c>
      <c r="H1502" s="3">
        <f>'[01_Entry.xlsx]Book'!M1502</f>
        <v/>
      </c>
      <c r="I1502" s="3">
        <f>'[01_Entry.xlsx]Book'!K1502</f>
        <v/>
      </c>
      <c r="J1502" s="3">
        <f>'[01_Entry.xlsx]Book'!P1502</f>
        <v/>
      </c>
      <c r="K1502" s="3">
        <f>'[01_Entry.xlsx]Book'!F1502</f>
        <v/>
      </c>
      <c r="L1502" s="3">
        <f>'[01_Entry.xlsx]Book'!G1502</f>
        <v/>
      </c>
      <c r="M1502" s="3">
        <f>'[01_Entry.xlsx]Book'!I1502</f>
        <v/>
      </c>
      <c r="N1502" s="2">
        <f>IF($A1502="","",MID($A1502,6,2))</f>
        <v>0</v>
      </c>
      <c r="O1502" s="2">
        <f>IF(OR($C1502="",$C1502&lt;&gt;'Inv'!$D$12),"",N(O$1501)+1)</f>
        <v>0</v>
      </c>
    </row>
    <row r="1503" spans="1:15">
      <c r="A1503" s="2">
        <f>'[01_Entry.xlsx]Book'!A1503</f>
        <v/>
      </c>
      <c r="B1503" s="2">
        <f>'[01_Entry.xlsx]Book'!B1503</f>
        <v/>
      </c>
      <c r="C1503" s="2">
        <f>'[01_Entry.xlsx]Book'!D1503</f>
        <v/>
      </c>
      <c r="D1503" s="2">
        <f>'[01_Entry.xlsx]Book'!E1503</f>
        <v/>
      </c>
      <c r="E1503" s="2">
        <f>'[01_Entry.xlsx]Book'!O1503</f>
        <v/>
      </c>
      <c r="F1503" s="2">
        <f>'[01_Entry.xlsx]Book'!N1503</f>
        <v/>
      </c>
      <c r="G1503" s="3">
        <f>'[01_Entry.xlsx]Book'!L1503</f>
        <v/>
      </c>
      <c r="H1503" s="3">
        <f>'[01_Entry.xlsx]Book'!M1503</f>
        <v/>
      </c>
      <c r="I1503" s="3">
        <f>'[01_Entry.xlsx]Book'!K1503</f>
        <v/>
      </c>
      <c r="J1503" s="3">
        <f>'[01_Entry.xlsx]Book'!P1503</f>
        <v/>
      </c>
      <c r="K1503" s="3">
        <f>'[01_Entry.xlsx]Book'!F1503</f>
        <v/>
      </c>
      <c r="L1503" s="3">
        <f>'[01_Entry.xlsx]Book'!G1503</f>
        <v/>
      </c>
      <c r="M1503" s="3">
        <f>'[01_Entry.xlsx]Book'!I1503</f>
        <v/>
      </c>
      <c r="N1503" s="2">
        <f>IF($A1503="","",MID($A1503,6,2))</f>
        <v>0</v>
      </c>
      <c r="O1503" s="2">
        <f>IF(OR($C1503="",$C1503&lt;&gt;'Inv'!$D$12),"",N(O$1502)+1)</f>
        <v>0</v>
      </c>
    </row>
    <row r="1504" spans="1:15">
      <c r="A1504" s="2">
        <f>'[01_Entry.xlsx]Book'!A1504</f>
        <v/>
      </c>
      <c r="B1504" s="2">
        <f>'[01_Entry.xlsx]Book'!B1504</f>
        <v/>
      </c>
      <c r="C1504" s="2">
        <f>'[01_Entry.xlsx]Book'!D1504</f>
        <v/>
      </c>
      <c r="D1504" s="2">
        <f>'[01_Entry.xlsx]Book'!E1504</f>
        <v/>
      </c>
      <c r="E1504" s="2">
        <f>'[01_Entry.xlsx]Book'!O1504</f>
        <v/>
      </c>
      <c r="F1504" s="2">
        <f>'[01_Entry.xlsx]Book'!N1504</f>
        <v/>
      </c>
      <c r="G1504" s="3">
        <f>'[01_Entry.xlsx]Book'!L1504</f>
        <v/>
      </c>
      <c r="H1504" s="3">
        <f>'[01_Entry.xlsx]Book'!M1504</f>
        <v/>
      </c>
      <c r="I1504" s="3">
        <f>'[01_Entry.xlsx]Book'!K1504</f>
        <v/>
      </c>
      <c r="J1504" s="3">
        <f>'[01_Entry.xlsx]Book'!P1504</f>
        <v/>
      </c>
      <c r="K1504" s="3">
        <f>'[01_Entry.xlsx]Book'!F1504</f>
        <v/>
      </c>
      <c r="L1504" s="3">
        <f>'[01_Entry.xlsx]Book'!G1504</f>
        <v/>
      </c>
      <c r="M1504" s="3">
        <f>'[01_Entry.xlsx]Book'!I1504</f>
        <v/>
      </c>
      <c r="N1504" s="2">
        <f>IF($A1504="","",MID($A1504,6,2))</f>
        <v>0</v>
      </c>
      <c r="O1504" s="2">
        <f>IF(OR($C1504="",$C1504&lt;&gt;'Inv'!$D$12),"",N(O$1503)+1)</f>
        <v>0</v>
      </c>
    </row>
    <row r="1505" spans="1:15">
      <c r="A1505" s="2">
        <f>'[01_Entry.xlsx]Book'!A1505</f>
        <v/>
      </c>
      <c r="B1505" s="2">
        <f>'[01_Entry.xlsx]Book'!B1505</f>
        <v/>
      </c>
      <c r="C1505" s="2">
        <f>'[01_Entry.xlsx]Book'!D1505</f>
        <v/>
      </c>
      <c r="D1505" s="2">
        <f>'[01_Entry.xlsx]Book'!E1505</f>
        <v/>
      </c>
      <c r="E1505" s="2">
        <f>'[01_Entry.xlsx]Book'!O1505</f>
        <v/>
      </c>
      <c r="F1505" s="2">
        <f>'[01_Entry.xlsx]Book'!N1505</f>
        <v/>
      </c>
      <c r="G1505" s="3">
        <f>'[01_Entry.xlsx]Book'!L1505</f>
        <v/>
      </c>
      <c r="H1505" s="3">
        <f>'[01_Entry.xlsx]Book'!M1505</f>
        <v/>
      </c>
      <c r="I1505" s="3">
        <f>'[01_Entry.xlsx]Book'!K1505</f>
        <v/>
      </c>
      <c r="J1505" s="3">
        <f>'[01_Entry.xlsx]Book'!P1505</f>
        <v/>
      </c>
      <c r="K1505" s="3">
        <f>'[01_Entry.xlsx]Book'!F1505</f>
        <v/>
      </c>
      <c r="L1505" s="3">
        <f>'[01_Entry.xlsx]Book'!G1505</f>
        <v/>
      </c>
      <c r="M1505" s="3">
        <f>'[01_Entry.xlsx]Book'!I1505</f>
        <v/>
      </c>
      <c r="N1505" s="2">
        <f>IF($A1505="","",MID($A1505,6,2))</f>
        <v>0</v>
      </c>
      <c r="O1505" s="2">
        <f>IF(OR($C1505="",$C1505&lt;&gt;'Inv'!$D$12),"",N(O$1504)+1)</f>
        <v>0</v>
      </c>
    </row>
    <row r="1506" spans="1:15">
      <c r="A1506" s="2">
        <f>'[01_Entry.xlsx]Book'!A1506</f>
        <v/>
      </c>
      <c r="B1506" s="2">
        <f>'[01_Entry.xlsx]Book'!B1506</f>
        <v/>
      </c>
      <c r="C1506" s="2">
        <f>'[01_Entry.xlsx]Book'!D1506</f>
        <v/>
      </c>
      <c r="D1506" s="2">
        <f>'[01_Entry.xlsx]Book'!E1506</f>
        <v/>
      </c>
      <c r="E1506" s="2">
        <f>'[01_Entry.xlsx]Book'!O1506</f>
        <v/>
      </c>
      <c r="F1506" s="2">
        <f>'[01_Entry.xlsx]Book'!N1506</f>
        <v/>
      </c>
      <c r="G1506" s="3">
        <f>'[01_Entry.xlsx]Book'!L1506</f>
        <v/>
      </c>
      <c r="H1506" s="3">
        <f>'[01_Entry.xlsx]Book'!M1506</f>
        <v/>
      </c>
      <c r="I1506" s="3">
        <f>'[01_Entry.xlsx]Book'!K1506</f>
        <v/>
      </c>
      <c r="J1506" s="3">
        <f>'[01_Entry.xlsx]Book'!P1506</f>
        <v/>
      </c>
      <c r="K1506" s="3">
        <f>'[01_Entry.xlsx]Book'!F1506</f>
        <v/>
      </c>
      <c r="L1506" s="3">
        <f>'[01_Entry.xlsx]Book'!G1506</f>
        <v/>
      </c>
      <c r="M1506" s="3">
        <f>'[01_Entry.xlsx]Book'!I1506</f>
        <v/>
      </c>
      <c r="N1506" s="2">
        <f>IF($A1506="","",MID($A1506,6,2))</f>
        <v>0</v>
      </c>
      <c r="O1506" s="2">
        <f>IF(OR($C1506="",$C1506&lt;&gt;'Inv'!$D$12),"",N(O$1505)+1)</f>
        <v>0</v>
      </c>
    </row>
    <row r="1507" spans="1:15">
      <c r="A1507" s="2">
        <f>'[01_Entry.xlsx]Book'!A1507</f>
        <v/>
      </c>
      <c r="B1507" s="2">
        <f>'[01_Entry.xlsx]Book'!B1507</f>
        <v/>
      </c>
      <c r="C1507" s="2">
        <f>'[01_Entry.xlsx]Book'!D1507</f>
        <v/>
      </c>
      <c r="D1507" s="2">
        <f>'[01_Entry.xlsx]Book'!E1507</f>
        <v/>
      </c>
      <c r="E1507" s="2">
        <f>'[01_Entry.xlsx]Book'!O1507</f>
        <v/>
      </c>
      <c r="F1507" s="2">
        <f>'[01_Entry.xlsx]Book'!N1507</f>
        <v/>
      </c>
      <c r="G1507" s="3">
        <f>'[01_Entry.xlsx]Book'!L1507</f>
        <v/>
      </c>
      <c r="H1507" s="3">
        <f>'[01_Entry.xlsx]Book'!M1507</f>
        <v/>
      </c>
      <c r="I1507" s="3">
        <f>'[01_Entry.xlsx]Book'!K1507</f>
        <v/>
      </c>
      <c r="J1507" s="3">
        <f>'[01_Entry.xlsx]Book'!P1507</f>
        <v/>
      </c>
      <c r="K1507" s="3">
        <f>'[01_Entry.xlsx]Book'!F1507</f>
        <v/>
      </c>
      <c r="L1507" s="3">
        <f>'[01_Entry.xlsx]Book'!G1507</f>
        <v/>
      </c>
      <c r="M1507" s="3">
        <f>'[01_Entry.xlsx]Book'!I1507</f>
        <v/>
      </c>
      <c r="N1507" s="2">
        <f>IF($A1507="","",MID($A1507,6,2))</f>
        <v>0</v>
      </c>
      <c r="O1507" s="2">
        <f>IF(OR($C1507="",$C1507&lt;&gt;'Inv'!$D$12),"",N(O$1506)+1)</f>
        <v>0</v>
      </c>
    </row>
    <row r="1508" spans="1:15">
      <c r="A1508" s="2">
        <f>'[01_Entry.xlsx]Book'!A1508</f>
        <v/>
      </c>
      <c r="B1508" s="2">
        <f>'[01_Entry.xlsx]Book'!B1508</f>
        <v/>
      </c>
      <c r="C1508" s="2">
        <f>'[01_Entry.xlsx]Book'!D1508</f>
        <v/>
      </c>
      <c r="D1508" s="2">
        <f>'[01_Entry.xlsx]Book'!E1508</f>
        <v/>
      </c>
      <c r="E1508" s="2">
        <f>'[01_Entry.xlsx]Book'!O1508</f>
        <v/>
      </c>
      <c r="F1508" s="2">
        <f>'[01_Entry.xlsx]Book'!N1508</f>
        <v/>
      </c>
      <c r="G1508" s="3">
        <f>'[01_Entry.xlsx]Book'!L1508</f>
        <v/>
      </c>
      <c r="H1508" s="3">
        <f>'[01_Entry.xlsx]Book'!M1508</f>
        <v/>
      </c>
      <c r="I1508" s="3">
        <f>'[01_Entry.xlsx]Book'!K1508</f>
        <v/>
      </c>
      <c r="J1508" s="3">
        <f>'[01_Entry.xlsx]Book'!P1508</f>
        <v/>
      </c>
      <c r="K1508" s="3">
        <f>'[01_Entry.xlsx]Book'!F1508</f>
        <v/>
      </c>
      <c r="L1508" s="3">
        <f>'[01_Entry.xlsx]Book'!G1508</f>
        <v/>
      </c>
      <c r="M1508" s="3">
        <f>'[01_Entry.xlsx]Book'!I1508</f>
        <v/>
      </c>
      <c r="N1508" s="2">
        <f>IF($A1508="","",MID($A1508,6,2))</f>
        <v>0</v>
      </c>
      <c r="O1508" s="2">
        <f>IF(OR($C1508="",$C1508&lt;&gt;'Inv'!$D$12),"",N(O$1507)+1)</f>
        <v>0</v>
      </c>
    </row>
    <row r="1509" spans="1:15">
      <c r="A1509" s="2">
        <f>'[01_Entry.xlsx]Book'!A1509</f>
        <v/>
      </c>
      <c r="B1509" s="2">
        <f>'[01_Entry.xlsx]Book'!B1509</f>
        <v/>
      </c>
      <c r="C1509" s="2">
        <f>'[01_Entry.xlsx]Book'!D1509</f>
        <v/>
      </c>
      <c r="D1509" s="2">
        <f>'[01_Entry.xlsx]Book'!E1509</f>
        <v/>
      </c>
      <c r="E1509" s="2">
        <f>'[01_Entry.xlsx]Book'!O1509</f>
        <v/>
      </c>
      <c r="F1509" s="2">
        <f>'[01_Entry.xlsx]Book'!N1509</f>
        <v/>
      </c>
      <c r="G1509" s="3">
        <f>'[01_Entry.xlsx]Book'!L1509</f>
        <v/>
      </c>
      <c r="H1509" s="3">
        <f>'[01_Entry.xlsx]Book'!M1509</f>
        <v/>
      </c>
      <c r="I1509" s="3">
        <f>'[01_Entry.xlsx]Book'!K1509</f>
        <v/>
      </c>
      <c r="J1509" s="3">
        <f>'[01_Entry.xlsx]Book'!P1509</f>
        <v/>
      </c>
      <c r="K1509" s="3">
        <f>'[01_Entry.xlsx]Book'!F1509</f>
        <v/>
      </c>
      <c r="L1509" s="3">
        <f>'[01_Entry.xlsx]Book'!G1509</f>
        <v/>
      </c>
      <c r="M1509" s="3">
        <f>'[01_Entry.xlsx]Book'!I1509</f>
        <v/>
      </c>
      <c r="N1509" s="2">
        <f>IF($A1509="","",MID($A1509,6,2))</f>
        <v>0</v>
      </c>
      <c r="O1509" s="2">
        <f>IF(OR($C1509="",$C1509&lt;&gt;'Inv'!$D$12),"",N(O$1508)+1)</f>
        <v>0</v>
      </c>
    </row>
    <row r="1510" spans="1:15">
      <c r="A1510" s="2" t="str">
        <f>'[01_Entry.xlsx]Book'!A1510</f>
        <v>1405/07/01</v>
      </c>
      <c r="B1510" s="2" t="str">
        <f>'[01_Entry.xlsx]Book'!B1510</f>
        <v>BK-001</v>
      </c>
      <c r="C1510" s="2" t="str">
        <f>'[01_Entry.xlsx]Book'!D1510</f>
        <v>S001</v>
      </c>
      <c r="D1510" s="2">
        <f>'[01_Entry.xlsx]Book'!E1510</f>
        <v/>
      </c>
      <c r="E1510" s="2" t="str">
        <f>'[01_Entry.xlsx]Book'!O1510</f>
        <v>فروشنده سبد</v>
      </c>
      <c r="F1510" s="2" t="str">
        <f>'[01_Entry.xlsx]Book'!N1510</f>
        <v>خرید سبد</v>
      </c>
      <c r="G1510" s="3">
        <f>'[01_Entry.xlsx]Book'!L1510</f>
        <v>0</v>
      </c>
      <c r="H1510" s="3">
        <f>'[01_Entry.xlsx]Book'!M1510</f>
        <v>22500000.0</v>
      </c>
      <c r="I1510" s="3">
        <f>'[01_Entry.xlsx]Book'!K1510</f>
        <v>22500000.0</v>
      </c>
      <c r="J1510" s="3">
        <f>'[01_Entry.xlsx]Book'!P1510</f>
        <v/>
      </c>
      <c r="K1510" s="3">
        <f>'[01_Entry.xlsx]Book'!F1510</f>
        <v/>
      </c>
      <c r="L1510" s="3">
        <f>'[01_Entry.xlsx]Book'!G1510</f>
        <v>500</v>
      </c>
      <c r="M1510" s="3">
        <f>'[01_Entry.xlsx]Book'!I1510</f>
        <v/>
      </c>
      <c r="N1510" s="2">
        <f>IF($A1510="","",MID($A1510,6,2))</f>
        <v>0</v>
      </c>
      <c r="O1510" s="2">
        <f>IF(OR($C1510="",$C1510&lt;&gt;'Inv'!$D$12),"",N(O$1509)+1)</f>
        <v>0</v>
      </c>
    </row>
    <row r="1511" spans="1:15">
      <c r="A1511" s="2" t="str">
        <f>'[01_Entry.xlsx]Book'!A1511</f>
        <v>1405/07/01</v>
      </c>
      <c r="B1511" s="2" t="str">
        <f>'[01_Entry.xlsx]Book'!B1511</f>
        <v>BK-001</v>
      </c>
      <c r="C1511" s="2" t="str">
        <f>'[01_Entry.xlsx]Book'!D1511</f>
        <v>X005</v>
      </c>
      <c r="D1511" s="2" t="str">
        <f>'[01_Entry.xlsx]Book'!E1511</f>
        <v>مقابل: خرید سبد</v>
      </c>
      <c r="E1511" s="2" t="str">
        <f>'[01_Entry.xlsx]Book'!O1511</f>
        <v>سایر حساب</v>
      </c>
      <c r="F1511" s="2" t="str">
        <f>'[01_Entry.xlsx]Book'!N1511</f>
        <v>مقابل</v>
      </c>
      <c r="G1511" s="3">
        <f>'[01_Entry.xlsx]Book'!L1511</f>
        <v>22500000.0</v>
      </c>
      <c r="H1511" s="3">
        <f>'[01_Entry.xlsx]Book'!M1511</f>
        <v>0</v>
      </c>
      <c r="I1511" s="3">
        <f>'[01_Entry.xlsx]Book'!K1511</f>
        <v>22500000.0</v>
      </c>
      <c r="J1511" s="3">
        <f>'[01_Entry.xlsx]Book'!P1511</f>
        <v/>
      </c>
      <c r="K1511" s="3">
        <f>'[01_Entry.xlsx]Book'!F1511</f>
        <v/>
      </c>
      <c r="L1511" s="3">
        <f>'[01_Entry.xlsx]Book'!G1511</f>
        <v/>
      </c>
      <c r="M1511" s="3">
        <f>'[01_Entry.xlsx]Book'!I1511</f>
        <v/>
      </c>
      <c r="N1511" s="2">
        <f>IF($A1511="","",MID($A1511,6,2))</f>
        <v>0</v>
      </c>
      <c r="O1511" s="2">
        <f>IF(OR($C1511="",$C1511&lt;&gt;'Inv'!$D$12),"",N(O$1510)+1)</f>
        <v>0</v>
      </c>
    </row>
    <row r="1512" spans="1:15">
      <c r="A1512" s="2" t="str">
        <f>'[01_Entry.xlsx]Book'!A1512</f>
        <v>1405/07/02</v>
      </c>
      <c r="B1512" s="2" t="str">
        <f>'[01_Entry.xlsx]Book'!B1512</f>
        <v>BK-002</v>
      </c>
      <c r="C1512" s="2" t="str">
        <f>'[01_Entry.xlsx]Book'!D1512</f>
        <v>S002</v>
      </c>
      <c r="D1512" s="2">
        <f>'[01_Entry.xlsx]Book'!E1512</f>
        <v/>
      </c>
      <c r="E1512" s="2" t="str">
        <f>'[01_Entry.xlsx]Book'!O1512</f>
        <v>فروشنده سبد</v>
      </c>
      <c r="F1512" s="2" t="str">
        <f>'[01_Entry.xlsx]Book'!N1512</f>
        <v>خرید سبد</v>
      </c>
      <c r="G1512" s="3">
        <f>'[01_Entry.xlsx]Book'!L1512</f>
        <v>0</v>
      </c>
      <c r="H1512" s="3">
        <f>'[01_Entry.xlsx]Book'!M1512</f>
        <v>18600000.0</v>
      </c>
      <c r="I1512" s="3">
        <f>'[01_Entry.xlsx]Book'!K1512</f>
        <v>18600000.0</v>
      </c>
      <c r="J1512" s="3">
        <f>'[01_Entry.xlsx]Book'!P1512</f>
        <v/>
      </c>
      <c r="K1512" s="3">
        <f>'[01_Entry.xlsx]Book'!F1512</f>
        <v/>
      </c>
      <c r="L1512" s="3">
        <f>'[01_Entry.xlsx]Book'!G1512</f>
        <v>300</v>
      </c>
      <c r="M1512" s="3">
        <f>'[01_Entry.xlsx]Book'!I1512</f>
        <v/>
      </c>
      <c r="N1512" s="2">
        <f>IF($A1512="","",MID($A1512,6,2))</f>
        <v>0</v>
      </c>
      <c r="O1512" s="2">
        <f>IF(OR($C1512="",$C1512&lt;&gt;'Inv'!$D$12),"",N(O$1511)+1)</f>
        <v>0</v>
      </c>
    </row>
    <row r="1513" spans="1:15">
      <c r="A1513" s="2" t="str">
        <f>'[01_Entry.xlsx]Book'!A1513</f>
        <v>1405/07/02</v>
      </c>
      <c r="B1513" s="2" t="str">
        <f>'[01_Entry.xlsx]Book'!B1513</f>
        <v>BK-002</v>
      </c>
      <c r="C1513" s="2" t="str">
        <f>'[01_Entry.xlsx]Book'!D1513</f>
        <v>X005</v>
      </c>
      <c r="D1513" s="2" t="str">
        <f>'[01_Entry.xlsx]Book'!E1513</f>
        <v>مقابل: خرید سبد</v>
      </c>
      <c r="E1513" s="2" t="str">
        <f>'[01_Entry.xlsx]Book'!O1513</f>
        <v>سایر حساب</v>
      </c>
      <c r="F1513" s="2" t="str">
        <f>'[01_Entry.xlsx]Book'!N1513</f>
        <v>مقابل</v>
      </c>
      <c r="G1513" s="3">
        <f>'[01_Entry.xlsx]Book'!L1513</f>
        <v>18600000.0</v>
      </c>
      <c r="H1513" s="3">
        <f>'[01_Entry.xlsx]Book'!M1513</f>
        <v>0</v>
      </c>
      <c r="I1513" s="3">
        <f>'[01_Entry.xlsx]Book'!K1513</f>
        <v>18600000.0</v>
      </c>
      <c r="J1513" s="3">
        <f>'[01_Entry.xlsx]Book'!P1513</f>
        <v/>
      </c>
      <c r="K1513" s="3">
        <f>'[01_Entry.xlsx]Book'!F1513</f>
        <v/>
      </c>
      <c r="L1513" s="3">
        <f>'[01_Entry.xlsx]Book'!G1513</f>
        <v/>
      </c>
      <c r="M1513" s="3">
        <f>'[01_Entry.xlsx]Book'!I1513</f>
        <v/>
      </c>
      <c r="N1513" s="2">
        <f>IF($A1513="","",MID($A1513,6,2))</f>
        <v>0</v>
      </c>
      <c r="O1513" s="2">
        <f>IF(OR($C1513="",$C1513&lt;&gt;'Inv'!$D$12),"",N(O$1512)+1)</f>
        <v>0</v>
      </c>
    </row>
    <row r="1514" spans="1:15">
      <c r="A1514" s="2" t="str">
        <f>'[01_Entry.xlsx]Book'!A1514</f>
        <v>1405/07/04</v>
      </c>
      <c r="B1514" s="2" t="str">
        <f>'[01_Entry.xlsx]Book'!B1514</f>
        <v>BK-003</v>
      </c>
      <c r="C1514" s="2" t="str">
        <f>'[01_Entry.xlsx]Book'!D1514</f>
        <v>C003</v>
      </c>
      <c r="D1514" s="2">
        <f>'[01_Entry.xlsx]Book'!E1514</f>
        <v/>
      </c>
      <c r="E1514" s="2" t="str">
        <f>'[01_Entry.xlsx]Book'!O1514</f>
        <v>باغدار</v>
      </c>
      <c r="F1514" s="2" t="str">
        <f>'[01_Entry.xlsx]Book'!N1514</f>
        <v>فروش سبد</v>
      </c>
      <c r="G1514" s="3">
        <f>'[01_Entry.xlsx]Book'!L1514</f>
        <v>8700000.0</v>
      </c>
      <c r="H1514" s="3">
        <f>'[01_Entry.xlsx]Book'!M1514</f>
        <v>0</v>
      </c>
      <c r="I1514" s="3">
        <f>'[01_Entry.xlsx]Book'!K1514</f>
        <v>8700000.0</v>
      </c>
      <c r="J1514" s="3">
        <f>'[01_Entry.xlsx]Book'!P1514</f>
        <v/>
      </c>
      <c r="K1514" s="3">
        <f>'[01_Entry.xlsx]Book'!F1514</f>
        <v/>
      </c>
      <c r="L1514" s="3">
        <f>'[01_Entry.xlsx]Book'!G1514</f>
        <v>150</v>
      </c>
      <c r="M1514" s="3">
        <f>'[01_Entry.xlsx]Book'!I1514</f>
        <v/>
      </c>
      <c r="N1514" s="2">
        <f>IF($A1514="","",MID($A1514,6,2))</f>
        <v>0</v>
      </c>
      <c r="O1514" s="2">
        <f>IF(OR($C1514="",$C1514&lt;&gt;'Inv'!$D$12),"",N(O$1513)+1)</f>
        <v>0</v>
      </c>
    </row>
    <row r="1515" spans="1:15">
      <c r="A1515" s="2" t="str">
        <f>'[01_Entry.xlsx]Book'!A1515</f>
        <v>1405/07/04</v>
      </c>
      <c r="B1515" s="2" t="str">
        <f>'[01_Entry.xlsx]Book'!B1515</f>
        <v>BK-003</v>
      </c>
      <c r="C1515" s="2" t="str">
        <f>'[01_Entry.xlsx]Book'!D1515</f>
        <v>X007</v>
      </c>
      <c r="D1515" s="2" t="str">
        <f>'[01_Entry.xlsx]Book'!E1515</f>
        <v>مقابل: فروش سبد</v>
      </c>
      <c r="E1515" s="2" t="str">
        <f>'[01_Entry.xlsx]Book'!O1515</f>
        <v>سایر حساب</v>
      </c>
      <c r="F1515" s="2" t="str">
        <f>'[01_Entry.xlsx]Book'!N1515</f>
        <v>مقابل</v>
      </c>
      <c r="G1515" s="3">
        <f>'[01_Entry.xlsx]Book'!L1515</f>
        <v>0</v>
      </c>
      <c r="H1515" s="3">
        <f>'[01_Entry.xlsx]Book'!M1515</f>
        <v>8700000.0</v>
      </c>
      <c r="I1515" s="3">
        <f>'[01_Entry.xlsx]Book'!K1515</f>
        <v>8700000.0</v>
      </c>
      <c r="J1515" s="3">
        <f>'[01_Entry.xlsx]Book'!P1515</f>
        <v/>
      </c>
      <c r="K1515" s="3">
        <f>'[01_Entry.xlsx]Book'!F1515</f>
        <v/>
      </c>
      <c r="L1515" s="3">
        <f>'[01_Entry.xlsx]Book'!G1515</f>
        <v/>
      </c>
      <c r="M1515" s="3">
        <f>'[01_Entry.xlsx]Book'!I1515</f>
        <v/>
      </c>
      <c r="N1515" s="2">
        <f>IF($A1515="","",MID($A1515,6,2))</f>
        <v>0</v>
      </c>
      <c r="O1515" s="2">
        <f>IF(OR($C1515="",$C1515&lt;&gt;'Inv'!$D$12),"",N(O$1514)+1)</f>
        <v>0</v>
      </c>
    </row>
    <row r="1516" spans="1:15">
      <c r="A1516" s="2" t="str">
        <f>'[01_Entry.xlsx]Book'!A1516</f>
        <v>1405/07/06</v>
      </c>
      <c r="B1516" s="2" t="str">
        <f>'[01_Entry.xlsx]Book'!B1516</f>
        <v>BK-004</v>
      </c>
      <c r="C1516" s="2" t="str">
        <f>'[01_Entry.xlsx]Book'!D1516</f>
        <v>C006</v>
      </c>
      <c r="D1516" s="2">
        <f>'[01_Entry.xlsx]Book'!E1516</f>
        <v/>
      </c>
      <c r="E1516" s="2" t="str">
        <f>'[01_Entry.xlsx]Book'!O1516</f>
        <v>باغدار</v>
      </c>
      <c r="F1516" s="2" t="str">
        <f>'[01_Entry.xlsx]Book'!N1516</f>
        <v>فروش سبد</v>
      </c>
      <c r="G1516" s="3">
        <f>'[01_Entry.xlsx]Book'!L1516</f>
        <v>6400000.0</v>
      </c>
      <c r="H1516" s="3">
        <f>'[01_Entry.xlsx]Book'!M1516</f>
        <v>0</v>
      </c>
      <c r="I1516" s="3">
        <f>'[01_Entry.xlsx]Book'!K1516</f>
        <v>6400000.0</v>
      </c>
      <c r="J1516" s="3">
        <f>'[01_Entry.xlsx]Book'!P1516</f>
        <v/>
      </c>
      <c r="K1516" s="3">
        <f>'[01_Entry.xlsx]Book'!F1516</f>
        <v/>
      </c>
      <c r="L1516" s="3">
        <f>'[01_Entry.xlsx]Book'!G1516</f>
        <v>80</v>
      </c>
      <c r="M1516" s="3">
        <f>'[01_Entry.xlsx]Book'!I1516</f>
        <v/>
      </c>
      <c r="N1516" s="2">
        <f>IF($A1516="","",MID($A1516,6,2))</f>
        <v>0</v>
      </c>
      <c r="O1516" s="2">
        <f>IF(OR($C1516="",$C1516&lt;&gt;'Inv'!$D$12),"",N(O$1515)+1)</f>
        <v>0</v>
      </c>
    </row>
    <row r="1517" spans="1:15">
      <c r="A1517" s="2" t="str">
        <f>'[01_Entry.xlsx]Book'!A1517</f>
        <v>1405/07/06</v>
      </c>
      <c r="B1517" s="2" t="str">
        <f>'[01_Entry.xlsx]Book'!B1517</f>
        <v>BK-004</v>
      </c>
      <c r="C1517" s="2" t="str">
        <f>'[01_Entry.xlsx]Book'!D1517</f>
        <v>X007</v>
      </c>
      <c r="D1517" s="2" t="str">
        <f>'[01_Entry.xlsx]Book'!E1517</f>
        <v>مقابل: فروش سبد</v>
      </c>
      <c r="E1517" s="2" t="str">
        <f>'[01_Entry.xlsx]Book'!O1517</f>
        <v>سایر حساب</v>
      </c>
      <c r="F1517" s="2" t="str">
        <f>'[01_Entry.xlsx]Book'!N1517</f>
        <v>مقابل</v>
      </c>
      <c r="G1517" s="3">
        <f>'[01_Entry.xlsx]Book'!L1517</f>
        <v>0</v>
      </c>
      <c r="H1517" s="3">
        <f>'[01_Entry.xlsx]Book'!M1517</f>
        <v>6400000.0</v>
      </c>
      <c r="I1517" s="3">
        <f>'[01_Entry.xlsx]Book'!K1517</f>
        <v>6400000.0</v>
      </c>
      <c r="J1517" s="3">
        <f>'[01_Entry.xlsx]Book'!P1517</f>
        <v/>
      </c>
      <c r="K1517" s="3">
        <f>'[01_Entry.xlsx]Book'!F1517</f>
        <v/>
      </c>
      <c r="L1517" s="3">
        <f>'[01_Entry.xlsx]Book'!G1517</f>
        <v/>
      </c>
      <c r="M1517" s="3">
        <f>'[01_Entry.xlsx]Book'!I1517</f>
        <v/>
      </c>
      <c r="N1517" s="2">
        <f>IF($A1517="","",MID($A1517,6,2))</f>
        <v>0</v>
      </c>
      <c r="O1517" s="2">
        <f>IF(OR($C1517="",$C1517&lt;&gt;'Inv'!$D$12),"",N(O$1516)+1)</f>
        <v>0</v>
      </c>
    </row>
    <row r="1518" spans="1:15">
      <c r="A1518" s="2" t="str">
        <f>'[01_Entry.xlsx]Book'!A1518</f>
        <v>1405/07/08</v>
      </c>
      <c r="B1518" s="2" t="str">
        <f>'[01_Entry.xlsx]Book'!B1518</f>
        <v>BK-005</v>
      </c>
      <c r="C1518" s="2" t="str">
        <f>'[01_Entry.xlsx]Book'!D1518</f>
        <v>S003</v>
      </c>
      <c r="D1518" s="2">
        <f>'[01_Entry.xlsx]Book'!E1518</f>
        <v/>
      </c>
      <c r="E1518" s="2" t="str">
        <f>'[01_Entry.xlsx]Book'!O1518</f>
        <v>فروشنده سبد</v>
      </c>
      <c r="F1518" s="2" t="str">
        <f>'[01_Entry.xlsx]Book'!N1518</f>
        <v>خرید سبد</v>
      </c>
      <c r="G1518" s="3">
        <f>'[01_Entry.xlsx]Book'!L1518</f>
        <v>0</v>
      </c>
      <c r="H1518" s="3">
        <f>'[01_Entry.xlsx]Book'!M1518</f>
        <v>11600000.0</v>
      </c>
      <c r="I1518" s="3">
        <f>'[01_Entry.xlsx]Book'!K1518</f>
        <v>11600000.0</v>
      </c>
      <c r="J1518" s="3">
        <f>'[01_Entry.xlsx]Book'!P1518</f>
        <v/>
      </c>
      <c r="K1518" s="3">
        <f>'[01_Entry.xlsx]Book'!F1518</f>
        <v/>
      </c>
      <c r="L1518" s="3">
        <f>'[01_Entry.xlsx]Book'!G1518</f>
        <v>200</v>
      </c>
      <c r="M1518" s="3">
        <f>'[01_Entry.xlsx]Book'!I1518</f>
        <v/>
      </c>
      <c r="N1518" s="2">
        <f>IF($A1518="","",MID($A1518,6,2))</f>
        <v>0</v>
      </c>
      <c r="O1518" s="2">
        <f>IF(OR($C1518="",$C1518&lt;&gt;'Inv'!$D$12),"",N(O$1517)+1)</f>
        <v>0</v>
      </c>
    </row>
    <row r="1519" spans="1:15">
      <c r="A1519" s="2" t="str">
        <f>'[01_Entry.xlsx]Book'!A1519</f>
        <v>1405/07/08</v>
      </c>
      <c r="B1519" s="2" t="str">
        <f>'[01_Entry.xlsx]Book'!B1519</f>
        <v>BK-005</v>
      </c>
      <c r="C1519" s="2" t="str">
        <f>'[01_Entry.xlsx]Book'!D1519</f>
        <v>X005</v>
      </c>
      <c r="D1519" s="2" t="str">
        <f>'[01_Entry.xlsx]Book'!E1519</f>
        <v>مقابل: خرید سبد</v>
      </c>
      <c r="E1519" s="2" t="str">
        <f>'[01_Entry.xlsx]Book'!O1519</f>
        <v>سایر حساب</v>
      </c>
      <c r="F1519" s="2" t="str">
        <f>'[01_Entry.xlsx]Book'!N1519</f>
        <v>مقابل</v>
      </c>
      <c r="G1519" s="3">
        <f>'[01_Entry.xlsx]Book'!L1519</f>
        <v>11600000.0</v>
      </c>
      <c r="H1519" s="3">
        <f>'[01_Entry.xlsx]Book'!M1519</f>
        <v>0</v>
      </c>
      <c r="I1519" s="3">
        <f>'[01_Entry.xlsx]Book'!K1519</f>
        <v>11600000.0</v>
      </c>
      <c r="J1519" s="3">
        <f>'[01_Entry.xlsx]Book'!P1519</f>
        <v/>
      </c>
      <c r="K1519" s="3">
        <f>'[01_Entry.xlsx]Book'!F1519</f>
        <v/>
      </c>
      <c r="L1519" s="3">
        <f>'[01_Entry.xlsx]Book'!G1519</f>
        <v/>
      </c>
      <c r="M1519" s="3">
        <f>'[01_Entry.xlsx]Book'!I1519</f>
        <v/>
      </c>
      <c r="N1519" s="2">
        <f>IF($A1519="","",MID($A1519,6,2))</f>
        <v>0</v>
      </c>
      <c r="O1519" s="2">
        <f>IF(OR($C1519="",$C1519&lt;&gt;'Inv'!$D$12),"",N(O$1518)+1)</f>
        <v>0</v>
      </c>
    </row>
    <row r="1520" spans="1:15">
      <c r="A1520" s="2" t="str">
        <f>'[01_Entry.xlsx]Book'!A1520</f>
        <v>1405/07/10</v>
      </c>
      <c r="B1520" s="2" t="str">
        <f>'[01_Entry.xlsx]Book'!B1520</f>
        <v>BK-006</v>
      </c>
      <c r="C1520" s="2" t="str">
        <f>'[01_Entry.xlsx]Book'!D1520</f>
        <v>S001</v>
      </c>
      <c r="D1520" s="2" t="str">
        <f>'[01_Entry.xlsx]Book'!E1520</f>
        <v>سبد سالم</v>
      </c>
      <c r="E1520" s="2" t="str">
        <f>'[01_Entry.xlsx]Book'!O1520</f>
        <v>فروشنده سبد</v>
      </c>
      <c r="F1520" s="2" t="str">
        <f>'[01_Entry.xlsx]Book'!N1520</f>
        <v>مرجوعی خرید سبد</v>
      </c>
      <c r="G1520" s="3">
        <f>'[01_Entry.xlsx]Book'!L1520</f>
        <v>900000.0</v>
      </c>
      <c r="H1520" s="3">
        <f>'[01_Entry.xlsx]Book'!M1520</f>
        <v>0</v>
      </c>
      <c r="I1520" s="3">
        <f>'[01_Entry.xlsx]Book'!K1520</f>
        <v>900000.0</v>
      </c>
      <c r="J1520" s="3">
        <f>'[01_Entry.xlsx]Book'!P1520</f>
        <v/>
      </c>
      <c r="K1520" s="3">
        <f>'[01_Entry.xlsx]Book'!F1520</f>
        <v/>
      </c>
      <c r="L1520" s="3">
        <f>'[01_Entry.xlsx]Book'!G1520</f>
        <v>20</v>
      </c>
      <c r="M1520" s="3">
        <f>'[01_Entry.xlsx]Book'!I1520</f>
        <v/>
      </c>
      <c r="N1520" s="2">
        <f>IF($A1520="","",MID($A1520,6,2))</f>
        <v>0</v>
      </c>
      <c r="O1520" s="2">
        <f>IF(OR($C1520="",$C1520&lt;&gt;'Inv'!$D$12),"",N(O$1519)+1)</f>
        <v>0</v>
      </c>
    </row>
    <row r="1521" spans="1:15">
      <c r="A1521" s="2" t="str">
        <f>'[01_Entry.xlsx]Book'!A1521</f>
        <v>1405/07/10</v>
      </c>
      <c r="B1521" s="2" t="str">
        <f>'[01_Entry.xlsx]Book'!B1521</f>
        <v>BK-006</v>
      </c>
      <c r="C1521" s="2" t="str">
        <f>'[01_Entry.xlsx]Book'!D1521</f>
        <v>X005</v>
      </c>
      <c r="D1521" s="2" t="str">
        <f>'[01_Entry.xlsx]Book'!E1521</f>
        <v>مقابل: مرجوعی خرید سبد</v>
      </c>
      <c r="E1521" s="2" t="str">
        <f>'[01_Entry.xlsx]Book'!O1521</f>
        <v>سایر حساب</v>
      </c>
      <c r="F1521" s="2" t="str">
        <f>'[01_Entry.xlsx]Book'!N1521</f>
        <v>مقابل</v>
      </c>
      <c r="G1521" s="3">
        <f>'[01_Entry.xlsx]Book'!L1521</f>
        <v>0</v>
      </c>
      <c r="H1521" s="3">
        <f>'[01_Entry.xlsx]Book'!M1521</f>
        <v>900000.0</v>
      </c>
      <c r="I1521" s="3">
        <f>'[01_Entry.xlsx]Book'!K1521</f>
        <v>900000.0</v>
      </c>
      <c r="J1521" s="3">
        <f>'[01_Entry.xlsx]Book'!P1521</f>
        <v/>
      </c>
      <c r="K1521" s="3">
        <f>'[01_Entry.xlsx]Book'!F1521</f>
        <v/>
      </c>
      <c r="L1521" s="3">
        <f>'[01_Entry.xlsx]Book'!G1521</f>
        <v/>
      </c>
      <c r="M1521" s="3">
        <f>'[01_Entry.xlsx]Book'!I1521</f>
        <v/>
      </c>
      <c r="N1521" s="2">
        <f>IF($A1521="","",MID($A1521,6,2))</f>
        <v>0</v>
      </c>
      <c r="O1521" s="2">
        <f>IF(OR($C1521="",$C1521&lt;&gt;'Inv'!$D$12),"",N(O$1520)+1)</f>
        <v>0</v>
      </c>
    </row>
    <row r="1522" spans="1:15">
      <c r="A1522" s="2" t="str">
        <f>'[01_Entry.xlsx]Book'!A1522</f>
        <v>1405/07/12</v>
      </c>
      <c r="B1522" s="2" t="str">
        <f>'[01_Entry.xlsx]Book'!B1522</f>
        <v>BK-007</v>
      </c>
      <c r="C1522" s="2" t="str">
        <f>'[01_Entry.xlsx]Book'!D1522</f>
        <v>C001</v>
      </c>
      <c r="D1522" s="2">
        <f>'[01_Entry.xlsx]Book'!E1522</f>
        <v/>
      </c>
      <c r="E1522" s="2" t="str">
        <f>'[01_Entry.xlsx]Book'!O1522</f>
        <v>باغدار</v>
      </c>
      <c r="F1522" s="2" t="str">
        <f>'[01_Entry.xlsx]Book'!N1522</f>
        <v>فروش سبد</v>
      </c>
      <c r="G1522" s="3">
        <f>'[01_Entry.xlsx]Book'!L1522</f>
        <v>4920000.0</v>
      </c>
      <c r="H1522" s="3">
        <f>'[01_Entry.xlsx]Book'!M1522</f>
        <v>0</v>
      </c>
      <c r="I1522" s="3">
        <f>'[01_Entry.xlsx]Book'!K1522</f>
        <v>4920000.0</v>
      </c>
      <c r="J1522" s="3">
        <f>'[01_Entry.xlsx]Book'!P1522</f>
        <v/>
      </c>
      <c r="K1522" s="3">
        <f>'[01_Entry.xlsx]Book'!F1522</f>
        <v/>
      </c>
      <c r="L1522" s="3">
        <f>'[01_Entry.xlsx]Book'!G1522</f>
        <v>60</v>
      </c>
      <c r="M1522" s="3">
        <f>'[01_Entry.xlsx]Book'!I1522</f>
        <v/>
      </c>
      <c r="N1522" s="2">
        <f>IF($A1522="","",MID($A1522,6,2))</f>
        <v>0</v>
      </c>
      <c r="O1522" s="2">
        <f>IF(OR($C1522="",$C1522&lt;&gt;'Inv'!$D$12),"",N(O$1521)+1)</f>
        <v>0</v>
      </c>
    </row>
    <row r="1523" spans="1:15">
      <c r="A1523" s="2" t="str">
        <f>'[01_Entry.xlsx]Book'!A1523</f>
        <v>1405/07/12</v>
      </c>
      <c r="B1523" s="2" t="str">
        <f>'[01_Entry.xlsx]Book'!B1523</f>
        <v>BK-007</v>
      </c>
      <c r="C1523" s="2" t="str">
        <f>'[01_Entry.xlsx]Book'!D1523</f>
        <v>X007</v>
      </c>
      <c r="D1523" s="2" t="str">
        <f>'[01_Entry.xlsx]Book'!E1523</f>
        <v>مقابل: فروش سبد</v>
      </c>
      <c r="E1523" s="2" t="str">
        <f>'[01_Entry.xlsx]Book'!O1523</f>
        <v>سایر حساب</v>
      </c>
      <c r="F1523" s="2" t="str">
        <f>'[01_Entry.xlsx]Book'!N1523</f>
        <v>مقابل</v>
      </c>
      <c r="G1523" s="3">
        <f>'[01_Entry.xlsx]Book'!L1523</f>
        <v>0</v>
      </c>
      <c r="H1523" s="3">
        <f>'[01_Entry.xlsx]Book'!M1523</f>
        <v>4920000.0</v>
      </c>
      <c r="I1523" s="3">
        <f>'[01_Entry.xlsx]Book'!K1523</f>
        <v>4920000.0</v>
      </c>
      <c r="J1523" s="3">
        <f>'[01_Entry.xlsx]Book'!P1523</f>
        <v/>
      </c>
      <c r="K1523" s="3">
        <f>'[01_Entry.xlsx]Book'!F1523</f>
        <v/>
      </c>
      <c r="L1523" s="3">
        <f>'[01_Entry.xlsx]Book'!G1523</f>
        <v/>
      </c>
      <c r="M1523" s="3">
        <f>'[01_Entry.xlsx]Book'!I1523</f>
        <v/>
      </c>
      <c r="N1523" s="2">
        <f>IF($A1523="","",MID($A1523,6,2))</f>
        <v>0</v>
      </c>
      <c r="O1523" s="2">
        <f>IF(OR($C1523="",$C1523&lt;&gt;'Inv'!$D$12),"",N(O$1522)+1)</f>
        <v>0</v>
      </c>
    </row>
    <row r="1524" spans="1:15">
      <c r="A1524" s="2">
        <f>'[01_Entry.xlsx]Book'!A1524</f>
        <v/>
      </c>
      <c r="B1524" s="2">
        <f>'[01_Entry.xlsx]Book'!B1524</f>
        <v/>
      </c>
      <c r="C1524" s="2">
        <f>'[01_Entry.xlsx]Book'!D1524</f>
        <v/>
      </c>
      <c r="D1524" s="2">
        <f>'[01_Entry.xlsx]Book'!E1524</f>
        <v/>
      </c>
      <c r="E1524" s="2">
        <f>'[01_Entry.xlsx]Book'!O1524</f>
        <v/>
      </c>
      <c r="F1524" s="2">
        <f>'[01_Entry.xlsx]Book'!N1524</f>
        <v/>
      </c>
      <c r="G1524" s="3">
        <f>'[01_Entry.xlsx]Book'!L1524</f>
        <v/>
      </c>
      <c r="H1524" s="3">
        <f>'[01_Entry.xlsx]Book'!M1524</f>
        <v/>
      </c>
      <c r="I1524" s="3">
        <f>'[01_Entry.xlsx]Book'!K1524</f>
        <v/>
      </c>
      <c r="J1524" s="3">
        <f>'[01_Entry.xlsx]Book'!P1524</f>
        <v/>
      </c>
      <c r="K1524" s="3">
        <f>'[01_Entry.xlsx]Book'!F1524</f>
        <v/>
      </c>
      <c r="L1524" s="3">
        <f>'[01_Entry.xlsx]Book'!G1524</f>
        <v/>
      </c>
      <c r="M1524" s="3">
        <f>'[01_Entry.xlsx]Book'!I1524</f>
        <v/>
      </c>
      <c r="N1524" s="2">
        <f>IF($A1524="","",MID($A1524,6,2))</f>
        <v>0</v>
      </c>
      <c r="O1524" s="2">
        <f>IF(OR($C1524="",$C1524&lt;&gt;'Inv'!$D$12),"",N(O$1523)+1)</f>
        <v>0</v>
      </c>
    </row>
    <row r="1525" spans="1:15">
      <c r="A1525" s="2">
        <f>'[01_Entry.xlsx]Book'!A1525</f>
        <v/>
      </c>
      <c r="B1525" s="2">
        <f>'[01_Entry.xlsx]Book'!B1525</f>
        <v/>
      </c>
      <c r="C1525" s="2">
        <f>'[01_Entry.xlsx]Book'!D1525</f>
        <v/>
      </c>
      <c r="D1525" s="2">
        <f>'[01_Entry.xlsx]Book'!E1525</f>
        <v/>
      </c>
      <c r="E1525" s="2">
        <f>'[01_Entry.xlsx]Book'!O1525</f>
        <v/>
      </c>
      <c r="F1525" s="2">
        <f>'[01_Entry.xlsx]Book'!N1525</f>
        <v/>
      </c>
      <c r="G1525" s="3">
        <f>'[01_Entry.xlsx]Book'!L1525</f>
        <v/>
      </c>
      <c r="H1525" s="3">
        <f>'[01_Entry.xlsx]Book'!M1525</f>
        <v/>
      </c>
      <c r="I1525" s="3">
        <f>'[01_Entry.xlsx]Book'!K1525</f>
        <v/>
      </c>
      <c r="J1525" s="3">
        <f>'[01_Entry.xlsx]Book'!P1525</f>
        <v/>
      </c>
      <c r="K1525" s="3">
        <f>'[01_Entry.xlsx]Book'!F1525</f>
        <v/>
      </c>
      <c r="L1525" s="3">
        <f>'[01_Entry.xlsx]Book'!G1525</f>
        <v/>
      </c>
      <c r="M1525" s="3">
        <f>'[01_Entry.xlsx]Book'!I1525</f>
        <v/>
      </c>
      <c r="N1525" s="2">
        <f>IF($A1525="","",MID($A1525,6,2))</f>
        <v>0</v>
      </c>
      <c r="O1525" s="2">
        <f>IF(OR($C1525="",$C1525&lt;&gt;'Inv'!$D$12),"",N(O$1524)+1)</f>
        <v>0</v>
      </c>
    </row>
    <row r="1526" spans="1:15">
      <c r="A1526" s="2">
        <f>'[01_Entry.xlsx]Book'!A1526</f>
        <v/>
      </c>
      <c r="B1526" s="2">
        <f>'[01_Entry.xlsx]Book'!B1526</f>
        <v/>
      </c>
      <c r="C1526" s="2">
        <f>'[01_Entry.xlsx]Book'!D1526</f>
        <v/>
      </c>
      <c r="D1526" s="2">
        <f>'[01_Entry.xlsx]Book'!E1526</f>
        <v/>
      </c>
      <c r="E1526" s="2">
        <f>'[01_Entry.xlsx]Book'!O1526</f>
        <v/>
      </c>
      <c r="F1526" s="2">
        <f>'[01_Entry.xlsx]Book'!N1526</f>
        <v/>
      </c>
      <c r="G1526" s="3">
        <f>'[01_Entry.xlsx]Book'!L1526</f>
        <v/>
      </c>
      <c r="H1526" s="3">
        <f>'[01_Entry.xlsx]Book'!M1526</f>
        <v/>
      </c>
      <c r="I1526" s="3">
        <f>'[01_Entry.xlsx]Book'!K1526</f>
        <v/>
      </c>
      <c r="J1526" s="3">
        <f>'[01_Entry.xlsx]Book'!P1526</f>
        <v/>
      </c>
      <c r="K1526" s="3">
        <f>'[01_Entry.xlsx]Book'!F1526</f>
        <v/>
      </c>
      <c r="L1526" s="3">
        <f>'[01_Entry.xlsx]Book'!G1526</f>
        <v/>
      </c>
      <c r="M1526" s="3">
        <f>'[01_Entry.xlsx]Book'!I1526</f>
        <v/>
      </c>
      <c r="N1526" s="2">
        <f>IF($A1526="","",MID($A1526,6,2))</f>
        <v>0</v>
      </c>
      <c r="O1526" s="2">
        <f>IF(OR($C1526="",$C1526&lt;&gt;'Inv'!$D$12),"",N(O$1525)+1)</f>
        <v>0</v>
      </c>
    </row>
    <row r="1527" spans="1:15">
      <c r="A1527" s="2">
        <f>'[01_Entry.xlsx]Book'!A1527</f>
        <v/>
      </c>
      <c r="B1527" s="2">
        <f>'[01_Entry.xlsx]Book'!B1527</f>
        <v/>
      </c>
      <c r="C1527" s="2">
        <f>'[01_Entry.xlsx]Book'!D1527</f>
        <v/>
      </c>
      <c r="D1527" s="2">
        <f>'[01_Entry.xlsx]Book'!E1527</f>
        <v/>
      </c>
      <c r="E1527" s="2">
        <f>'[01_Entry.xlsx]Book'!O1527</f>
        <v/>
      </c>
      <c r="F1527" s="2">
        <f>'[01_Entry.xlsx]Book'!N1527</f>
        <v/>
      </c>
      <c r="G1527" s="3">
        <f>'[01_Entry.xlsx]Book'!L1527</f>
        <v/>
      </c>
      <c r="H1527" s="3">
        <f>'[01_Entry.xlsx]Book'!M1527</f>
        <v/>
      </c>
      <c r="I1527" s="3">
        <f>'[01_Entry.xlsx]Book'!K1527</f>
        <v/>
      </c>
      <c r="J1527" s="3">
        <f>'[01_Entry.xlsx]Book'!P1527</f>
        <v/>
      </c>
      <c r="K1527" s="3">
        <f>'[01_Entry.xlsx]Book'!F1527</f>
        <v/>
      </c>
      <c r="L1527" s="3">
        <f>'[01_Entry.xlsx]Book'!G1527</f>
        <v/>
      </c>
      <c r="M1527" s="3">
        <f>'[01_Entry.xlsx]Book'!I1527</f>
        <v/>
      </c>
      <c r="N1527" s="2">
        <f>IF($A1527="","",MID($A1527,6,2))</f>
        <v>0</v>
      </c>
      <c r="O1527" s="2">
        <f>IF(OR($C1527="",$C1527&lt;&gt;'Inv'!$D$12),"",N(O$1526)+1)</f>
        <v>0</v>
      </c>
    </row>
    <row r="1528" spans="1:15">
      <c r="A1528" s="2">
        <f>'[01_Entry.xlsx]Book'!A1528</f>
        <v/>
      </c>
      <c r="B1528" s="2">
        <f>'[01_Entry.xlsx]Book'!B1528</f>
        <v/>
      </c>
      <c r="C1528" s="2">
        <f>'[01_Entry.xlsx]Book'!D1528</f>
        <v/>
      </c>
      <c r="D1528" s="2">
        <f>'[01_Entry.xlsx]Book'!E1528</f>
        <v/>
      </c>
      <c r="E1528" s="2">
        <f>'[01_Entry.xlsx]Book'!O1528</f>
        <v/>
      </c>
      <c r="F1528" s="2">
        <f>'[01_Entry.xlsx]Book'!N1528</f>
        <v/>
      </c>
      <c r="G1528" s="3">
        <f>'[01_Entry.xlsx]Book'!L1528</f>
        <v/>
      </c>
      <c r="H1528" s="3">
        <f>'[01_Entry.xlsx]Book'!M1528</f>
        <v/>
      </c>
      <c r="I1528" s="3">
        <f>'[01_Entry.xlsx]Book'!K1528</f>
        <v/>
      </c>
      <c r="J1528" s="3">
        <f>'[01_Entry.xlsx]Book'!P1528</f>
        <v/>
      </c>
      <c r="K1528" s="3">
        <f>'[01_Entry.xlsx]Book'!F1528</f>
        <v/>
      </c>
      <c r="L1528" s="3">
        <f>'[01_Entry.xlsx]Book'!G1528</f>
        <v/>
      </c>
      <c r="M1528" s="3">
        <f>'[01_Entry.xlsx]Book'!I1528</f>
        <v/>
      </c>
      <c r="N1528" s="2">
        <f>IF($A1528="","",MID($A1528,6,2))</f>
        <v>0</v>
      </c>
      <c r="O1528" s="2">
        <f>IF(OR($C1528="",$C1528&lt;&gt;'Inv'!$D$12),"",N(O$1527)+1)</f>
        <v>0</v>
      </c>
    </row>
    <row r="1529" spans="1:15">
      <c r="A1529" s="2">
        <f>'[01_Entry.xlsx]Book'!A1529</f>
        <v/>
      </c>
      <c r="B1529" s="2">
        <f>'[01_Entry.xlsx]Book'!B1529</f>
        <v/>
      </c>
      <c r="C1529" s="2">
        <f>'[01_Entry.xlsx]Book'!D1529</f>
        <v/>
      </c>
      <c r="D1529" s="2">
        <f>'[01_Entry.xlsx]Book'!E1529</f>
        <v/>
      </c>
      <c r="E1529" s="2">
        <f>'[01_Entry.xlsx]Book'!O1529</f>
        <v/>
      </c>
      <c r="F1529" s="2">
        <f>'[01_Entry.xlsx]Book'!N1529</f>
        <v/>
      </c>
      <c r="G1529" s="3">
        <f>'[01_Entry.xlsx]Book'!L1529</f>
        <v/>
      </c>
      <c r="H1529" s="3">
        <f>'[01_Entry.xlsx]Book'!M1529</f>
        <v/>
      </c>
      <c r="I1529" s="3">
        <f>'[01_Entry.xlsx]Book'!K1529</f>
        <v/>
      </c>
      <c r="J1529" s="3">
        <f>'[01_Entry.xlsx]Book'!P1529</f>
        <v/>
      </c>
      <c r="K1529" s="3">
        <f>'[01_Entry.xlsx]Book'!F1529</f>
        <v/>
      </c>
      <c r="L1529" s="3">
        <f>'[01_Entry.xlsx]Book'!G1529</f>
        <v/>
      </c>
      <c r="M1529" s="3">
        <f>'[01_Entry.xlsx]Book'!I1529</f>
        <v/>
      </c>
      <c r="N1529" s="2">
        <f>IF($A1529="","",MID($A1529,6,2))</f>
        <v>0</v>
      </c>
      <c r="O1529" s="2">
        <f>IF(OR($C1529="",$C1529&lt;&gt;'Inv'!$D$12),"",N(O$1528)+1)</f>
        <v>0</v>
      </c>
    </row>
    <row r="1530" spans="1:15">
      <c r="A1530" s="2">
        <f>'[01_Entry.xlsx]Book'!A1530</f>
        <v/>
      </c>
      <c r="B1530" s="2">
        <f>'[01_Entry.xlsx]Book'!B1530</f>
        <v/>
      </c>
      <c r="C1530" s="2">
        <f>'[01_Entry.xlsx]Book'!D1530</f>
        <v/>
      </c>
      <c r="D1530" s="2">
        <f>'[01_Entry.xlsx]Book'!E1530</f>
        <v/>
      </c>
      <c r="E1530" s="2">
        <f>'[01_Entry.xlsx]Book'!O1530</f>
        <v/>
      </c>
      <c r="F1530" s="2">
        <f>'[01_Entry.xlsx]Book'!N1530</f>
        <v/>
      </c>
      <c r="G1530" s="3">
        <f>'[01_Entry.xlsx]Book'!L1530</f>
        <v/>
      </c>
      <c r="H1530" s="3">
        <f>'[01_Entry.xlsx]Book'!M1530</f>
        <v/>
      </c>
      <c r="I1530" s="3">
        <f>'[01_Entry.xlsx]Book'!K1530</f>
        <v/>
      </c>
      <c r="J1530" s="3">
        <f>'[01_Entry.xlsx]Book'!P1530</f>
        <v/>
      </c>
      <c r="K1530" s="3">
        <f>'[01_Entry.xlsx]Book'!F1530</f>
        <v/>
      </c>
      <c r="L1530" s="3">
        <f>'[01_Entry.xlsx]Book'!G1530</f>
        <v/>
      </c>
      <c r="M1530" s="3">
        <f>'[01_Entry.xlsx]Book'!I1530</f>
        <v/>
      </c>
      <c r="N1530" s="2">
        <f>IF($A1530="","",MID($A1530,6,2))</f>
        <v>0</v>
      </c>
      <c r="O1530" s="2">
        <f>IF(OR($C1530="",$C1530&lt;&gt;'Inv'!$D$12),"",N(O$1529)+1)</f>
        <v>0</v>
      </c>
    </row>
    <row r="1531" spans="1:15">
      <c r="A1531" s="2">
        <f>'[01_Entry.xlsx]Book'!A1531</f>
        <v/>
      </c>
      <c r="B1531" s="2">
        <f>'[01_Entry.xlsx]Book'!B1531</f>
        <v/>
      </c>
      <c r="C1531" s="2">
        <f>'[01_Entry.xlsx]Book'!D1531</f>
        <v/>
      </c>
      <c r="D1531" s="2">
        <f>'[01_Entry.xlsx]Book'!E1531</f>
        <v/>
      </c>
      <c r="E1531" s="2">
        <f>'[01_Entry.xlsx]Book'!O1531</f>
        <v/>
      </c>
      <c r="F1531" s="2">
        <f>'[01_Entry.xlsx]Book'!N1531</f>
        <v/>
      </c>
      <c r="G1531" s="3">
        <f>'[01_Entry.xlsx]Book'!L1531</f>
        <v/>
      </c>
      <c r="H1531" s="3">
        <f>'[01_Entry.xlsx]Book'!M1531</f>
        <v/>
      </c>
      <c r="I1531" s="3">
        <f>'[01_Entry.xlsx]Book'!K1531</f>
        <v/>
      </c>
      <c r="J1531" s="3">
        <f>'[01_Entry.xlsx]Book'!P1531</f>
        <v/>
      </c>
      <c r="K1531" s="3">
        <f>'[01_Entry.xlsx]Book'!F1531</f>
        <v/>
      </c>
      <c r="L1531" s="3">
        <f>'[01_Entry.xlsx]Book'!G1531</f>
        <v/>
      </c>
      <c r="M1531" s="3">
        <f>'[01_Entry.xlsx]Book'!I1531</f>
        <v/>
      </c>
      <c r="N1531" s="2">
        <f>IF($A1531="","",MID($A1531,6,2))</f>
        <v>0</v>
      </c>
      <c r="O1531" s="2">
        <f>IF(OR($C1531="",$C1531&lt;&gt;'Inv'!$D$12),"",N(O$1530)+1)</f>
        <v>0</v>
      </c>
    </row>
    <row r="1532" spans="1:15">
      <c r="A1532" s="2">
        <f>'[01_Entry.xlsx]Book'!A1532</f>
        <v/>
      </c>
      <c r="B1532" s="2">
        <f>'[01_Entry.xlsx]Book'!B1532</f>
        <v/>
      </c>
      <c r="C1532" s="2">
        <f>'[01_Entry.xlsx]Book'!D1532</f>
        <v/>
      </c>
      <c r="D1532" s="2">
        <f>'[01_Entry.xlsx]Book'!E1532</f>
        <v/>
      </c>
      <c r="E1532" s="2">
        <f>'[01_Entry.xlsx]Book'!O1532</f>
        <v/>
      </c>
      <c r="F1532" s="2">
        <f>'[01_Entry.xlsx]Book'!N1532</f>
        <v/>
      </c>
      <c r="G1532" s="3">
        <f>'[01_Entry.xlsx]Book'!L1532</f>
        <v/>
      </c>
      <c r="H1532" s="3">
        <f>'[01_Entry.xlsx]Book'!M1532</f>
        <v/>
      </c>
      <c r="I1532" s="3">
        <f>'[01_Entry.xlsx]Book'!K1532</f>
        <v/>
      </c>
      <c r="J1532" s="3">
        <f>'[01_Entry.xlsx]Book'!P1532</f>
        <v/>
      </c>
      <c r="K1532" s="3">
        <f>'[01_Entry.xlsx]Book'!F1532</f>
        <v/>
      </c>
      <c r="L1532" s="3">
        <f>'[01_Entry.xlsx]Book'!G1532</f>
        <v/>
      </c>
      <c r="M1532" s="3">
        <f>'[01_Entry.xlsx]Book'!I1532</f>
        <v/>
      </c>
      <c r="N1532" s="2">
        <f>IF($A1532="","",MID($A1532,6,2))</f>
        <v>0</v>
      </c>
      <c r="O1532" s="2">
        <f>IF(OR($C1532="",$C1532&lt;&gt;'Inv'!$D$12),"",N(O$1531)+1)</f>
        <v>0</v>
      </c>
    </row>
    <row r="1533" spans="1:15">
      <c r="A1533" s="2">
        <f>'[01_Entry.xlsx]Book'!A1533</f>
        <v/>
      </c>
      <c r="B1533" s="2">
        <f>'[01_Entry.xlsx]Book'!B1533</f>
        <v/>
      </c>
      <c r="C1533" s="2">
        <f>'[01_Entry.xlsx]Book'!D1533</f>
        <v/>
      </c>
      <c r="D1533" s="2">
        <f>'[01_Entry.xlsx]Book'!E1533</f>
        <v/>
      </c>
      <c r="E1533" s="2">
        <f>'[01_Entry.xlsx]Book'!O1533</f>
        <v/>
      </c>
      <c r="F1533" s="2">
        <f>'[01_Entry.xlsx]Book'!N1533</f>
        <v/>
      </c>
      <c r="G1533" s="3">
        <f>'[01_Entry.xlsx]Book'!L1533</f>
        <v/>
      </c>
      <c r="H1533" s="3">
        <f>'[01_Entry.xlsx]Book'!M1533</f>
        <v/>
      </c>
      <c r="I1533" s="3">
        <f>'[01_Entry.xlsx]Book'!K1533</f>
        <v/>
      </c>
      <c r="J1533" s="3">
        <f>'[01_Entry.xlsx]Book'!P1533</f>
        <v/>
      </c>
      <c r="K1533" s="3">
        <f>'[01_Entry.xlsx]Book'!F1533</f>
        <v/>
      </c>
      <c r="L1533" s="3">
        <f>'[01_Entry.xlsx]Book'!G1533</f>
        <v/>
      </c>
      <c r="M1533" s="3">
        <f>'[01_Entry.xlsx]Book'!I1533</f>
        <v/>
      </c>
      <c r="N1533" s="2">
        <f>IF($A1533="","",MID($A1533,6,2))</f>
        <v>0</v>
      </c>
      <c r="O1533" s="2">
        <f>IF(OR($C1533="",$C1533&lt;&gt;'Inv'!$D$12),"",N(O$1532)+1)</f>
        <v>0</v>
      </c>
    </row>
    <row r="1534" spans="1:15">
      <c r="A1534" s="2">
        <f>'[01_Entry.xlsx]Book'!A1534</f>
        <v/>
      </c>
      <c r="B1534" s="2">
        <f>'[01_Entry.xlsx]Book'!B1534</f>
        <v/>
      </c>
      <c r="C1534" s="2">
        <f>'[01_Entry.xlsx]Book'!D1534</f>
        <v/>
      </c>
      <c r="D1534" s="2">
        <f>'[01_Entry.xlsx]Book'!E1534</f>
        <v/>
      </c>
      <c r="E1534" s="2">
        <f>'[01_Entry.xlsx]Book'!O1534</f>
        <v/>
      </c>
      <c r="F1534" s="2">
        <f>'[01_Entry.xlsx]Book'!N1534</f>
        <v/>
      </c>
      <c r="G1534" s="3">
        <f>'[01_Entry.xlsx]Book'!L1534</f>
        <v/>
      </c>
      <c r="H1534" s="3">
        <f>'[01_Entry.xlsx]Book'!M1534</f>
        <v/>
      </c>
      <c r="I1534" s="3">
        <f>'[01_Entry.xlsx]Book'!K1534</f>
        <v/>
      </c>
      <c r="J1534" s="3">
        <f>'[01_Entry.xlsx]Book'!P1534</f>
        <v/>
      </c>
      <c r="K1534" s="3">
        <f>'[01_Entry.xlsx]Book'!F1534</f>
        <v/>
      </c>
      <c r="L1534" s="3">
        <f>'[01_Entry.xlsx]Book'!G1534</f>
        <v/>
      </c>
      <c r="M1534" s="3">
        <f>'[01_Entry.xlsx]Book'!I1534</f>
        <v/>
      </c>
      <c r="N1534" s="2">
        <f>IF($A1534="","",MID($A1534,6,2))</f>
        <v>0</v>
      </c>
      <c r="O1534" s="2">
        <f>IF(OR($C1534="",$C1534&lt;&gt;'Inv'!$D$12),"",N(O$1533)+1)</f>
        <v>0</v>
      </c>
    </row>
    <row r="1535" spans="1:15">
      <c r="A1535" s="2">
        <f>'[01_Entry.xlsx]Book'!A1535</f>
        <v/>
      </c>
      <c r="B1535" s="2">
        <f>'[01_Entry.xlsx]Book'!B1535</f>
        <v/>
      </c>
      <c r="C1535" s="2">
        <f>'[01_Entry.xlsx]Book'!D1535</f>
        <v/>
      </c>
      <c r="D1535" s="2">
        <f>'[01_Entry.xlsx]Book'!E1535</f>
        <v/>
      </c>
      <c r="E1535" s="2">
        <f>'[01_Entry.xlsx]Book'!O1535</f>
        <v/>
      </c>
      <c r="F1535" s="2">
        <f>'[01_Entry.xlsx]Book'!N1535</f>
        <v/>
      </c>
      <c r="G1535" s="3">
        <f>'[01_Entry.xlsx]Book'!L1535</f>
        <v/>
      </c>
      <c r="H1535" s="3">
        <f>'[01_Entry.xlsx]Book'!M1535</f>
        <v/>
      </c>
      <c r="I1535" s="3">
        <f>'[01_Entry.xlsx]Book'!K1535</f>
        <v/>
      </c>
      <c r="J1535" s="3">
        <f>'[01_Entry.xlsx]Book'!P1535</f>
        <v/>
      </c>
      <c r="K1535" s="3">
        <f>'[01_Entry.xlsx]Book'!F1535</f>
        <v/>
      </c>
      <c r="L1535" s="3">
        <f>'[01_Entry.xlsx]Book'!G1535</f>
        <v/>
      </c>
      <c r="M1535" s="3">
        <f>'[01_Entry.xlsx]Book'!I1535</f>
        <v/>
      </c>
      <c r="N1535" s="2">
        <f>IF($A1535="","",MID($A1535,6,2))</f>
        <v>0</v>
      </c>
      <c r="O1535" s="2">
        <f>IF(OR($C1535="",$C1535&lt;&gt;'Inv'!$D$12),"",N(O$1534)+1)</f>
        <v>0</v>
      </c>
    </row>
    <row r="1536" spans="1:15">
      <c r="A1536" s="2">
        <f>'[01_Entry.xlsx]Book'!A1536</f>
        <v/>
      </c>
      <c r="B1536" s="2">
        <f>'[01_Entry.xlsx]Book'!B1536</f>
        <v/>
      </c>
      <c r="C1536" s="2">
        <f>'[01_Entry.xlsx]Book'!D1536</f>
        <v/>
      </c>
      <c r="D1536" s="2">
        <f>'[01_Entry.xlsx]Book'!E1536</f>
        <v/>
      </c>
      <c r="E1536" s="2">
        <f>'[01_Entry.xlsx]Book'!O1536</f>
        <v/>
      </c>
      <c r="F1536" s="2">
        <f>'[01_Entry.xlsx]Book'!N1536</f>
        <v/>
      </c>
      <c r="G1536" s="3">
        <f>'[01_Entry.xlsx]Book'!L1536</f>
        <v/>
      </c>
      <c r="H1536" s="3">
        <f>'[01_Entry.xlsx]Book'!M1536</f>
        <v/>
      </c>
      <c r="I1536" s="3">
        <f>'[01_Entry.xlsx]Book'!K1536</f>
        <v/>
      </c>
      <c r="J1536" s="3">
        <f>'[01_Entry.xlsx]Book'!P1536</f>
        <v/>
      </c>
      <c r="K1536" s="3">
        <f>'[01_Entry.xlsx]Book'!F1536</f>
        <v/>
      </c>
      <c r="L1536" s="3">
        <f>'[01_Entry.xlsx]Book'!G1536</f>
        <v/>
      </c>
      <c r="M1536" s="3">
        <f>'[01_Entry.xlsx]Book'!I1536</f>
        <v/>
      </c>
      <c r="N1536" s="2">
        <f>IF($A1536="","",MID($A1536,6,2))</f>
        <v>0</v>
      </c>
      <c r="O1536" s="2">
        <f>IF(OR($C1536="",$C1536&lt;&gt;'Inv'!$D$12),"",N(O$1535)+1)</f>
        <v>0</v>
      </c>
    </row>
    <row r="1537" spans="1:15">
      <c r="A1537" s="2">
        <f>'[01_Entry.xlsx]Book'!A1537</f>
        <v/>
      </c>
      <c r="B1537" s="2">
        <f>'[01_Entry.xlsx]Book'!B1537</f>
        <v/>
      </c>
      <c r="C1537" s="2">
        <f>'[01_Entry.xlsx]Book'!D1537</f>
        <v/>
      </c>
      <c r="D1537" s="2">
        <f>'[01_Entry.xlsx]Book'!E1537</f>
        <v/>
      </c>
      <c r="E1537" s="2">
        <f>'[01_Entry.xlsx]Book'!O1537</f>
        <v/>
      </c>
      <c r="F1537" s="2">
        <f>'[01_Entry.xlsx]Book'!N1537</f>
        <v/>
      </c>
      <c r="G1537" s="3">
        <f>'[01_Entry.xlsx]Book'!L1537</f>
        <v/>
      </c>
      <c r="H1537" s="3">
        <f>'[01_Entry.xlsx]Book'!M1537</f>
        <v/>
      </c>
      <c r="I1537" s="3">
        <f>'[01_Entry.xlsx]Book'!K1537</f>
        <v/>
      </c>
      <c r="J1537" s="3">
        <f>'[01_Entry.xlsx]Book'!P1537</f>
        <v/>
      </c>
      <c r="K1537" s="3">
        <f>'[01_Entry.xlsx]Book'!F1537</f>
        <v/>
      </c>
      <c r="L1537" s="3">
        <f>'[01_Entry.xlsx]Book'!G1537</f>
        <v/>
      </c>
      <c r="M1537" s="3">
        <f>'[01_Entry.xlsx]Book'!I1537</f>
        <v/>
      </c>
      <c r="N1537" s="2">
        <f>IF($A1537="","",MID($A1537,6,2))</f>
        <v>0</v>
      </c>
      <c r="O1537" s="2">
        <f>IF(OR($C1537="",$C1537&lt;&gt;'Inv'!$D$12),"",N(O$1536)+1)</f>
        <v>0</v>
      </c>
    </row>
    <row r="1538" spans="1:15">
      <c r="A1538" s="2">
        <f>'[01_Entry.xlsx]Book'!A1538</f>
        <v/>
      </c>
      <c r="B1538" s="2">
        <f>'[01_Entry.xlsx]Book'!B1538</f>
        <v/>
      </c>
      <c r="C1538" s="2">
        <f>'[01_Entry.xlsx]Book'!D1538</f>
        <v/>
      </c>
      <c r="D1538" s="2">
        <f>'[01_Entry.xlsx]Book'!E1538</f>
        <v/>
      </c>
      <c r="E1538" s="2">
        <f>'[01_Entry.xlsx]Book'!O1538</f>
        <v/>
      </c>
      <c r="F1538" s="2">
        <f>'[01_Entry.xlsx]Book'!N1538</f>
        <v/>
      </c>
      <c r="G1538" s="3">
        <f>'[01_Entry.xlsx]Book'!L1538</f>
        <v/>
      </c>
      <c r="H1538" s="3">
        <f>'[01_Entry.xlsx]Book'!M1538</f>
        <v/>
      </c>
      <c r="I1538" s="3">
        <f>'[01_Entry.xlsx]Book'!K1538</f>
        <v/>
      </c>
      <c r="J1538" s="3">
        <f>'[01_Entry.xlsx]Book'!P1538</f>
        <v/>
      </c>
      <c r="K1538" s="3">
        <f>'[01_Entry.xlsx]Book'!F1538</f>
        <v/>
      </c>
      <c r="L1538" s="3">
        <f>'[01_Entry.xlsx]Book'!G1538</f>
        <v/>
      </c>
      <c r="M1538" s="3">
        <f>'[01_Entry.xlsx]Book'!I1538</f>
        <v/>
      </c>
      <c r="N1538" s="2">
        <f>IF($A1538="","",MID($A1538,6,2))</f>
        <v>0</v>
      </c>
      <c r="O1538" s="2">
        <f>IF(OR($C1538="",$C1538&lt;&gt;'Inv'!$D$12),"",N(O$1537)+1)</f>
        <v>0</v>
      </c>
    </row>
    <row r="1539" spans="1:15">
      <c r="A1539" s="2">
        <f>'[01_Entry.xlsx]Book'!A1539</f>
        <v/>
      </c>
      <c r="B1539" s="2">
        <f>'[01_Entry.xlsx]Book'!B1539</f>
        <v/>
      </c>
      <c r="C1539" s="2">
        <f>'[01_Entry.xlsx]Book'!D1539</f>
        <v/>
      </c>
      <c r="D1539" s="2">
        <f>'[01_Entry.xlsx]Book'!E1539</f>
        <v/>
      </c>
      <c r="E1539" s="2">
        <f>'[01_Entry.xlsx]Book'!O1539</f>
        <v/>
      </c>
      <c r="F1539" s="2">
        <f>'[01_Entry.xlsx]Book'!N1539</f>
        <v/>
      </c>
      <c r="G1539" s="3">
        <f>'[01_Entry.xlsx]Book'!L1539</f>
        <v/>
      </c>
      <c r="H1539" s="3">
        <f>'[01_Entry.xlsx]Book'!M1539</f>
        <v/>
      </c>
      <c r="I1539" s="3">
        <f>'[01_Entry.xlsx]Book'!K1539</f>
        <v/>
      </c>
      <c r="J1539" s="3">
        <f>'[01_Entry.xlsx]Book'!P1539</f>
        <v/>
      </c>
      <c r="K1539" s="3">
        <f>'[01_Entry.xlsx]Book'!F1539</f>
        <v/>
      </c>
      <c r="L1539" s="3">
        <f>'[01_Entry.xlsx]Book'!G1539</f>
        <v/>
      </c>
      <c r="M1539" s="3">
        <f>'[01_Entry.xlsx]Book'!I1539</f>
        <v/>
      </c>
      <c r="N1539" s="2">
        <f>IF($A1539="","",MID($A1539,6,2))</f>
        <v>0</v>
      </c>
      <c r="O1539" s="2">
        <f>IF(OR($C1539="",$C1539&lt;&gt;'Inv'!$D$12),"",N(O$1538)+1)</f>
        <v>0</v>
      </c>
    </row>
    <row r="1540" spans="1:15">
      <c r="A1540" s="2">
        <f>'[01_Entry.xlsx]Book'!A1540</f>
        <v/>
      </c>
      <c r="B1540" s="2">
        <f>'[01_Entry.xlsx]Book'!B1540</f>
        <v/>
      </c>
      <c r="C1540" s="2">
        <f>'[01_Entry.xlsx]Book'!D1540</f>
        <v/>
      </c>
      <c r="D1540" s="2">
        <f>'[01_Entry.xlsx]Book'!E1540</f>
        <v/>
      </c>
      <c r="E1540" s="2">
        <f>'[01_Entry.xlsx]Book'!O1540</f>
        <v/>
      </c>
      <c r="F1540" s="2">
        <f>'[01_Entry.xlsx]Book'!N1540</f>
        <v/>
      </c>
      <c r="G1540" s="3">
        <f>'[01_Entry.xlsx]Book'!L1540</f>
        <v/>
      </c>
      <c r="H1540" s="3">
        <f>'[01_Entry.xlsx]Book'!M1540</f>
        <v/>
      </c>
      <c r="I1540" s="3">
        <f>'[01_Entry.xlsx]Book'!K1540</f>
        <v/>
      </c>
      <c r="J1540" s="3">
        <f>'[01_Entry.xlsx]Book'!P1540</f>
        <v/>
      </c>
      <c r="K1540" s="3">
        <f>'[01_Entry.xlsx]Book'!F1540</f>
        <v/>
      </c>
      <c r="L1540" s="3">
        <f>'[01_Entry.xlsx]Book'!G1540</f>
        <v/>
      </c>
      <c r="M1540" s="3">
        <f>'[01_Entry.xlsx]Book'!I1540</f>
        <v/>
      </c>
      <c r="N1540" s="2">
        <f>IF($A1540="","",MID($A1540,6,2))</f>
        <v>0</v>
      </c>
      <c r="O1540" s="2">
        <f>IF(OR($C1540="",$C1540&lt;&gt;'Inv'!$D$12),"",N(O$1539)+1)</f>
        <v>0</v>
      </c>
    </row>
    <row r="1541" spans="1:15">
      <c r="A1541" s="2">
        <f>'[01_Entry.xlsx]Book'!A1541</f>
        <v/>
      </c>
      <c r="B1541" s="2">
        <f>'[01_Entry.xlsx]Book'!B1541</f>
        <v/>
      </c>
      <c r="C1541" s="2">
        <f>'[01_Entry.xlsx]Book'!D1541</f>
        <v/>
      </c>
      <c r="D1541" s="2">
        <f>'[01_Entry.xlsx]Book'!E1541</f>
        <v/>
      </c>
      <c r="E1541" s="2">
        <f>'[01_Entry.xlsx]Book'!O1541</f>
        <v/>
      </c>
      <c r="F1541" s="2">
        <f>'[01_Entry.xlsx]Book'!N1541</f>
        <v/>
      </c>
      <c r="G1541" s="3">
        <f>'[01_Entry.xlsx]Book'!L1541</f>
        <v/>
      </c>
      <c r="H1541" s="3">
        <f>'[01_Entry.xlsx]Book'!M1541</f>
        <v/>
      </c>
      <c r="I1541" s="3">
        <f>'[01_Entry.xlsx]Book'!K1541</f>
        <v/>
      </c>
      <c r="J1541" s="3">
        <f>'[01_Entry.xlsx]Book'!P1541</f>
        <v/>
      </c>
      <c r="K1541" s="3">
        <f>'[01_Entry.xlsx]Book'!F1541</f>
        <v/>
      </c>
      <c r="L1541" s="3">
        <f>'[01_Entry.xlsx]Book'!G1541</f>
        <v/>
      </c>
      <c r="M1541" s="3">
        <f>'[01_Entry.xlsx]Book'!I1541</f>
        <v/>
      </c>
      <c r="N1541" s="2">
        <f>IF($A1541="","",MID($A1541,6,2))</f>
        <v>0</v>
      </c>
      <c r="O1541" s="2">
        <f>IF(OR($C1541="",$C1541&lt;&gt;'Inv'!$D$12),"",N(O$1540)+1)</f>
        <v>0</v>
      </c>
    </row>
    <row r="1542" spans="1:15">
      <c r="A1542" s="2">
        <f>'[01_Entry.xlsx]Book'!A1542</f>
        <v/>
      </c>
      <c r="B1542" s="2">
        <f>'[01_Entry.xlsx]Book'!B1542</f>
        <v/>
      </c>
      <c r="C1542" s="2">
        <f>'[01_Entry.xlsx]Book'!D1542</f>
        <v/>
      </c>
      <c r="D1542" s="2">
        <f>'[01_Entry.xlsx]Book'!E1542</f>
        <v/>
      </c>
      <c r="E1542" s="2">
        <f>'[01_Entry.xlsx]Book'!O1542</f>
        <v/>
      </c>
      <c r="F1542" s="2">
        <f>'[01_Entry.xlsx]Book'!N1542</f>
        <v/>
      </c>
      <c r="G1542" s="3">
        <f>'[01_Entry.xlsx]Book'!L1542</f>
        <v/>
      </c>
      <c r="H1542" s="3">
        <f>'[01_Entry.xlsx]Book'!M1542</f>
        <v/>
      </c>
      <c r="I1542" s="3">
        <f>'[01_Entry.xlsx]Book'!K1542</f>
        <v/>
      </c>
      <c r="J1542" s="3">
        <f>'[01_Entry.xlsx]Book'!P1542</f>
        <v/>
      </c>
      <c r="K1542" s="3">
        <f>'[01_Entry.xlsx]Book'!F1542</f>
        <v/>
      </c>
      <c r="L1542" s="3">
        <f>'[01_Entry.xlsx]Book'!G1542</f>
        <v/>
      </c>
      <c r="M1542" s="3">
        <f>'[01_Entry.xlsx]Book'!I1542</f>
        <v/>
      </c>
      <c r="N1542" s="2">
        <f>IF($A1542="","",MID($A1542,6,2))</f>
        <v>0</v>
      </c>
      <c r="O1542" s="2">
        <f>IF(OR($C1542="",$C1542&lt;&gt;'Inv'!$D$12),"",N(O$1541)+1)</f>
        <v>0</v>
      </c>
    </row>
    <row r="1543" spans="1:15">
      <c r="A1543" s="2">
        <f>'[01_Entry.xlsx]Book'!A1543</f>
        <v/>
      </c>
      <c r="B1543" s="2">
        <f>'[01_Entry.xlsx]Book'!B1543</f>
        <v/>
      </c>
      <c r="C1543" s="2">
        <f>'[01_Entry.xlsx]Book'!D1543</f>
        <v/>
      </c>
      <c r="D1543" s="2">
        <f>'[01_Entry.xlsx]Book'!E1543</f>
        <v/>
      </c>
      <c r="E1543" s="2">
        <f>'[01_Entry.xlsx]Book'!O1543</f>
        <v/>
      </c>
      <c r="F1543" s="2">
        <f>'[01_Entry.xlsx]Book'!N1543</f>
        <v/>
      </c>
      <c r="G1543" s="3">
        <f>'[01_Entry.xlsx]Book'!L1543</f>
        <v/>
      </c>
      <c r="H1543" s="3">
        <f>'[01_Entry.xlsx]Book'!M1543</f>
        <v/>
      </c>
      <c r="I1543" s="3">
        <f>'[01_Entry.xlsx]Book'!K1543</f>
        <v/>
      </c>
      <c r="J1543" s="3">
        <f>'[01_Entry.xlsx]Book'!P1543</f>
        <v/>
      </c>
      <c r="K1543" s="3">
        <f>'[01_Entry.xlsx]Book'!F1543</f>
        <v/>
      </c>
      <c r="L1543" s="3">
        <f>'[01_Entry.xlsx]Book'!G1543</f>
        <v/>
      </c>
      <c r="M1543" s="3">
        <f>'[01_Entry.xlsx]Book'!I1543</f>
        <v/>
      </c>
      <c r="N1543" s="2">
        <f>IF($A1543="","",MID($A1543,6,2))</f>
        <v>0</v>
      </c>
      <c r="O1543" s="2">
        <f>IF(OR($C1543="",$C1543&lt;&gt;'Inv'!$D$12),"",N(O$1542)+1)</f>
        <v>0</v>
      </c>
    </row>
    <row r="1544" spans="1:15">
      <c r="A1544" s="2">
        <f>'[01_Entry.xlsx]Book'!A1544</f>
        <v/>
      </c>
      <c r="B1544" s="2">
        <f>'[01_Entry.xlsx]Book'!B1544</f>
        <v/>
      </c>
      <c r="C1544" s="2">
        <f>'[01_Entry.xlsx]Book'!D1544</f>
        <v/>
      </c>
      <c r="D1544" s="2">
        <f>'[01_Entry.xlsx]Book'!E1544</f>
        <v/>
      </c>
      <c r="E1544" s="2">
        <f>'[01_Entry.xlsx]Book'!O1544</f>
        <v/>
      </c>
      <c r="F1544" s="2">
        <f>'[01_Entry.xlsx]Book'!N1544</f>
        <v/>
      </c>
      <c r="G1544" s="3">
        <f>'[01_Entry.xlsx]Book'!L1544</f>
        <v/>
      </c>
      <c r="H1544" s="3">
        <f>'[01_Entry.xlsx]Book'!M1544</f>
        <v/>
      </c>
      <c r="I1544" s="3">
        <f>'[01_Entry.xlsx]Book'!K1544</f>
        <v/>
      </c>
      <c r="J1544" s="3">
        <f>'[01_Entry.xlsx]Book'!P1544</f>
        <v/>
      </c>
      <c r="K1544" s="3">
        <f>'[01_Entry.xlsx]Book'!F1544</f>
        <v/>
      </c>
      <c r="L1544" s="3">
        <f>'[01_Entry.xlsx]Book'!G1544</f>
        <v/>
      </c>
      <c r="M1544" s="3">
        <f>'[01_Entry.xlsx]Book'!I1544</f>
        <v/>
      </c>
      <c r="N1544" s="2">
        <f>IF($A1544="","",MID($A1544,6,2))</f>
        <v>0</v>
      </c>
      <c r="O1544" s="2">
        <f>IF(OR($C1544="",$C1544&lt;&gt;'Inv'!$D$12),"",N(O$1543)+1)</f>
        <v>0</v>
      </c>
    </row>
    <row r="1545" spans="1:15">
      <c r="A1545" s="2">
        <f>'[01_Entry.xlsx]Book'!A1545</f>
        <v/>
      </c>
      <c r="B1545" s="2">
        <f>'[01_Entry.xlsx]Book'!B1545</f>
        <v/>
      </c>
      <c r="C1545" s="2">
        <f>'[01_Entry.xlsx]Book'!D1545</f>
        <v/>
      </c>
      <c r="D1545" s="2">
        <f>'[01_Entry.xlsx]Book'!E1545</f>
        <v/>
      </c>
      <c r="E1545" s="2">
        <f>'[01_Entry.xlsx]Book'!O1545</f>
        <v/>
      </c>
      <c r="F1545" s="2">
        <f>'[01_Entry.xlsx]Book'!N1545</f>
        <v/>
      </c>
      <c r="G1545" s="3">
        <f>'[01_Entry.xlsx]Book'!L1545</f>
        <v/>
      </c>
      <c r="H1545" s="3">
        <f>'[01_Entry.xlsx]Book'!M1545</f>
        <v/>
      </c>
      <c r="I1545" s="3">
        <f>'[01_Entry.xlsx]Book'!K1545</f>
        <v/>
      </c>
      <c r="J1545" s="3">
        <f>'[01_Entry.xlsx]Book'!P1545</f>
        <v/>
      </c>
      <c r="K1545" s="3">
        <f>'[01_Entry.xlsx]Book'!F1545</f>
        <v/>
      </c>
      <c r="L1545" s="3">
        <f>'[01_Entry.xlsx]Book'!G1545</f>
        <v/>
      </c>
      <c r="M1545" s="3">
        <f>'[01_Entry.xlsx]Book'!I1545</f>
        <v/>
      </c>
      <c r="N1545" s="2">
        <f>IF($A1545="","",MID($A1545,6,2))</f>
        <v>0</v>
      </c>
      <c r="O1545" s="2">
        <f>IF(OR($C1545="",$C1545&lt;&gt;'Inv'!$D$12),"",N(O$1544)+1)</f>
        <v>0</v>
      </c>
    </row>
    <row r="1546" spans="1:15">
      <c r="A1546" s="2">
        <f>'[01_Entry.xlsx]Book'!A1546</f>
        <v/>
      </c>
      <c r="B1546" s="2">
        <f>'[01_Entry.xlsx]Book'!B1546</f>
        <v/>
      </c>
      <c r="C1546" s="2">
        <f>'[01_Entry.xlsx]Book'!D1546</f>
        <v/>
      </c>
      <c r="D1546" s="2">
        <f>'[01_Entry.xlsx]Book'!E1546</f>
        <v/>
      </c>
      <c r="E1546" s="2">
        <f>'[01_Entry.xlsx]Book'!O1546</f>
        <v/>
      </c>
      <c r="F1546" s="2">
        <f>'[01_Entry.xlsx]Book'!N1546</f>
        <v/>
      </c>
      <c r="G1546" s="3">
        <f>'[01_Entry.xlsx]Book'!L1546</f>
        <v/>
      </c>
      <c r="H1546" s="3">
        <f>'[01_Entry.xlsx]Book'!M1546</f>
        <v/>
      </c>
      <c r="I1546" s="3">
        <f>'[01_Entry.xlsx]Book'!K1546</f>
        <v/>
      </c>
      <c r="J1546" s="3">
        <f>'[01_Entry.xlsx]Book'!P1546</f>
        <v/>
      </c>
      <c r="K1546" s="3">
        <f>'[01_Entry.xlsx]Book'!F1546</f>
        <v/>
      </c>
      <c r="L1546" s="3">
        <f>'[01_Entry.xlsx]Book'!G1546</f>
        <v/>
      </c>
      <c r="M1546" s="3">
        <f>'[01_Entry.xlsx]Book'!I1546</f>
        <v/>
      </c>
      <c r="N1546" s="2">
        <f>IF($A1546="","",MID($A1546,6,2))</f>
        <v>0</v>
      </c>
      <c r="O1546" s="2">
        <f>IF(OR($C1546="",$C1546&lt;&gt;'Inv'!$D$12),"",N(O$1545)+1)</f>
        <v>0</v>
      </c>
    </row>
    <row r="1547" spans="1:15">
      <c r="A1547" s="2">
        <f>'[01_Entry.xlsx]Book'!A1547</f>
        <v/>
      </c>
      <c r="B1547" s="2">
        <f>'[01_Entry.xlsx]Book'!B1547</f>
        <v/>
      </c>
      <c r="C1547" s="2">
        <f>'[01_Entry.xlsx]Book'!D1547</f>
        <v/>
      </c>
      <c r="D1547" s="2">
        <f>'[01_Entry.xlsx]Book'!E1547</f>
        <v/>
      </c>
      <c r="E1547" s="2">
        <f>'[01_Entry.xlsx]Book'!O1547</f>
        <v/>
      </c>
      <c r="F1547" s="2">
        <f>'[01_Entry.xlsx]Book'!N1547</f>
        <v/>
      </c>
      <c r="G1547" s="3">
        <f>'[01_Entry.xlsx]Book'!L1547</f>
        <v/>
      </c>
      <c r="H1547" s="3">
        <f>'[01_Entry.xlsx]Book'!M1547</f>
        <v/>
      </c>
      <c r="I1547" s="3">
        <f>'[01_Entry.xlsx]Book'!K1547</f>
        <v/>
      </c>
      <c r="J1547" s="3">
        <f>'[01_Entry.xlsx]Book'!P1547</f>
        <v/>
      </c>
      <c r="K1547" s="3">
        <f>'[01_Entry.xlsx]Book'!F1547</f>
        <v/>
      </c>
      <c r="L1547" s="3">
        <f>'[01_Entry.xlsx]Book'!G1547</f>
        <v/>
      </c>
      <c r="M1547" s="3">
        <f>'[01_Entry.xlsx]Book'!I1547</f>
        <v/>
      </c>
      <c r="N1547" s="2">
        <f>IF($A1547="","",MID($A1547,6,2))</f>
        <v>0</v>
      </c>
      <c r="O1547" s="2">
        <f>IF(OR($C1547="",$C1547&lt;&gt;'Inv'!$D$12),"",N(O$1546)+1)</f>
        <v>0</v>
      </c>
    </row>
    <row r="1548" spans="1:15">
      <c r="A1548" s="2">
        <f>'[01_Entry.xlsx]Book'!A1548</f>
        <v/>
      </c>
      <c r="B1548" s="2">
        <f>'[01_Entry.xlsx]Book'!B1548</f>
        <v/>
      </c>
      <c r="C1548" s="2">
        <f>'[01_Entry.xlsx]Book'!D1548</f>
        <v/>
      </c>
      <c r="D1548" s="2">
        <f>'[01_Entry.xlsx]Book'!E1548</f>
        <v/>
      </c>
      <c r="E1548" s="2">
        <f>'[01_Entry.xlsx]Book'!O1548</f>
        <v/>
      </c>
      <c r="F1548" s="2">
        <f>'[01_Entry.xlsx]Book'!N1548</f>
        <v/>
      </c>
      <c r="G1548" s="3">
        <f>'[01_Entry.xlsx]Book'!L1548</f>
        <v/>
      </c>
      <c r="H1548" s="3">
        <f>'[01_Entry.xlsx]Book'!M1548</f>
        <v/>
      </c>
      <c r="I1548" s="3">
        <f>'[01_Entry.xlsx]Book'!K1548</f>
        <v/>
      </c>
      <c r="J1548" s="3">
        <f>'[01_Entry.xlsx]Book'!P1548</f>
        <v/>
      </c>
      <c r="K1548" s="3">
        <f>'[01_Entry.xlsx]Book'!F1548</f>
        <v/>
      </c>
      <c r="L1548" s="3">
        <f>'[01_Entry.xlsx]Book'!G1548</f>
        <v/>
      </c>
      <c r="M1548" s="3">
        <f>'[01_Entry.xlsx]Book'!I1548</f>
        <v/>
      </c>
      <c r="N1548" s="2">
        <f>IF($A1548="","",MID($A1548,6,2))</f>
        <v>0</v>
      </c>
      <c r="O1548" s="2">
        <f>IF(OR($C1548="",$C1548&lt;&gt;'Inv'!$D$12),"",N(O$1547)+1)</f>
        <v>0</v>
      </c>
    </row>
    <row r="1549" spans="1:15">
      <c r="A1549" s="2">
        <f>'[01_Entry.xlsx]Book'!A1549</f>
        <v/>
      </c>
      <c r="B1549" s="2">
        <f>'[01_Entry.xlsx]Book'!B1549</f>
        <v/>
      </c>
      <c r="C1549" s="2">
        <f>'[01_Entry.xlsx]Book'!D1549</f>
        <v/>
      </c>
      <c r="D1549" s="2">
        <f>'[01_Entry.xlsx]Book'!E1549</f>
        <v/>
      </c>
      <c r="E1549" s="2">
        <f>'[01_Entry.xlsx]Book'!O1549</f>
        <v/>
      </c>
      <c r="F1549" s="2">
        <f>'[01_Entry.xlsx]Book'!N1549</f>
        <v/>
      </c>
      <c r="G1549" s="3">
        <f>'[01_Entry.xlsx]Book'!L1549</f>
        <v/>
      </c>
      <c r="H1549" s="3">
        <f>'[01_Entry.xlsx]Book'!M1549</f>
        <v/>
      </c>
      <c r="I1549" s="3">
        <f>'[01_Entry.xlsx]Book'!K1549</f>
        <v/>
      </c>
      <c r="J1549" s="3">
        <f>'[01_Entry.xlsx]Book'!P1549</f>
        <v/>
      </c>
      <c r="K1549" s="3">
        <f>'[01_Entry.xlsx]Book'!F1549</f>
        <v/>
      </c>
      <c r="L1549" s="3">
        <f>'[01_Entry.xlsx]Book'!G1549</f>
        <v/>
      </c>
      <c r="M1549" s="3">
        <f>'[01_Entry.xlsx]Book'!I1549</f>
        <v/>
      </c>
      <c r="N1549" s="2">
        <f>IF($A1549="","",MID($A1549,6,2))</f>
        <v>0</v>
      </c>
      <c r="O1549" s="2">
        <f>IF(OR($C1549="",$C1549&lt;&gt;'Inv'!$D$12),"",N(O$1548)+1)</f>
        <v>0</v>
      </c>
    </row>
    <row r="1550" spans="1:15">
      <c r="A1550" s="2">
        <f>'[01_Entry.xlsx]Book'!A1550</f>
        <v/>
      </c>
      <c r="B1550" s="2">
        <f>'[01_Entry.xlsx]Book'!B1550</f>
        <v/>
      </c>
      <c r="C1550" s="2">
        <f>'[01_Entry.xlsx]Book'!D1550</f>
        <v/>
      </c>
      <c r="D1550" s="2">
        <f>'[01_Entry.xlsx]Book'!E1550</f>
        <v/>
      </c>
      <c r="E1550" s="2">
        <f>'[01_Entry.xlsx]Book'!O1550</f>
        <v/>
      </c>
      <c r="F1550" s="2">
        <f>'[01_Entry.xlsx]Book'!N1550</f>
        <v/>
      </c>
      <c r="G1550" s="3">
        <f>'[01_Entry.xlsx]Book'!L1550</f>
        <v/>
      </c>
      <c r="H1550" s="3">
        <f>'[01_Entry.xlsx]Book'!M1550</f>
        <v/>
      </c>
      <c r="I1550" s="3">
        <f>'[01_Entry.xlsx]Book'!K1550</f>
        <v/>
      </c>
      <c r="J1550" s="3">
        <f>'[01_Entry.xlsx]Book'!P1550</f>
        <v/>
      </c>
      <c r="K1550" s="3">
        <f>'[01_Entry.xlsx]Book'!F1550</f>
        <v/>
      </c>
      <c r="L1550" s="3">
        <f>'[01_Entry.xlsx]Book'!G1550</f>
        <v/>
      </c>
      <c r="M1550" s="3">
        <f>'[01_Entry.xlsx]Book'!I1550</f>
        <v/>
      </c>
      <c r="N1550" s="2">
        <f>IF($A1550="","",MID($A1550,6,2))</f>
        <v>0</v>
      </c>
      <c r="O1550" s="2">
        <f>IF(OR($C1550="",$C1550&lt;&gt;'Inv'!$D$12),"",N(O$1549)+1)</f>
        <v>0</v>
      </c>
    </row>
    <row r="1551" spans="1:15">
      <c r="A1551" s="2">
        <f>'[01_Entry.xlsx]Book'!A1551</f>
        <v/>
      </c>
      <c r="B1551" s="2">
        <f>'[01_Entry.xlsx]Book'!B1551</f>
        <v/>
      </c>
      <c r="C1551" s="2">
        <f>'[01_Entry.xlsx]Book'!D1551</f>
        <v/>
      </c>
      <c r="D1551" s="2">
        <f>'[01_Entry.xlsx]Book'!E1551</f>
        <v/>
      </c>
      <c r="E1551" s="2">
        <f>'[01_Entry.xlsx]Book'!O1551</f>
        <v/>
      </c>
      <c r="F1551" s="2">
        <f>'[01_Entry.xlsx]Book'!N1551</f>
        <v/>
      </c>
      <c r="G1551" s="3">
        <f>'[01_Entry.xlsx]Book'!L1551</f>
        <v/>
      </c>
      <c r="H1551" s="3">
        <f>'[01_Entry.xlsx]Book'!M1551</f>
        <v/>
      </c>
      <c r="I1551" s="3">
        <f>'[01_Entry.xlsx]Book'!K1551</f>
        <v/>
      </c>
      <c r="J1551" s="3">
        <f>'[01_Entry.xlsx]Book'!P1551</f>
        <v/>
      </c>
      <c r="K1551" s="3">
        <f>'[01_Entry.xlsx]Book'!F1551</f>
        <v/>
      </c>
      <c r="L1551" s="3">
        <f>'[01_Entry.xlsx]Book'!G1551</f>
        <v/>
      </c>
      <c r="M1551" s="3">
        <f>'[01_Entry.xlsx]Book'!I1551</f>
        <v/>
      </c>
      <c r="N1551" s="2">
        <f>IF($A1551="","",MID($A1551,6,2))</f>
        <v>0</v>
      </c>
      <c r="O1551" s="2">
        <f>IF(OR($C1551="",$C1551&lt;&gt;'Inv'!$D$12),"",N(O$1550)+1)</f>
        <v>0</v>
      </c>
    </row>
    <row r="1552" spans="1:15">
      <c r="A1552" s="2">
        <f>'[01_Entry.xlsx]Book'!A1552</f>
        <v/>
      </c>
      <c r="B1552" s="2">
        <f>'[01_Entry.xlsx]Book'!B1552</f>
        <v/>
      </c>
      <c r="C1552" s="2">
        <f>'[01_Entry.xlsx]Book'!D1552</f>
        <v/>
      </c>
      <c r="D1552" s="2">
        <f>'[01_Entry.xlsx]Book'!E1552</f>
        <v/>
      </c>
      <c r="E1552" s="2">
        <f>'[01_Entry.xlsx]Book'!O1552</f>
        <v/>
      </c>
      <c r="F1552" s="2">
        <f>'[01_Entry.xlsx]Book'!N1552</f>
        <v/>
      </c>
      <c r="G1552" s="3">
        <f>'[01_Entry.xlsx]Book'!L1552</f>
        <v/>
      </c>
      <c r="H1552" s="3">
        <f>'[01_Entry.xlsx]Book'!M1552</f>
        <v/>
      </c>
      <c r="I1552" s="3">
        <f>'[01_Entry.xlsx]Book'!K1552</f>
        <v/>
      </c>
      <c r="J1552" s="3">
        <f>'[01_Entry.xlsx]Book'!P1552</f>
        <v/>
      </c>
      <c r="K1552" s="3">
        <f>'[01_Entry.xlsx]Book'!F1552</f>
        <v/>
      </c>
      <c r="L1552" s="3">
        <f>'[01_Entry.xlsx]Book'!G1552</f>
        <v/>
      </c>
      <c r="M1552" s="3">
        <f>'[01_Entry.xlsx]Book'!I1552</f>
        <v/>
      </c>
      <c r="N1552" s="2">
        <f>IF($A1552="","",MID($A1552,6,2))</f>
        <v>0</v>
      </c>
      <c r="O1552" s="2">
        <f>IF(OR($C1552="",$C1552&lt;&gt;'Inv'!$D$12),"",N(O$1551)+1)</f>
        <v>0</v>
      </c>
    </row>
    <row r="1553" spans="1:15">
      <c r="A1553" s="2">
        <f>'[01_Entry.xlsx]Book'!A1553</f>
        <v/>
      </c>
      <c r="B1553" s="2">
        <f>'[01_Entry.xlsx]Book'!B1553</f>
        <v/>
      </c>
      <c r="C1553" s="2">
        <f>'[01_Entry.xlsx]Book'!D1553</f>
        <v/>
      </c>
      <c r="D1553" s="2">
        <f>'[01_Entry.xlsx]Book'!E1553</f>
        <v/>
      </c>
      <c r="E1553" s="2">
        <f>'[01_Entry.xlsx]Book'!O1553</f>
        <v/>
      </c>
      <c r="F1553" s="2">
        <f>'[01_Entry.xlsx]Book'!N1553</f>
        <v/>
      </c>
      <c r="G1553" s="3">
        <f>'[01_Entry.xlsx]Book'!L1553</f>
        <v/>
      </c>
      <c r="H1553" s="3">
        <f>'[01_Entry.xlsx]Book'!M1553</f>
        <v/>
      </c>
      <c r="I1553" s="3">
        <f>'[01_Entry.xlsx]Book'!K1553</f>
        <v/>
      </c>
      <c r="J1553" s="3">
        <f>'[01_Entry.xlsx]Book'!P1553</f>
        <v/>
      </c>
      <c r="K1553" s="3">
        <f>'[01_Entry.xlsx]Book'!F1553</f>
        <v/>
      </c>
      <c r="L1553" s="3">
        <f>'[01_Entry.xlsx]Book'!G1553</f>
        <v/>
      </c>
      <c r="M1553" s="3">
        <f>'[01_Entry.xlsx]Book'!I1553</f>
        <v/>
      </c>
      <c r="N1553" s="2">
        <f>IF($A1553="","",MID($A1553,6,2))</f>
        <v>0</v>
      </c>
      <c r="O1553" s="2">
        <f>IF(OR($C1553="",$C1553&lt;&gt;'Inv'!$D$12),"",N(O$1552)+1)</f>
        <v>0</v>
      </c>
    </row>
    <row r="1554" spans="1:15">
      <c r="A1554" s="2">
        <f>'[01_Entry.xlsx]Book'!A1554</f>
        <v/>
      </c>
      <c r="B1554" s="2">
        <f>'[01_Entry.xlsx]Book'!B1554</f>
        <v/>
      </c>
      <c r="C1554" s="2">
        <f>'[01_Entry.xlsx]Book'!D1554</f>
        <v/>
      </c>
      <c r="D1554" s="2">
        <f>'[01_Entry.xlsx]Book'!E1554</f>
        <v/>
      </c>
      <c r="E1554" s="2">
        <f>'[01_Entry.xlsx]Book'!O1554</f>
        <v/>
      </c>
      <c r="F1554" s="2">
        <f>'[01_Entry.xlsx]Book'!N1554</f>
        <v/>
      </c>
      <c r="G1554" s="3">
        <f>'[01_Entry.xlsx]Book'!L1554</f>
        <v/>
      </c>
      <c r="H1554" s="3">
        <f>'[01_Entry.xlsx]Book'!M1554</f>
        <v/>
      </c>
      <c r="I1554" s="3">
        <f>'[01_Entry.xlsx]Book'!K1554</f>
        <v/>
      </c>
      <c r="J1554" s="3">
        <f>'[01_Entry.xlsx]Book'!P1554</f>
        <v/>
      </c>
      <c r="K1554" s="3">
        <f>'[01_Entry.xlsx]Book'!F1554</f>
        <v/>
      </c>
      <c r="L1554" s="3">
        <f>'[01_Entry.xlsx]Book'!G1554</f>
        <v/>
      </c>
      <c r="M1554" s="3">
        <f>'[01_Entry.xlsx]Book'!I1554</f>
        <v/>
      </c>
      <c r="N1554" s="2">
        <f>IF($A1554="","",MID($A1554,6,2))</f>
        <v>0</v>
      </c>
      <c r="O1554" s="2">
        <f>IF(OR($C1554="",$C1554&lt;&gt;'Inv'!$D$12),"",N(O$1553)+1)</f>
        <v>0</v>
      </c>
    </row>
    <row r="1555" spans="1:15">
      <c r="A1555" s="2">
        <f>'[01_Entry.xlsx]Book'!A1555</f>
        <v/>
      </c>
      <c r="B1555" s="2">
        <f>'[01_Entry.xlsx]Book'!B1555</f>
        <v/>
      </c>
      <c r="C1555" s="2">
        <f>'[01_Entry.xlsx]Book'!D1555</f>
        <v/>
      </c>
      <c r="D1555" s="2">
        <f>'[01_Entry.xlsx]Book'!E1555</f>
        <v/>
      </c>
      <c r="E1555" s="2">
        <f>'[01_Entry.xlsx]Book'!O1555</f>
        <v/>
      </c>
      <c r="F1555" s="2">
        <f>'[01_Entry.xlsx]Book'!N1555</f>
        <v/>
      </c>
      <c r="G1555" s="3">
        <f>'[01_Entry.xlsx]Book'!L1555</f>
        <v/>
      </c>
      <c r="H1555" s="3">
        <f>'[01_Entry.xlsx]Book'!M1555</f>
        <v/>
      </c>
      <c r="I1555" s="3">
        <f>'[01_Entry.xlsx]Book'!K1555</f>
        <v/>
      </c>
      <c r="J1555" s="3">
        <f>'[01_Entry.xlsx]Book'!P1555</f>
        <v/>
      </c>
      <c r="K1555" s="3">
        <f>'[01_Entry.xlsx]Book'!F1555</f>
        <v/>
      </c>
      <c r="L1555" s="3">
        <f>'[01_Entry.xlsx]Book'!G1555</f>
        <v/>
      </c>
      <c r="M1555" s="3">
        <f>'[01_Entry.xlsx]Book'!I1555</f>
        <v/>
      </c>
      <c r="N1555" s="2">
        <f>IF($A1555="","",MID($A1555,6,2))</f>
        <v>0</v>
      </c>
      <c r="O1555" s="2">
        <f>IF(OR($C1555="",$C1555&lt;&gt;'Inv'!$D$12),"",N(O$1554)+1)</f>
        <v>0</v>
      </c>
    </row>
    <row r="1556" spans="1:15">
      <c r="A1556" s="2">
        <f>'[01_Entry.xlsx]Book'!A1556</f>
        <v/>
      </c>
      <c r="B1556" s="2">
        <f>'[01_Entry.xlsx]Book'!B1556</f>
        <v/>
      </c>
      <c r="C1556" s="2">
        <f>'[01_Entry.xlsx]Book'!D1556</f>
        <v/>
      </c>
      <c r="D1556" s="2">
        <f>'[01_Entry.xlsx]Book'!E1556</f>
        <v/>
      </c>
      <c r="E1556" s="2">
        <f>'[01_Entry.xlsx]Book'!O1556</f>
        <v/>
      </c>
      <c r="F1556" s="2">
        <f>'[01_Entry.xlsx]Book'!N1556</f>
        <v/>
      </c>
      <c r="G1556" s="3">
        <f>'[01_Entry.xlsx]Book'!L1556</f>
        <v/>
      </c>
      <c r="H1556" s="3">
        <f>'[01_Entry.xlsx]Book'!M1556</f>
        <v/>
      </c>
      <c r="I1556" s="3">
        <f>'[01_Entry.xlsx]Book'!K1556</f>
        <v/>
      </c>
      <c r="J1556" s="3">
        <f>'[01_Entry.xlsx]Book'!P1556</f>
        <v/>
      </c>
      <c r="K1556" s="3">
        <f>'[01_Entry.xlsx]Book'!F1556</f>
        <v/>
      </c>
      <c r="L1556" s="3">
        <f>'[01_Entry.xlsx]Book'!G1556</f>
        <v/>
      </c>
      <c r="M1556" s="3">
        <f>'[01_Entry.xlsx]Book'!I1556</f>
        <v/>
      </c>
      <c r="N1556" s="2">
        <f>IF($A1556="","",MID($A1556,6,2))</f>
        <v>0</v>
      </c>
      <c r="O1556" s="2">
        <f>IF(OR($C1556="",$C1556&lt;&gt;'Inv'!$D$12),"",N(O$1555)+1)</f>
        <v>0</v>
      </c>
    </row>
    <row r="1557" spans="1:15">
      <c r="A1557" s="2">
        <f>'[01_Entry.xlsx]Book'!A1557</f>
        <v/>
      </c>
      <c r="B1557" s="2">
        <f>'[01_Entry.xlsx]Book'!B1557</f>
        <v/>
      </c>
      <c r="C1557" s="2">
        <f>'[01_Entry.xlsx]Book'!D1557</f>
        <v/>
      </c>
      <c r="D1557" s="2">
        <f>'[01_Entry.xlsx]Book'!E1557</f>
        <v/>
      </c>
      <c r="E1557" s="2">
        <f>'[01_Entry.xlsx]Book'!O1557</f>
        <v/>
      </c>
      <c r="F1557" s="2">
        <f>'[01_Entry.xlsx]Book'!N1557</f>
        <v/>
      </c>
      <c r="G1557" s="3">
        <f>'[01_Entry.xlsx]Book'!L1557</f>
        <v/>
      </c>
      <c r="H1557" s="3">
        <f>'[01_Entry.xlsx]Book'!M1557</f>
        <v/>
      </c>
      <c r="I1557" s="3">
        <f>'[01_Entry.xlsx]Book'!K1557</f>
        <v/>
      </c>
      <c r="J1557" s="3">
        <f>'[01_Entry.xlsx]Book'!P1557</f>
        <v/>
      </c>
      <c r="K1557" s="3">
        <f>'[01_Entry.xlsx]Book'!F1557</f>
        <v/>
      </c>
      <c r="L1557" s="3">
        <f>'[01_Entry.xlsx]Book'!G1557</f>
        <v/>
      </c>
      <c r="M1557" s="3">
        <f>'[01_Entry.xlsx]Book'!I1557</f>
        <v/>
      </c>
      <c r="N1557" s="2">
        <f>IF($A1557="","",MID($A1557,6,2))</f>
        <v>0</v>
      </c>
      <c r="O1557" s="2">
        <f>IF(OR($C1557="",$C1557&lt;&gt;'Inv'!$D$12),"",N(O$1556)+1)</f>
        <v>0</v>
      </c>
    </row>
    <row r="1558" spans="1:15">
      <c r="A1558" s="2">
        <f>'[01_Entry.xlsx]Book'!A1558</f>
        <v/>
      </c>
      <c r="B1558" s="2">
        <f>'[01_Entry.xlsx]Book'!B1558</f>
        <v/>
      </c>
      <c r="C1558" s="2">
        <f>'[01_Entry.xlsx]Book'!D1558</f>
        <v/>
      </c>
      <c r="D1558" s="2">
        <f>'[01_Entry.xlsx]Book'!E1558</f>
        <v/>
      </c>
      <c r="E1558" s="2">
        <f>'[01_Entry.xlsx]Book'!O1558</f>
        <v/>
      </c>
      <c r="F1558" s="2">
        <f>'[01_Entry.xlsx]Book'!N1558</f>
        <v/>
      </c>
      <c r="G1558" s="3">
        <f>'[01_Entry.xlsx]Book'!L1558</f>
        <v/>
      </c>
      <c r="H1558" s="3">
        <f>'[01_Entry.xlsx]Book'!M1558</f>
        <v/>
      </c>
      <c r="I1558" s="3">
        <f>'[01_Entry.xlsx]Book'!K1558</f>
        <v/>
      </c>
      <c r="J1558" s="3">
        <f>'[01_Entry.xlsx]Book'!P1558</f>
        <v/>
      </c>
      <c r="K1558" s="3">
        <f>'[01_Entry.xlsx]Book'!F1558</f>
        <v/>
      </c>
      <c r="L1558" s="3">
        <f>'[01_Entry.xlsx]Book'!G1558</f>
        <v/>
      </c>
      <c r="M1558" s="3">
        <f>'[01_Entry.xlsx]Book'!I1558</f>
        <v/>
      </c>
      <c r="N1558" s="2">
        <f>IF($A1558="","",MID($A1558,6,2))</f>
        <v>0</v>
      </c>
      <c r="O1558" s="2">
        <f>IF(OR($C1558="",$C1558&lt;&gt;'Inv'!$D$12),"",N(O$1557)+1)</f>
        <v>0</v>
      </c>
    </row>
    <row r="1559" spans="1:15">
      <c r="A1559" s="2">
        <f>'[01_Entry.xlsx]Book'!A1559</f>
        <v/>
      </c>
      <c r="B1559" s="2">
        <f>'[01_Entry.xlsx]Book'!B1559</f>
        <v/>
      </c>
      <c r="C1559" s="2">
        <f>'[01_Entry.xlsx]Book'!D1559</f>
        <v/>
      </c>
      <c r="D1559" s="2">
        <f>'[01_Entry.xlsx]Book'!E1559</f>
        <v/>
      </c>
      <c r="E1559" s="2">
        <f>'[01_Entry.xlsx]Book'!O1559</f>
        <v/>
      </c>
      <c r="F1559" s="2">
        <f>'[01_Entry.xlsx]Book'!N1559</f>
        <v/>
      </c>
      <c r="G1559" s="3">
        <f>'[01_Entry.xlsx]Book'!L1559</f>
        <v/>
      </c>
      <c r="H1559" s="3">
        <f>'[01_Entry.xlsx]Book'!M1559</f>
        <v/>
      </c>
      <c r="I1559" s="3">
        <f>'[01_Entry.xlsx]Book'!K1559</f>
        <v/>
      </c>
      <c r="J1559" s="3">
        <f>'[01_Entry.xlsx]Book'!P1559</f>
        <v/>
      </c>
      <c r="K1559" s="3">
        <f>'[01_Entry.xlsx]Book'!F1559</f>
        <v/>
      </c>
      <c r="L1559" s="3">
        <f>'[01_Entry.xlsx]Book'!G1559</f>
        <v/>
      </c>
      <c r="M1559" s="3">
        <f>'[01_Entry.xlsx]Book'!I1559</f>
        <v/>
      </c>
      <c r="N1559" s="2">
        <f>IF($A1559="","",MID($A1559,6,2))</f>
        <v>0</v>
      </c>
      <c r="O1559" s="2">
        <f>IF(OR($C1559="",$C1559&lt;&gt;'Inv'!$D$12),"",N(O$1558)+1)</f>
        <v>0</v>
      </c>
    </row>
    <row r="1560" spans="1:15">
      <c r="A1560" s="2">
        <f>'[01_Entry.xlsx]Book'!A1560</f>
        <v/>
      </c>
      <c r="B1560" s="2">
        <f>'[01_Entry.xlsx]Book'!B1560</f>
        <v/>
      </c>
      <c r="C1560" s="2">
        <f>'[01_Entry.xlsx]Book'!D1560</f>
        <v/>
      </c>
      <c r="D1560" s="2">
        <f>'[01_Entry.xlsx]Book'!E1560</f>
        <v/>
      </c>
      <c r="E1560" s="2">
        <f>'[01_Entry.xlsx]Book'!O1560</f>
        <v/>
      </c>
      <c r="F1560" s="2">
        <f>'[01_Entry.xlsx]Book'!N1560</f>
        <v/>
      </c>
      <c r="G1560" s="3">
        <f>'[01_Entry.xlsx]Book'!L1560</f>
        <v/>
      </c>
      <c r="H1560" s="3">
        <f>'[01_Entry.xlsx]Book'!M1560</f>
        <v/>
      </c>
      <c r="I1560" s="3">
        <f>'[01_Entry.xlsx]Book'!K1560</f>
        <v/>
      </c>
      <c r="J1560" s="3">
        <f>'[01_Entry.xlsx]Book'!P1560</f>
        <v/>
      </c>
      <c r="K1560" s="3">
        <f>'[01_Entry.xlsx]Book'!F1560</f>
        <v/>
      </c>
      <c r="L1560" s="3">
        <f>'[01_Entry.xlsx]Book'!G1560</f>
        <v/>
      </c>
      <c r="M1560" s="3">
        <f>'[01_Entry.xlsx]Book'!I1560</f>
        <v/>
      </c>
      <c r="N1560" s="2">
        <f>IF($A1560="","",MID($A1560,6,2))</f>
        <v>0</v>
      </c>
      <c r="O1560" s="2">
        <f>IF(OR($C1560="",$C1560&lt;&gt;'Inv'!$D$12),"",N(O$1559)+1)</f>
        <v>0</v>
      </c>
    </row>
    <row r="1561" spans="1:15">
      <c r="A1561" s="2">
        <f>'[01_Entry.xlsx]Book'!A1561</f>
        <v/>
      </c>
      <c r="B1561" s="2">
        <f>'[01_Entry.xlsx]Book'!B1561</f>
        <v/>
      </c>
      <c r="C1561" s="2">
        <f>'[01_Entry.xlsx]Book'!D1561</f>
        <v/>
      </c>
      <c r="D1561" s="2">
        <f>'[01_Entry.xlsx]Book'!E1561</f>
        <v/>
      </c>
      <c r="E1561" s="2">
        <f>'[01_Entry.xlsx]Book'!O1561</f>
        <v/>
      </c>
      <c r="F1561" s="2">
        <f>'[01_Entry.xlsx]Book'!N1561</f>
        <v/>
      </c>
      <c r="G1561" s="3">
        <f>'[01_Entry.xlsx]Book'!L1561</f>
        <v/>
      </c>
      <c r="H1561" s="3">
        <f>'[01_Entry.xlsx]Book'!M1561</f>
        <v/>
      </c>
      <c r="I1561" s="3">
        <f>'[01_Entry.xlsx]Book'!K1561</f>
        <v/>
      </c>
      <c r="J1561" s="3">
        <f>'[01_Entry.xlsx]Book'!P1561</f>
        <v/>
      </c>
      <c r="K1561" s="3">
        <f>'[01_Entry.xlsx]Book'!F1561</f>
        <v/>
      </c>
      <c r="L1561" s="3">
        <f>'[01_Entry.xlsx]Book'!G1561</f>
        <v/>
      </c>
      <c r="M1561" s="3">
        <f>'[01_Entry.xlsx]Book'!I1561</f>
        <v/>
      </c>
      <c r="N1561" s="2">
        <f>IF($A1561="","",MID($A1561,6,2))</f>
        <v>0</v>
      </c>
      <c r="O1561" s="2">
        <f>IF(OR($C1561="",$C1561&lt;&gt;'Inv'!$D$12),"",N(O$1560)+1)</f>
        <v>0</v>
      </c>
    </row>
    <row r="1562" spans="1:15">
      <c r="A1562" s="2">
        <f>'[01_Entry.xlsx]Book'!A1562</f>
        <v/>
      </c>
      <c r="B1562" s="2">
        <f>'[01_Entry.xlsx]Book'!B1562</f>
        <v/>
      </c>
      <c r="C1562" s="2">
        <f>'[01_Entry.xlsx]Book'!D1562</f>
        <v/>
      </c>
      <c r="D1562" s="2">
        <f>'[01_Entry.xlsx]Book'!E1562</f>
        <v/>
      </c>
      <c r="E1562" s="2">
        <f>'[01_Entry.xlsx]Book'!O1562</f>
        <v/>
      </c>
      <c r="F1562" s="2">
        <f>'[01_Entry.xlsx]Book'!N1562</f>
        <v/>
      </c>
      <c r="G1562" s="3">
        <f>'[01_Entry.xlsx]Book'!L1562</f>
        <v/>
      </c>
      <c r="H1562" s="3">
        <f>'[01_Entry.xlsx]Book'!M1562</f>
        <v/>
      </c>
      <c r="I1562" s="3">
        <f>'[01_Entry.xlsx]Book'!K1562</f>
        <v/>
      </c>
      <c r="J1562" s="3">
        <f>'[01_Entry.xlsx]Book'!P1562</f>
        <v/>
      </c>
      <c r="K1562" s="3">
        <f>'[01_Entry.xlsx]Book'!F1562</f>
        <v/>
      </c>
      <c r="L1562" s="3">
        <f>'[01_Entry.xlsx]Book'!G1562</f>
        <v/>
      </c>
      <c r="M1562" s="3">
        <f>'[01_Entry.xlsx]Book'!I1562</f>
        <v/>
      </c>
      <c r="N1562" s="2">
        <f>IF($A1562="","",MID($A1562,6,2))</f>
        <v>0</v>
      </c>
      <c r="O1562" s="2">
        <f>IF(OR($C1562="",$C1562&lt;&gt;'Inv'!$D$12),"",N(O$1561)+1)</f>
        <v>0</v>
      </c>
    </row>
    <row r="1563" spans="1:15">
      <c r="A1563" s="2">
        <f>'[01_Entry.xlsx]Book'!A1563</f>
        <v/>
      </c>
      <c r="B1563" s="2">
        <f>'[01_Entry.xlsx]Book'!B1563</f>
        <v/>
      </c>
      <c r="C1563" s="2">
        <f>'[01_Entry.xlsx]Book'!D1563</f>
        <v/>
      </c>
      <c r="D1563" s="2">
        <f>'[01_Entry.xlsx]Book'!E1563</f>
        <v/>
      </c>
      <c r="E1563" s="2">
        <f>'[01_Entry.xlsx]Book'!O1563</f>
        <v/>
      </c>
      <c r="F1563" s="2">
        <f>'[01_Entry.xlsx]Book'!N1563</f>
        <v/>
      </c>
      <c r="G1563" s="3">
        <f>'[01_Entry.xlsx]Book'!L1563</f>
        <v/>
      </c>
      <c r="H1563" s="3">
        <f>'[01_Entry.xlsx]Book'!M1563</f>
        <v/>
      </c>
      <c r="I1563" s="3">
        <f>'[01_Entry.xlsx]Book'!K1563</f>
        <v/>
      </c>
      <c r="J1563" s="3">
        <f>'[01_Entry.xlsx]Book'!P1563</f>
        <v/>
      </c>
      <c r="K1563" s="3">
        <f>'[01_Entry.xlsx]Book'!F1563</f>
        <v/>
      </c>
      <c r="L1563" s="3">
        <f>'[01_Entry.xlsx]Book'!G1563</f>
        <v/>
      </c>
      <c r="M1563" s="3">
        <f>'[01_Entry.xlsx]Book'!I1563</f>
        <v/>
      </c>
      <c r="N1563" s="2">
        <f>IF($A1563="","",MID($A1563,6,2))</f>
        <v>0</v>
      </c>
      <c r="O1563" s="2">
        <f>IF(OR($C1563="",$C1563&lt;&gt;'Inv'!$D$12),"",N(O$1562)+1)</f>
        <v>0</v>
      </c>
    </row>
    <row r="1564" spans="1:15">
      <c r="A1564" s="2">
        <f>'[01_Entry.xlsx]Book'!A1564</f>
        <v/>
      </c>
      <c r="B1564" s="2">
        <f>'[01_Entry.xlsx]Book'!B1564</f>
        <v/>
      </c>
      <c r="C1564" s="2">
        <f>'[01_Entry.xlsx]Book'!D1564</f>
        <v/>
      </c>
      <c r="D1564" s="2">
        <f>'[01_Entry.xlsx]Book'!E1564</f>
        <v/>
      </c>
      <c r="E1564" s="2">
        <f>'[01_Entry.xlsx]Book'!O1564</f>
        <v/>
      </c>
      <c r="F1564" s="2">
        <f>'[01_Entry.xlsx]Book'!N1564</f>
        <v/>
      </c>
      <c r="G1564" s="3">
        <f>'[01_Entry.xlsx]Book'!L1564</f>
        <v/>
      </c>
      <c r="H1564" s="3">
        <f>'[01_Entry.xlsx]Book'!M1564</f>
        <v/>
      </c>
      <c r="I1564" s="3">
        <f>'[01_Entry.xlsx]Book'!K1564</f>
        <v/>
      </c>
      <c r="J1564" s="3">
        <f>'[01_Entry.xlsx]Book'!P1564</f>
        <v/>
      </c>
      <c r="K1564" s="3">
        <f>'[01_Entry.xlsx]Book'!F1564</f>
        <v/>
      </c>
      <c r="L1564" s="3">
        <f>'[01_Entry.xlsx]Book'!G1564</f>
        <v/>
      </c>
      <c r="M1564" s="3">
        <f>'[01_Entry.xlsx]Book'!I1564</f>
        <v/>
      </c>
      <c r="N1564" s="2">
        <f>IF($A1564="","",MID($A1564,6,2))</f>
        <v>0</v>
      </c>
      <c r="O1564" s="2">
        <f>IF(OR($C1564="",$C1564&lt;&gt;'Inv'!$D$12),"",N(O$1563)+1)</f>
        <v>0</v>
      </c>
    </row>
    <row r="1565" spans="1:15">
      <c r="A1565" s="2">
        <f>'[01_Entry.xlsx]Book'!A1565</f>
        <v/>
      </c>
      <c r="B1565" s="2">
        <f>'[01_Entry.xlsx]Book'!B1565</f>
        <v/>
      </c>
      <c r="C1565" s="2">
        <f>'[01_Entry.xlsx]Book'!D1565</f>
        <v/>
      </c>
      <c r="D1565" s="2">
        <f>'[01_Entry.xlsx]Book'!E1565</f>
        <v/>
      </c>
      <c r="E1565" s="2">
        <f>'[01_Entry.xlsx]Book'!O1565</f>
        <v/>
      </c>
      <c r="F1565" s="2">
        <f>'[01_Entry.xlsx]Book'!N1565</f>
        <v/>
      </c>
      <c r="G1565" s="3">
        <f>'[01_Entry.xlsx]Book'!L1565</f>
        <v/>
      </c>
      <c r="H1565" s="3">
        <f>'[01_Entry.xlsx]Book'!M1565</f>
        <v/>
      </c>
      <c r="I1565" s="3">
        <f>'[01_Entry.xlsx]Book'!K1565</f>
        <v/>
      </c>
      <c r="J1565" s="3">
        <f>'[01_Entry.xlsx]Book'!P1565</f>
        <v/>
      </c>
      <c r="K1565" s="3">
        <f>'[01_Entry.xlsx]Book'!F1565</f>
        <v/>
      </c>
      <c r="L1565" s="3">
        <f>'[01_Entry.xlsx]Book'!G1565</f>
        <v/>
      </c>
      <c r="M1565" s="3">
        <f>'[01_Entry.xlsx]Book'!I1565</f>
        <v/>
      </c>
      <c r="N1565" s="2">
        <f>IF($A1565="","",MID($A1565,6,2))</f>
        <v>0</v>
      </c>
      <c r="O1565" s="2">
        <f>IF(OR($C1565="",$C1565&lt;&gt;'Inv'!$D$12),"",N(O$1564)+1)</f>
        <v>0</v>
      </c>
    </row>
    <row r="1566" spans="1:15">
      <c r="A1566" s="2">
        <f>'[01_Entry.xlsx]Book'!A1566</f>
        <v/>
      </c>
      <c r="B1566" s="2">
        <f>'[01_Entry.xlsx]Book'!B1566</f>
        <v/>
      </c>
      <c r="C1566" s="2">
        <f>'[01_Entry.xlsx]Book'!D1566</f>
        <v/>
      </c>
      <c r="D1566" s="2">
        <f>'[01_Entry.xlsx]Book'!E1566</f>
        <v/>
      </c>
      <c r="E1566" s="2">
        <f>'[01_Entry.xlsx]Book'!O1566</f>
        <v/>
      </c>
      <c r="F1566" s="2">
        <f>'[01_Entry.xlsx]Book'!N1566</f>
        <v/>
      </c>
      <c r="G1566" s="3">
        <f>'[01_Entry.xlsx]Book'!L1566</f>
        <v/>
      </c>
      <c r="H1566" s="3">
        <f>'[01_Entry.xlsx]Book'!M1566</f>
        <v/>
      </c>
      <c r="I1566" s="3">
        <f>'[01_Entry.xlsx]Book'!K1566</f>
        <v/>
      </c>
      <c r="J1566" s="3">
        <f>'[01_Entry.xlsx]Book'!P1566</f>
        <v/>
      </c>
      <c r="K1566" s="3">
        <f>'[01_Entry.xlsx]Book'!F1566</f>
        <v/>
      </c>
      <c r="L1566" s="3">
        <f>'[01_Entry.xlsx]Book'!G1566</f>
        <v/>
      </c>
      <c r="M1566" s="3">
        <f>'[01_Entry.xlsx]Book'!I1566</f>
        <v/>
      </c>
      <c r="N1566" s="2">
        <f>IF($A1566="","",MID($A1566,6,2))</f>
        <v>0</v>
      </c>
      <c r="O1566" s="2">
        <f>IF(OR($C1566="",$C1566&lt;&gt;'Inv'!$D$12),"",N(O$1565)+1)</f>
        <v>0</v>
      </c>
    </row>
    <row r="1567" spans="1:15">
      <c r="A1567" s="2">
        <f>'[01_Entry.xlsx]Book'!A1567</f>
        <v/>
      </c>
      <c r="B1567" s="2">
        <f>'[01_Entry.xlsx]Book'!B1567</f>
        <v/>
      </c>
      <c r="C1567" s="2">
        <f>'[01_Entry.xlsx]Book'!D1567</f>
        <v/>
      </c>
      <c r="D1567" s="2">
        <f>'[01_Entry.xlsx]Book'!E1567</f>
        <v/>
      </c>
      <c r="E1567" s="2">
        <f>'[01_Entry.xlsx]Book'!O1567</f>
        <v/>
      </c>
      <c r="F1567" s="2">
        <f>'[01_Entry.xlsx]Book'!N1567</f>
        <v/>
      </c>
      <c r="G1567" s="3">
        <f>'[01_Entry.xlsx]Book'!L1567</f>
        <v/>
      </c>
      <c r="H1567" s="3">
        <f>'[01_Entry.xlsx]Book'!M1567</f>
        <v/>
      </c>
      <c r="I1567" s="3">
        <f>'[01_Entry.xlsx]Book'!K1567</f>
        <v/>
      </c>
      <c r="J1567" s="3">
        <f>'[01_Entry.xlsx]Book'!P1567</f>
        <v/>
      </c>
      <c r="K1567" s="3">
        <f>'[01_Entry.xlsx]Book'!F1567</f>
        <v/>
      </c>
      <c r="L1567" s="3">
        <f>'[01_Entry.xlsx]Book'!G1567</f>
        <v/>
      </c>
      <c r="M1567" s="3">
        <f>'[01_Entry.xlsx]Book'!I1567</f>
        <v/>
      </c>
      <c r="N1567" s="2">
        <f>IF($A1567="","",MID($A1567,6,2))</f>
        <v>0</v>
      </c>
      <c r="O1567" s="2">
        <f>IF(OR($C1567="",$C1567&lt;&gt;'Inv'!$D$12),"",N(O$1566)+1)</f>
        <v>0</v>
      </c>
    </row>
    <row r="1568" spans="1:15">
      <c r="A1568" s="2">
        <f>'[01_Entry.xlsx]Book'!A1568</f>
        <v/>
      </c>
      <c r="B1568" s="2">
        <f>'[01_Entry.xlsx]Book'!B1568</f>
        <v/>
      </c>
      <c r="C1568" s="2">
        <f>'[01_Entry.xlsx]Book'!D1568</f>
        <v/>
      </c>
      <c r="D1568" s="2">
        <f>'[01_Entry.xlsx]Book'!E1568</f>
        <v/>
      </c>
      <c r="E1568" s="2">
        <f>'[01_Entry.xlsx]Book'!O1568</f>
        <v/>
      </c>
      <c r="F1568" s="2">
        <f>'[01_Entry.xlsx]Book'!N1568</f>
        <v/>
      </c>
      <c r="G1568" s="3">
        <f>'[01_Entry.xlsx]Book'!L1568</f>
        <v/>
      </c>
      <c r="H1568" s="3">
        <f>'[01_Entry.xlsx]Book'!M1568</f>
        <v/>
      </c>
      <c r="I1568" s="3">
        <f>'[01_Entry.xlsx]Book'!K1568</f>
        <v/>
      </c>
      <c r="J1568" s="3">
        <f>'[01_Entry.xlsx]Book'!P1568</f>
        <v/>
      </c>
      <c r="K1568" s="3">
        <f>'[01_Entry.xlsx]Book'!F1568</f>
        <v/>
      </c>
      <c r="L1568" s="3">
        <f>'[01_Entry.xlsx]Book'!G1568</f>
        <v/>
      </c>
      <c r="M1568" s="3">
        <f>'[01_Entry.xlsx]Book'!I1568</f>
        <v/>
      </c>
      <c r="N1568" s="2">
        <f>IF($A1568="","",MID($A1568,6,2))</f>
        <v>0</v>
      </c>
      <c r="O1568" s="2">
        <f>IF(OR($C1568="",$C1568&lt;&gt;'Inv'!$D$12),"",N(O$1567)+1)</f>
        <v>0</v>
      </c>
    </row>
    <row r="1569" spans="1:15">
      <c r="A1569" s="2">
        <f>'[01_Entry.xlsx]Book'!A1569</f>
        <v/>
      </c>
      <c r="B1569" s="2">
        <f>'[01_Entry.xlsx]Book'!B1569</f>
        <v/>
      </c>
      <c r="C1569" s="2">
        <f>'[01_Entry.xlsx]Book'!D1569</f>
        <v/>
      </c>
      <c r="D1569" s="2">
        <f>'[01_Entry.xlsx]Book'!E1569</f>
        <v/>
      </c>
      <c r="E1569" s="2">
        <f>'[01_Entry.xlsx]Book'!O1569</f>
        <v/>
      </c>
      <c r="F1569" s="2">
        <f>'[01_Entry.xlsx]Book'!N1569</f>
        <v/>
      </c>
      <c r="G1569" s="3">
        <f>'[01_Entry.xlsx]Book'!L1569</f>
        <v/>
      </c>
      <c r="H1569" s="3">
        <f>'[01_Entry.xlsx]Book'!M1569</f>
        <v/>
      </c>
      <c r="I1569" s="3">
        <f>'[01_Entry.xlsx]Book'!K1569</f>
        <v/>
      </c>
      <c r="J1569" s="3">
        <f>'[01_Entry.xlsx]Book'!P1569</f>
        <v/>
      </c>
      <c r="K1569" s="3">
        <f>'[01_Entry.xlsx]Book'!F1569</f>
        <v/>
      </c>
      <c r="L1569" s="3">
        <f>'[01_Entry.xlsx]Book'!G1569</f>
        <v/>
      </c>
      <c r="M1569" s="3">
        <f>'[01_Entry.xlsx]Book'!I1569</f>
        <v/>
      </c>
      <c r="N1569" s="2">
        <f>IF($A1569="","",MID($A1569,6,2))</f>
        <v>0</v>
      </c>
      <c r="O1569" s="2">
        <f>IF(OR($C1569="",$C1569&lt;&gt;'Inv'!$D$12),"",N(O$1568)+1)</f>
        <v>0</v>
      </c>
    </row>
    <row r="1570" spans="1:15">
      <c r="A1570" s="2">
        <f>'[01_Entry.xlsx]Book'!A1570</f>
        <v/>
      </c>
      <c r="B1570" s="2">
        <f>'[01_Entry.xlsx]Book'!B1570</f>
        <v/>
      </c>
      <c r="C1570" s="2">
        <f>'[01_Entry.xlsx]Book'!D1570</f>
        <v/>
      </c>
      <c r="D1570" s="2">
        <f>'[01_Entry.xlsx]Book'!E1570</f>
        <v/>
      </c>
      <c r="E1570" s="2">
        <f>'[01_Entry.xlsx]Book'!O1570</f>
        <v/>
      </c>
      <c r="F1570" s="2">
        <f>'[01_Entry.xlsx]Book'!N1570</f>
        <v/>
      </c>
      <c r="G1570" s="3">
        <f>'[01_Entry.xlsx]Book'!L1570</f>
        <v/>
      </c>
      <c r="H1570" s="3">
        <f>'[01_Entry.xlsx]Book'!M1570</f>
        <v/>
      </c>
      <c r="I1570" s="3">
        <f>'[01_Entry.xlsx]Book'!K1570</f>
        <v/>
      </c>
      <c r="J1570" s="3">
        <f>'[01_Entry.xlsx]Book'!P1570</f>
        <v/>
      </c>
      <c r="K1570" s="3">
        <f>'[01_Entry.xlsx]Book'!F1570</f>
        <v/>
      </c>
      <c r="L1570" s="3">
        <f>'[01_Entry.xlsx]Book'!G1570</f>
        <v/>
      </c>
      <c r="M1570" s="3">
        <f>'[01_Entry.xlsx]Book'!I1570</f>
        <v/>
      </c>
      <c r="N1570" s="2">
        <f>IF($A1570="","",MID($A1570,6,2))</f>
        <v>0</v>
      </c>
      <c r="O1570" s="2">
        <f>IF(OR($C1570="",$C1570&lt;&gt;'Inv'!$D$12),"",N(O$1569)+1)</f>
        <v>0</v>
      </c>
    </row>
    <row r="1571" spans="1:15">
      <c r="A1571" s="2">
        <f>'[01_Entry.xlsx]Book'!A1571</f>
        <v/>
      </c>
      <c r="B1571" s="2">
        <f>'[01_Entry.xlsx]Book'!B1571</f>
        <v/>
      </c>
      <c r="C1571" s="2">
        <f>'[01_Entry.xlsx]Book'!D1571</f>
        <v/>
      </c>
      <c r="D1571" s="2">
        <f>'[01_Entry.xlsx]Book'!E1571</f>
        <v/>
      </c>
      <c r="E1571" s="2">
        <f>'[01_Entry.xlsx]Book'!O1571</f>
        <v/>
      </c>
      <c r="F1571" s="2">
        <f>'[01_Entry.xlsx]Book'!N1571</f>
        <v/>
      </c>
      <c r="G1571" s="3">
        <f>'[01_Entry.xlsx]Book'!L1571</f>
        <v/>
      </c>
      <c r="H1571" s="3">
        <f>'[01_Entry.xlsx]Book'!M1571</f>
        <v/>
      </c>
      <c r="I1571" s="3">
        <f>'[01_Entry.xlsx]Book'!K1571</f>
        <v/>
      </c>
      <c r="J1571" s="3">
        <f>'[01_Entry.xlsx]Book'!P1571</f>
        <v/>
      </c>
      <c r="K1571" s="3">
        <f>'[01_Entry.xlsx]Book'!F1571</f>
        <v/>
      </c>
      <c r="L1571" s="3">
        <f>'[01_Entry.xlsx]Book'!G1571</f>
        <v/>
      </c>
      <c r="M1571" s="3">
        <f>'[01_Entry.xlsx]Book'!I1571</f>
        <v/>
      </c>
      <c r="N1571" s="2">
        <f>IF($A1571="","",MID($A1571,6,2))</f>
        <v>0</v>
      </c>
      <c r="O1571" s="2">
        <f>IF(OR($C1571="",$C1571&lt;&gt;'Inv'!$D$12),"",N(O$1570)+1)</f>
        <v>0</v>
      </c>
    </row>
    <row r="1572" spans="1:15">
      <c r="A1572" s="2">
        <f>'[01_Entry.xlsx]Book'!A1572</f>
        <v/>
      </c>
      <c r="B1572" s="2">
        <f>'[01_Entry.xlsx]Book'!B1572</f>
        <v/>
      </c>
      <c r="C1572" s="2">
        <f>'[01_Entry.xlsx]Book'!D1572</f>
        <v/>
      </c>
      <c r="D1572" s="2">
        <f>'[01_Entry.xlsx]Book'!E1572</f>
        <v/>
      </c>
      <c r="E1572" s="2">
        <f>'[01_Entry.xlsx]Book'!O1572</f>
        <v/>
      </c>
      <c r="F1572" s="2">
        <f>'[01_Entry.xlsx]Book'!N1572</f>
        <v/>
      </c>
      <c r="G1572" s="3">
        <f>'[01_Entry.xlsx]Book'!L1572</f>
        <v/>
      </c>
      <c r="H1572" s="3">
        <f>'[01_Entry.xlsx]Book'!M1572</f>
        <v/>
      </c>
      <c r="I1572" s="3">
        <f>'[01_Entry.xlsx]Book'!K1572</f>
        <v/>
      </c>
      <c r="J1572" s="3">
        <f>'[01_Entry.xlsx]Book'!P1572</f>
        <v/>
      </c>
      <c r="K1572" s="3">
        <f>'[01_Entry.xlsx]Book'!F1572</f>
        <v/>
      </c>
      <c r="L1572" s="3">
        <f>'[01_Entry.xlsx]Book'!G1572</f>
        <v/>
      </c>
      <c r="M1572" s="3">
        <f>'[01_Entry.xlsx]Book'!I1572</f>
        <v/>
      </c>
      <c r="N1572" s="2">
        <f>IF($A1572="","",MID($A1572,6,2))</f>
        <v>0</v>
      </c>
      <c r="O1572" s="2">
        <f>IF(OR($C1572="",$C1572&lt;&gt;'Inv'!$D$12),"",N(O$1571)+1)</f>
        <v>0</v>
      </c>
    </row>
    <row r="1573" spans="1:15">
      <c r="A1573" s="2">
        <f>'[01_Entry.xlsx]Book'!A1573</f>
        <v/>
      </c>
      <c r="B1573" s="2">
        <f>'[01_Entry.xlsx]Book'!B1573</f>
        <v/>
      </c>
      <c r="C1573" s="2">
        <f>'[01_Entry.xlsx]Book'!D1573</f>
        <v/>
      </c>
      <c r="D1573" s="2">
        <f>'[01_Entry.xlsx]Book'!E1573</f>
        <v/>
      </c>
      <c r="E1573" s="2">
        <f>'[01_Entry.xlsx]Book'!O1573</f>
        <v/>
      </c>
      <c r="F1573" s="2">
        <f>'[01_Entry.xlsx]Book'!N1573</f>
        <v/>
      </c>
      <c r="G1573" s="3">
        <f>'[01_Entry.xlsx]Book'!L1573</f>
        <v/>
      </c>
      <c r="H1573" s="3">
        <f>'[01_Entry.xlsx]Book'!M1573</f>
        <v/>
      </c>
      <c r="I1573" s="3">
        <f>'[01_Entry.xlsx]Book'!K1573</f>
        <v/>
      </c>
      <c r="J1573" s="3">
        <f>'[01_Entry.xlsx]Book'!P1573</f>
        <v/>
      </c>
      <c r="K1573" s="3">
        <f>'[01_Entry.xlsx]Book'!F1573</f>
        <v/>
      </c>
      <c r="L1573" s="3">
        <f>'[01_Entry.xlsx]Book'!G1573</f>
        <v/>
      </c>
      <c r="M1573" s="3">
        <f>'[01_Entry.xlsx]Book'!I1573</f>
        <v/>
      </c>
      <c r="N1573" s="2">
        <f>IF($A1573="","",MID($A1573,6,2))</f>
        <v>0</v>
      </c>
      <c r="O1573" s="2">
        <f>IF(OR($C1573="",$C1573&lt;&gt;'Inv'!$D$12),"",N(O$1572)+1)</f>
        <v>0</v>
      </c>
    </row>
    <row r="1574" spans="1:15">
      <c r="A1574" s="2">
        <f>'[01_Entry.xlsx]Book'!A1574</f>
        <v/>
      </c>
      <c r="B1574" s="2">
        <f>'[01_Entry.xlsx]Book'!B1574</f>
        <v/>
      </c>
      <c r="C1574" s="2">
        <f>'[01_Entry.xlsx]Book'!D1574</f>
        <v/>
      </c>
      <c r="D1574" s="2">
        <f>'[01_Entry.xlsx]Book'!E1574</f>
        <v/>
      </c>
      <c r="E1574" s="2">
        <f>'[01_Entry.xlsx]Book'!O1574</f>
        <v/>
      </c>
      <c r="F1574" s="2">
        <f>'[01_Entry.xlsx]Book'!N1574</f>
        <v/>
      </c>
      <c r="G1574" s="3">
        <f>'[01_Entry.xlsx]Book'!L1574</f>
        <v/>
      </c>
      <c r="H1574" s="3">
        <f>'[01_Entry.xlsx]Book'!M1574</f>
        <v/>
      </c>
      <c r="I1574" s="3">
        <f>'[01_Entry.xlsx]Book'!K1574</f>
        <v/>
      </c>
      <c r="J1574" s="3">
        <f>'[01_Entry.xlsx]Book'!P1574</f>
        <v/>
      </c>
      <c r="K1574" s="3">
        <f>'[01_Entry.xlsx]Book'!F1574</f>
        <v/>
      </c>
      <c r="L1574" s="3">
        <f>'[01_Entry.xlsx]Book'!G1574</f>
        <v/>
      </c>
      <c r="M1574" s="3">
        <f>'[01_Entry.xlsx]Book'!I1574</f>
        <v/>
      </c>
      <c r="N1574" s="2">
        <f>IF($A1574="","",MID($A1574,6,2))</f>
        <v>0</v>
      </c>
      <c r="O1574" s="2">
        <f>IF(OR($C1574="",$C1574&lt;&gt;'Inv'!$D$12),"",N(O$1573)+1)</f>
        <v>0</v>
      </c>
    </row>
    <row r="1575" spans="1:15">
      <c r="A1575" s="2">
        <f>'[01_Entry.xlsx]Book'!A1575</f>
        <v/>
      </c>
      <c r="B1575" s="2">
        <f>'[01_Entry.xlsx]Book'!B1575</f>
        <v/>
      </c>
      <c r="C1575" s="2">
        <f>'[01_Entry.xlsx]Book'!D1575</f>
        <v/>
      </c>
      <c r="D1575" s="2">
        <f>'[01_Entry.xlsx]Book'!E1575</f>
        <v/>
      </c>
      <c r="E1575" s="2">
        <f>'[01_Entry.xlsx]Book'!O1575</f>
        <v/>
      </c>
      <c r="F1575" s="2">
        <f>'[01_Entry.xlsx]Book'!N1575</f>
        <v/>
      </c>
      <c r="G1575" s="3">
        <f>'[01_Entry.xlsx]Book'!L1575</f>
        <v/>
      </c>
      <c r="H1575" s="3">
        <f>'[01_Entry.xlsx]Book'!M1575</f>
        <v/>
      </c>
      <c r="I1575" s="3">
        <f>'[01_Entry.xlsx]Book'!K1575</f>
        <v/>
      </c>
      <c r="J1575" s="3">
        <f>'[01_Entry.xlsx]Book'!P1575</f>
        <v/>
      </c>
      <c r="K1575" s="3">
        <f>'[01_Entry.xlsx]Book'!F1575</f>
        <v/>
      </c>
      <c r="L1575" s="3">
        <f>'[01_Entry.xlsx]Book'!G1575</f>
        <v/>
      </c>
      <c r="M1575" s="3">
        <f>'[01_Entry.xlsx]Book'!I1575</f>
        <v/>
      </c>
      <c r="N1575" s="2">
        <f>IF($A1575="","",MID($A1575,6,2))</f>
        <v>0</v>
      </c>
      <c r="O1575" s="2">
        <f>IF(OR($C1575="",$C1575&lt;&gt;'Inv'!$D$12),"",N(O$1574)+1)</f>
        <v>0</v>
      </c>
    </row>
    <row r="1576" spans="1:15">
      <c r="A1576" s="2">
        <f>'[01_Entry.xlsx]Book'!A1576</f>
        <v/>
      </c>
      <c r="B1576" s="2">
        <f>'[01_Entry.xlsx]Book'!B1576</f>
        <v/>
      </c>
      <c r="C1576" s="2">
        <f>'[01_Entry.xlsx]Book'!D1576</f>
        <v/>
      </c>
      <c r="D1576" s="2">
        <f>'[01_Entry.xlsx]Book'!E1576</f>
        <v/>
      </c>
      <c r="E1576" s="2">
        <f>'[01_Entry.xlsx]Book'!O1576</f>
        <v/>
      </c>
      <c r="F1576" s="2">
        <f>'[01_Entry.xlsx]Book'!N1576</f>
        <v/>
      </c>
      <c r="G1576" s="3">
        <f>'[01_Entry.xlsx]Book'!L1576</f>
        <v/>
      </c>
      <c r="H1576" s="3">
        <f>'[01_Entry.xlsx]Book'!M1576</f>
        <v/>
      </c>
      <c r="I1576" s="3">
        <f>'[01_Entry.xlsx]Book'!K1576</f>
        <v/>
      </c>
      <c r="J1576" s="3">
        <f>'[01_Entry.xlsx]Book'!P1576</f>
        <v/>
      </c>
      <c r="K1576" s="3">
        <f>'[01_Entry.xlsx]Book'!F1576</f>
        <v/>
      </c>
      <c r="L1576" s="3">
        <f>'[01_Entry.xlsx]Book'!G1576</f>
        <v/>
      </c>
      <c r="M1576" s="3">
        <f>'[01_Entry.xlsx]Book'!I1576</f>
        <v/>
      </c>
      <c r="N1576" s="2">
        <f>IF($A1576="","",MID($A1576,6,2))</f>
        <v>0</v>
      </c>
      <c r="O1576" s="2">
        <f>IF(OR($C1576="",$C1576&lt;&gt;'Inv'!$D$12),"",N(O$1575)+1)</f>
        <v>0</v>
      </c>
    </row>
    <row r="1577" spans="1:15">
      <c r="A1577" s="2">
        <f>'[01_Entry.xlsx]Book'!A1577</f>
        <v/>
      </c>
      <c r="B1577" s="2">
        <f>'[01_Entry.xlsx]Book'!B1577</f>
        <v/>
      </c>
      <c r="C1577" s="2">
        <f>'[01_Entry.xlsx]Book'!D1577</f>
        <v/>
      </c>
      <c r="D1577" s="2">
        <f>'[01_Entry.xlsx]Book'!E1577</f>
        <v/>
      </c>
      <c r="E1577" s="2">
        <f>'[01_Entry.xlsx]Book'!O1577</f>
        <v/>
      </c>
      <c r="F1577" s="2">
        <f>'[01_Entry.xlsx]Book'!N1577</f>
        <v/>
      </c>
      <c r="G1577" s="3">
        <f>'[01_Entry.xlsx]Book'!L1577</f>
        <v/>
      </c>
      <c r="H1577" s="3">
        <f>'[01_Entry.xlsx]Book'!M1577</f>
        <v/>
      </c>
      <c r="I1577" s="3">
        <f>'[01_Entry.xlsx]Book'!K1577</f>
        <v/>
      </c>
      <c r="J1577" s="3">
        <f>'[01_Entry.xlsx]Book'!P1577</f>
        <v/>
      </c>
      <c r="K1577" s="3">
        <f>'[01_Entry.xlsx]Book'!F1577</f>
        <v/>
      </c>
      <c r="L1577" s="3">
        <f>'[01_Entry.xlsx]Book'!G1577</f>
        <v/>
      </c>
      <c r="M1577" s="3">
        <f>'[01_Entry.xlsx]Book'!I1577</f>
        <v/>
      </c>
      <c r="N1577" s="2">
        <f>IF($A1577="","",MID($A1577,6,2))</f>
        <v>0</v>
      </c>
      <c r="O1577" s="2">
        <f>IF(OR($C1577="",$C1577&lt;&gt;'Inv'!$D$12),"",N(O$1576)+1)</f>
        <v>0</v>
      </c>
    </row>
    <row r="1578" spans="1:15">
      <c r="A1578" s="2">
        <f>'[01_Entry.xlsx]Book'!A1578</f>
        <v/>
      </c>
      <c r="B1578" s="2">
        <f>'[01_Entry.xlsx]Book'!B1578</f>
        <v/>
      </c>
      <c r="C1578" s="2">
        <f>'[01_Entry.xlsx]Book'!D1578</f>
        <v/>
      </c>
      <c r="D1578" s="2">
        <f>'[01_Entry.xlsx]Book'!E1578</f>
        <v/>
      </c>
      <c r="E1578" s="2">
        <f>'[01_Entry.xlsx]Book'!O1578</f>
        <v/>
      </c>
      <c r="F1578" s="2">
        <f>'[01_Entry.xlsx]Book'!N1578</f>
        <v/>
      </c>
      <c r="G1578" s="3">
        <f>'[01_Entry.xlsx]Book'!L1578</f>
        <v/>
      </c>
      <c r="H1578" s="3">
        <f>'[01_Entry.xlsx]Book'!M1578</f>
        <v/>
      </c>
      <c r="I1578" s="3">
        <f>'[01_Entry.xlsx]Book'!K1578</f>
        <v/>
      </c>
      <c r="J1578" s="3">
        <f>'[01_Entry.xlsx]Book'!P1578</f>
        <v/>
      </c>
      <c r="K1578" s="3">
        <f>'[01_Entry.xlsx]Book'!F1578</f>
        <v/>
      </c>
      <c r="L1578" s="3">
        <f>'[01_Entry.xlsx]Book'!G1578</f>
        <v/>
      </c>
      <c r="M1578" s="3">
        <f>'[01_Entry.xlsx]Book'!I1578</f>
        <v/>
      </c>
      <c r="N1578" s="2">
        <f>IF($A1578="","",MID($A1578,6,2))</f>
        <v>0</v>
      </c>
      <c r="O1578" s="2">
        <f>IF(OR($C1578="",$C1578&lt;&gt;'Inv'!$D$12),"",N(O$1577)+1)</f>
        <v>0</v>
      </c>
    </row>
    <row r="1579" spans="1:15">
      <c r="A1579" s="2">
        <f>'[01_Entry.xlsx]Book'!A1579</f>
        <v/>
      </c>
      <c r="B1579" s="2">
        <f>'[01_Entry.xlsx]Book'!B1579</f>
        <v/>
      </c>
      <c r="C1579" s="2">
        <f>'[01_Entry.xlsx]Book'!D1579</f>
        <v/>
      </c>
      <c r="D1579" s="2">
        <f>'[01_Entry.xlsx]Book'!E1579</f>
        <v/>
      </c>
      <c r="E1579" s="2">
        <f>'[01_Entry.xlsx]Book'!O1579</f>
        <v/>
      </c>
      <c r="F1579" s="2">
        <f>'[01_Entry.xlsx]Book'!N1579</f>
        <v/>
      </c>
      <c r="G1579" s="3">
        <f>'[01_Entry.xlsx]Book'!L1579</f>
        <v/>
      </c>
      <c r="H1579" s="3">
        <f>'[01_Entry.xlsx]Book'!M1579</f>
        <v/>
      </c>
      <c r="I1579" s="3">
        <f>'[01_Entry.xlsx]Book'!K1579</f>
        <v/>
      </c>
      <c r="J1579" s="3">
        <f>'[01_Entry.xlsx]Book'!P1579</f>
        <v/>
      </c>
      <c r="K1579" s="3">
        <f>'[01_Entry.xlsx]Book'!F1579</f>
        <v/>
      </c>
      <c r="L1579" s="3">
        <f>'[01_Entry.xlsx]Book'!G1579</f>
        <v/>
      </c>
      <c r="M1579" s="3">
        <f>'[01_Entry.xlsx]Book'!I1579</f>
        <v/>
      </c>
      <c r="N1579" s="2">
        <f>IF($A1579="","",MID($A1579,6,2))</f>
        <v>0</v>
      </c>
      <c r="O1579" s="2">
        <f>IF(OR($C1579="",$C1579&lt;&gt;'Inv'!$D$12),"",N(O$1578)+1)</f>
        <v>0</v>
      </c>
    </row>
    <row r="1580" spans="1:15">
      <c r="A1580" s="2">
        <f>'[01_Entry.xlsx]Book'!A1580</f>
        <v/>
      </c>
      <c r="B1580" s="2">
        <f>'[01_Entry.xlsx]Book'!B1580</f>
        <v/>
      </c>
      <c r="C1580" s="2">
        <f>'[01_Entry.xlsx]Book'!D1580</f>
        <v/>
      </c>
      <c r="D1580" s="2">
        <f>'[01_Entry.xlsx]Book'!E1580</f>
        <v/>
      </c>
      <c r="E1580" s="2">
        <f>'[01_Entry.xlsx]Book'!O1580</f>
        <v/>
      </c>
      <c r="F1580" s="2">
        <f>'[01_Entry.xlsx]Book'!N1580</f>
        <v/>
      </c>
      <c r="G1580" s="3">
        <f>'[01_Entry.xlsx]Book'!L1580</f>
        <v/>
      </c>
      <c r="H1580" s="3">
        <f>'[01_Entry.xlsx]Book'!M1580</f>
        <v/>
      </c>
      <c r="I1580" s="3">
        <f>'[01_Entry.xlsx]Book'!K1580</f>
        <v/>
      </c>
      <c r="J1580" s="3">
        <f>'[01_Entry.xlsx]Book'!P1580</f>
        <v/>
      </c>
      <c r="K1580" s="3">
        <f>'[01_Entry.xlsx]Book'!F1580</f>
        <v/>
      </c>
      <c r="L1580" s="3">
        <f>'[01_Entry.xlsx]Book'!G1580</f>
        <v/>
      </c>
      <c r="M1580" s="3">
        <f>'[01_Entry.xlsx]Book'!I1580</f>
        <v/>
      </c>
      <c r="N1580" s="2">
        <f>IF($A1580="","",MID($A1580,6,2))</f>
        <v>0</v>
      </c>
      <c r="O1580" s="2">
        <f>IF(OR($C1580="",$C1580&lt;&gt;'Inv'!$D$12),"",N(O$1579)+1)</f>
        <v>0</v>
      </c>
    </row>
    <row r="1581" spans="1:15">
      <c r="A1581" s="2">
        <f>'[01_Entry.xlsx]Book'!A1581</f>
        <v/>
      </c>
      <c r="B1581" s="2">
        <f>'[01_Entry.xlsx]Book'!B1581</f>
        <v/>
      </c>
      <c r="C1581" s="2">
        <f>'[01_Entry.xlsx]Book'!D1581</f>
        <v/>
      </c>
      <c r="D1581" s="2">
        <f>'[01_Entry.xlsx]Book'!E1581</f>
        <v/>
      </c>
      <c r="E1581" s="2">
        <f>'[01_Entry.xlsx]Book'!O1581</f>
        <v/>
      </c>
      <c r="F1581" s="2">
        <f>'[01_Entry.xlsx]Book'!N1581</f>
        <v/>
      </c>
      <c r="G1581" s="3">
        <f>'[01_Entry.xlsx]Book'!L1581</f>
        <v/>
      </c>
      <c r="H1581" s="3">
        <f>'[01_Entry.xlsx]Book'!M1581</f>
        <v/>
      </c>
      <c r="I1581" s="3">
        <f>'[01_Entry.xlsx]Book'!K1581</f>
        <v/>
      </c>
      <c r="J1581" s="3">
        <f>'[01_Entry.xlsx]Book'!P1581</f>
        <v/>
      </c>
      <c r="K1581" s="3">
        <f>'[01_Entry.xlsx]Book'!F1581</f>
        <v/>
      </c>
      <c r="L1581" s="3">
        <f>'[01_Entry.xlsx]Book'!G1581</f>
        <v/>
      </c>
      <c r="M1581" s="3">
        <f>'[01_Entry.xlsx]Book'!I1581</f>
        <v/>
      </c>
      <c r="N1581" s="2">
        <f>IF($A1581="","",MID($A1581,6,2))</f>
        <v>0</v>
      </c>
      <c r="O1581" s="2">
        <f>IF(OR($C1581="",$C1581&lt;&gt;'Inv'!$D$12),"",N(O$1580)+1)</f>
        <v>0</v>
      </c>
    </row>
    <row r="1582" spans="1:15">
      <c r="A1582" s="2">
        <f>'[01_Entry.xlsx]Book'!A1582</f>
        <v/>
      </c>
      <c r="B1582" s="2">
        <f>'[01_Entry.xlsx]Book'!B1582</f>
        <v/>
      </c>
      <c r="C1582" s="2">
        <f>'[01_Entry.xlsx]Book'!D1582</f>
        <v/>
      </c>
      <c r="D1582" s="2">
        <f>'[01_Entry.xlsx]Book'!E1582</f>
        <v/>
      </c>
      <c r="E1582" s="2">
        <f>'[01_Entry.xlsx]Book'!O1582</f>
        <v/>
      </c>
      <c r="F1582" s="2">
        <f>'[01_Entry.xlsx]Book'!N1582</f>
        <v/>
      </c>
      <c r="G1582" s="3">
        <f>'[01_Entry.xlsx]Book'!L1582</f>
        <v/>
      </c>
      <c r="H1582" s="3">
        <f>'[01_Entry.xlsx]Book'!M1582</f>
        <v/>
      </c>
      <c r="I1582" s="3">
        <f>'[01_Entry.xlsx]Book'!K1582</f>
        <v/>
      </c>
      <c r="J1582" s="3">
        <f>'[01_Entry.xlsx]Book'!P1582</f>
        <v/>
      </c>
      <c r="K1582" s="3">
        <f>'[01_Entry.xlsx]Book'!F1582</f>
        <v/>
      </c>
      <c r="L1582" s="3">
        <f>'[01_Entry.xlsx]Book'!G1582</f>
        <v/>
      </c>
      <c r="M1582" s="3">
        <f>'[01_Entry.xlsx]Book'!I1582</f>
        <v/>
      </c>
      <c r="N1582" s="2">
        <f>IF($A1582="","",MID($A1582,6,2))</f>
        <v>0</v>
      </c>
      <c r="O1582" s="2">
        <f>IF(OR($C1582="",$C1582&lt;&gt;'Inv'!$D$12),"",N(O$1581)+1)</f>
        <v>0</v>
      </c>
    </row>
    <row r="1583" spans="1:15">
      <c r="A1583" s="2">
        <f>'[01_Entry.xlsx]Book'!A1583</f>
        <v/>
      </c>
      <c r="B1583" s="2">
        <f>'[01_Entry.xlsx]Book'!B1583</f>
        <v/>
      </c>
      <c r="C1583" s="2">
        <f>'[01_Entry.xlsx]Book'!D1583</f>
        <v/>
      </c>
      <c r="D1583" s="2">
        <f>'[01_Entry.xlsx]Book'!E1583</f>
        <v/>
      </c>
      <c r="E1583" s="2">
        <f>'[01_Entry.xlsx]Book'!O1583</f>
        <v/>
      </c>
      <c r="F1583" s="2">
        <f>'[01_Entry.xlsx]Book'!N1583</f>
        <v/>
      </c>
      <c r="G1583" s="3">
        <f>'[01_Entry.xlsx]Book'!L1583</f>
        <v/>
      </c>
      <c r="H1583" s="3">
        <f>'[01_Entry.xlsx]Book'!M1583</f>
        <v/>
      </c>
      <c r="I1583" s="3">
        <f>'[01_Entry.xlsx]Book'!K1583</f>
        <v/>
      </c>
      <c r="J1583" s="3">
        <f>'[01_Entry.xlsx]Book'!P1583</f>
        <v/>
      </c>
      <c r="K1583" s="3">
        <f>'[01_Entry.xlsx]Book'!F1583</f>
        <v/>
      </c>
      <c r="L1583" s="3">
        <f>'[01_Entry.xlsx]Book'!G1583</f>
        <v/>
      </c>
      <c r="M1583" s="3">
        <f>'[01_Entry.xlsx]Book'!I1583</f>
        <v/>
      </c>
      <c r="N1583" s="2">
        <f>IF($A1583="","",MID($A1583,6,2))</f>
        <v>0</v>
      </c>
      <c r="O1583" s="2">
        <f>IF(OR($C1583="",$C1583&lt;&gt;'Inv'!$D$12),"",N(O$1582)+1)</f>
        <v>0</v>
      </c>
    </row>
    <row r="1584" spans="1:15">
      <c r="A1584" s="2">
        <f>'[01_Entry.xlsx]Book'!A1584</f>
        <v/>
      </c>
      <c r="B1584" s="2">
        <f>'[01_Entry.xlsx]Book'!B1584</f>
        <v/>
      </c>
      <c r="C1584" s="2">
        <f>'[01_Entry.xlsx]Book'!D1584</f>
        <v/>
      </c>
      <c r="D1584" s="2">
        <f>'[01_Entry.xlsx]Book'!E1584</f>
        <v/>
      </c>
      <c r="E1584" s="2">
        <f>'[01_Entry.xlsx]Book'!O1584</f>
        <v/>
      </c>
      <c r="F1584" s="2">
        <f>'[01_Entry.xlsx]Book'!N1584</f>
        <v/>
      </c>
      <c r="G1584" s="3">
        <f>'[01_Entry.xlsx]Book'!L1584</f>
        <v/>
      </c>
      <c r="H1584" s="3">
        <f>'[01_Entry.xlsx]Book'!M1584</f>
        <v/>
      </c>
      <c r="I1584" s="3">
        <f>'[01_Entry.xlsx]Book'!K1584</f>
        <v/>
      </c>
      <c r="J1584" s="3">
        <f>'[01_Entry.xlsx]Book'!P1584</f>
        <v/>
      </c>
      <c r="K1584" s="3">
        <f>'[01_Entry.xlsx]Book'!F1584</f>
        <v/>
      </c>
      <c r="L1584" s="3">
        <f>'[01_Entry.xlsx]Book'!G1584</f>
        <v/>
      </c>
      <c r="M1584" s="3">
        <f>'[01_Entry.xlsx]Book'!I1584</f>
        <v/>
      </c>
      <c r="N1584" s="2">
        <f>IF($A1584="","",MID($A1584,6,2))</f>
        <v>0</v>
      </c>
      <c r="O1584" s="2">
        <f>IF(OR($C1584="",$C1584&lt;&gt;'Inv'!$D$12),"",N(O$1583)+1)</f>
        <v>0</v>
      </c>
    </row>
    <row r="1585" spans="1:15">
      <c r="A1585" s="2">
        <f>'[01_Entry.xlsx]Book'!A1585</f>
        <v/>
      </c>
      <c r="B1585" s="2">
        <f>'[01_Entry.xlsx]Book'!B1585</f>
        <v/>
      </c>
      <c r="C1585" s="2">
        <f>'[01_Entry.xlsx]Book'!D1585</f>
        <v/>
      </c>
      <c r="D1585" s="2">
        <f>'[01_Entry.xlsx]Book'!E1585</f>
        <v/>
      </c>
      <c r="E1585" s="2">
        <f>'[01_Entry.xlsx]Book'!O1585</f>
        <v/>
      </c>
      <c r="F1585" s="2">
        <f>'[01_Entry.xlsx]Book'!N1585</f>
        <v/>
      </c>
      <c r="G1585" s="3">
        <f>'[01_Entry.xlsx]Book'!L1585</f>
        <v/>
      </c>
      <c r="H1585" s="3">
        <f>'[01_Entry.xlsx]Book'!M1585</f>
        <v/>
      </c>
      <c r="I1585" s="3">
        <f>'[01_Entry.xlsx]Book'!K1585</f>
        <v/>
      </c>
      <c r="J1585" s="3">
        <f>'[01_Entry.xlsx]Book'!P1585</f>
        <v/>
      </c>
      <c r="K1585" s="3">
        <f>'[01_Entry.xlsx]Book'!F1585</f>
        <v/>
      </c>
      <c r="L1585" s="3">
        <f>'[01_Entry.xlsx]Book'!G1585</f>
        <v/>
      </c>
      <c r="M1585" s="3">
        <f>'[01_Entry.xlsx]Book'!I1585</f>
        <v/>
      </c>
      <c r="N1585" s="2">
        <f>IF($A1585="","",MID($A1585,6,2))</f>
        <v>0</v>
      </c>
      <c r="O1585" s="2">
        <f>IF(OR($C1585="",$C1585&lt;&gt;'Inv'!$D$12),"",N(O$1584)+1)</f>
        <v>0</v>
      </c>
    </row>
    <row r="1586" spans="1:15">
      <c r="A1586" s="2">
        <f>'[01_Entry.xlsx]Book'!A1586</f>
        <v/>
      </c>
      <c r="B1586" s="2">
        <f>'[01_Entry.xlsx]Book'!B1586</f>
        <v/>
      </c>
      <c r="C1586" s="2">
        <f>'[01_Entry.xlsx]Book'!D1586</f>
        <v/>
      </c>
      <c r="D1586" s="2">
        <f>'[01_Entry.xlsx]Book'!E1586</f>
        <v/>
      </c>
      <c r="E1586" s="2">
        <f>'[01_Entry.xlsx]Book'!O1586</f>
        <v/>
      </c>
      <c r="F1586" s="2">
        <f>'[01_Entry.xlsx]Book'!N1586</f>
        <v/>
      </c>
      <c r="G1586" s="3">
        <f>'[01_Entry.xlsx]Book'!L1586</f>
        <v/>
      </c>
      <c r="H1586" s="3">
        <f>'[01_Entry.xlsx]Book'!M1586</f>
        <v/>
      </c>
      <c r="I1586" s="3">
        <f>'[01_Entry.xlsx]Book'!K1586</f>
        <v/>
      </c>
      <c r="J1586" s="3">
        <f>'[01_Entry.xlsx]Book'!P1586</f>
        <v/>
      </c>
      <c r="K1586" s="3">
        <f>'[01_Entry.xlsx]Book'!F1586</f>
        <v/>
      </c>
      <c r="L1586" s="3">
        <f>'[01_Entry.xlsx]Book'!G1586</f>
        <v/>
      </c>
      <c r="M1586" s="3">
        <f>'[01_Entry.xlsx]Book'!I1586</f>
        <v/>
      </c>
      <c r="N1586" s="2">
        <f>IF($A1586="","",MID($A1586,6,2))</f>
        <v>0</v>
      </c>
      <c r="O1586" s="2">
        <f>IF(OR($C1586="",$C1586&lt;&gt;'Inv'!$D$12),"",N(O$1585)+1)</f>
        <v>0</v>
      </c>
    </row>
    <row r="1587" spans="1:15">
      <c r="A1587" s="2">
        <f>'[01_Entry.xlsx]Book'!A1587</f>
        <v/>
      </c>
      <c r="B1587" s="2">
        <f>'[01_Entry.xlsx]Book'!B1587</f>
        <v/>
      </c>
      <c r="C1587" s="2">
        <f>'[01_Entry.xlsx]Book'!D1587</f>
        <v/>
      </c>
      <c r="D1587" s="2">
        <f>'[01_Entry.xlsx]Book'!E1587</f>
        <v/>
      </c>
      <c r="E1587" s="2">
        <f>'[01_Entry.xlsx]Book'!O1587</f>
        <v/>
      </c>
      <c r="F1587" s="2">
        <f>'[01_Entry.xlsx]Book'!N1587</f>
        <v/>
      </c>
      <c r="G1587" s="3">
        <f>'[01_Entry.xlsx]Book'!L1587</f>
        <v/>
      </c>
      <c r="H1587" s="3">
        <f>'[01_Entry.xlsx]Book'!M1587</f>
        <v/>
      </c>
      <c r="I1587" s="3">
        <f>'[01_Entry.xlsx]Book'!K1587</f>
        <v/>
      </c>
      <c r="J1587" s="3">
        <f>'[01_Entry.xlsx]Book'!P1587</f>
        <v/>
      </c>
      <c r="K1587" s="3">
        <f>'[01_Entry.xlsx]Book'!F1587</f>
        <v/>
      </c>
      <c r="L1587" s="3">
        <f>'[01_Entry.xlsx]Book'!G1587</f>
        <v/>
      </c>
      <c r="M1587" s="3">
        <f>'[01_Entry.xlsx]Book'!I1587</f>
        <v/>
      </c>
      <c r="N1587" s="2">
        <f>IF($A1587="","",MID($A1587,6,2))</f>
        <v>0</v>
      </c>
      <c r="O1587" s="2">
        <f>IF(OR($C1587="",$C1587&lt;&gt;'Inv'!$D$12),"",N(O$1586)+1)</f>
        <v>0</v>
      </c>
    </row>
    <row r="1588" spans="1:15">
      <c r="A1588" s="2">
        <f>'[01_Entry.xlsx]Book'!A1588</f>
        <v/>
      </c>
      <c r="B1588" s="2">
        <f>'[01_Entry.xlsx]Book'!B1588</f>
        <v/>
      </c>
      <c r="C1588" s="2">
        <f>'[01_Entry.xlsx]Book'!D1588</f>
        <v/>
      </c>
      <c r="D1588" s="2">
        <f>'[01_Entry.xlsx]Book'!E1588</f>
        <v/>
      </c>
      <c r="E1588" s="2">
        <f>'[01_Entry.xlsx]Book'!O1588</f>
        <v/>
      </c>
      <c r="F1588" s="2">
        <f>'[01_Entry.xlsx]Book'!N1588</f>
        <v/>
      </c>
      <c r="G1588" s="3">
        <f>'[01_Entry.xlsx]Book'!L1588</f>
        <v/>
      </c>
      <c r="H1588" s="3">
        <f>'[01_Entry.xlsx]Book'!M1588</f>
        <v/>
      </c>
      <c r="I1588" s="3">
        <f>'[01_Entry.xlsx]Book'!K1588</f>
        <v/>
      </c>
      <c r="J1588" s="3">
        <f>'[01_Entry.xlsx]Book'!P1588</f>
        <v/>
      </c>
      <c r="K1588" s="3">
        <f>'[01_Entry.xlsx]Book'!F1588</f>
        <v/>
      </c>
      <c r="L1588" s="3">
        <f>'[01_Entry.xlsx]Book'!G1588</f>
        <v/>
      </c>
      <c r="M1588" s="3">
        <f>'[01_Entry.xlsx]Book'!I1588</f>
        <v/>
      </c>
      <c r="N1588" s="2">
        <f>IF($A1588="","",MID($A1588,6,2))</f>
        <v>0</v>
      </c>
      <c r="O1588" s="2">
        <f>IF(OR($C1588="",$C1588&lt;&gt;'Inv'!$D$12),"",N(O$1587)+1)</f>
        <v>0</v>
      </c>
    </row>
    <row r="1589" spans="1:15">
      <c r="A1589" s="2">
        <f>'[01_Entry.xlsx]Book'!A1589</f>
        <v/>
      </c>
      <c r="B1589" s="2">
        <f>'[01_Entry.xlsx]Book'!B1589</f>
        <v/>
      </c>
      <c r="C1589" s="2">
        <f>'[01_Entry.xlsx]Book'!D1589</f>
        <v/>
      </c>
      <c r="D1589" s="2">
        <f>'[01_Entry.xlsx]Book'!E1589</f>
        <v/>
      </c>
      <c r="E1589" s="2">
        <f>'[01_Entry.xlsx]Book'!O1589</f>
        <v/>
      </c>
      <c r="F1589" s="2">
        <f>'[01_Entry.xlsx]Book'!N1589</f>
        <v/>
      </c>
      <c r="G1589" s="3">
        <f>'[01_Entry.xlsx]Book'!L1589</f>
        <v/>
      </c>
      <c r="H1589" s="3">
        <f>'[01_Entry.xlsx]Book'!M1589</f>
        <v/>
      </c>
      <c r="I1589" s="3">
        <f>'[01_Entry.xlsx]Book'!K1589</f>
        <v/>
      </c>
      <c r="J1589" s="3">
        <f>'[01_Entry.xlsx]Book'!P1589</f>
        <v/>
      </c>
      <c r="K1589" s="3">
        <f>'[01_Entry.xlsx]Book'!F1589</f>
        <v/>
      </c>
      <c r="L1589" s="3">
        <f>'[01_Entry.xlsx]Book'!G1589</f>
        <v/>
      </c>
      <c r="M1589" s="3">
        <f>'[01_Entry.xlsx]Book'!I1589</f>
        <v/>
      </c>
      <c r="N1589" s="2">
        <f>IF($A1589="","",MID($A1589,6,2))</f>
        <v>0</v>
      </c>
      <c r="O1589" s="2">
        <f>IF(OR($C1589="",$C1589&lt;&gt;'Inv'!$D$12),"",N(O$1588)+1)</f>
        <v>0</v>
      </c>
    </row>
    <row r="1590" spans="1:15">
      <c r="A1590" s="2">
        <f>'[01_Entry.xlsx]Book'!A1590</f>
        <v/>
      </c>
      <c r="B1590" s="2">
        <f>'[01_Entry.xlsx]Book'!B1590</f>
        <v/>
      </c>
      <c r="C1590" s="2">
        <f>'[01_Entry.xlsx]Book'!D1590</f>
        <v/>
      </c>
      <c r="D1590" s="2">
        <f>'[01_Entry.xlsx]Book'!E1590</f>
        <v/>
      </c>
      <c r="E1590" s="2">
        <f>'[01_Entry.xlsx]Book'!O1590</f>
        <v/>
      </c>
      <c r="F1590" s="2">
        <f>'[01_Entry.xlsx]Book'!N1590</f>
        <v/>
      </c>
      <c r="G1590" s="3">
        <f>'[01_Entry.xlsx]Book'!L1590</f>
        <v/>
      </c>
      <c r="H1590" s="3">
        <f>'[01_Entry.xlsx]Book'!M1590</f>
        <v/>
      </c>
      <c r="I1590" s="3">
        <f>'[01_Entry.xlsx]Book'!K1590</f>
        <v/>
      </c>
      <c r="J1590" s="3">
        <f>'[01_Entry.xlsx]Book'!P1590</f>
        <v/>
      </c>
      <c r="K1590" s="3">
        <f>'[01_Entry.xlsx]Book'!F1590</f>
        <v/>
      </c>
      <c r="L1590" s="3">
        <f>'[01_Entry.xlsx]Book'!G1590</f>
        <v/>
      </c>
      <c r="M1590" s="3">
        <f>'[01_Entry.xlsx]Book'!I1590</f>
        <v/>
      </c>
      <c r="N1590" s="2">
        <f>IF($A1590="","",MID($A1590,6,2))</f>
        <v>0</v>
      </c>
      <c r="O1590" s="2">
        <f>IF(OR($C1590="",$C1590&lt;&gt;'Inv'!$D$12),"",N(O$1589)+1)</f>
        <v>0</v>
      </c>
    </row>
    <row r="1591" spans="1:15">
      <c r="A1591" s="2">
        <f>'[01_Entry.xlsx]Book'!A1591</f>
        <v/>
      </c>
      <c r="B1591" s="2">
        <f>'[01_Entry.xlsx]Book'!B1591</f>
        <v/>
      </c>
      <c r="C1591" s="2">
        <f>'[01_Entry.xlsx]Book'!D1591</f>
        <v/>
      </c>
      <c r="D1591" s="2">
        <f>'[01_Entry.xlsx]Book'!E1591</f>
        <v/>
      </c>
      <c r="E1591" s="2">
        <f>'[01_Entry.xlsx]Book'!O1591</f>
        <v/>
      </c>
      <c r="F1591" s="2">
        <f>'[01_Entry.xlsx]Book'!N1591</f>
        <v/>
      </c>
      <c r="G1591" s="3">
        <f>'[01_Entry.xlsx]Book'!L1591</f>
        <v/>
      </c>
      <c r="H1591" s="3">
        <f>'[01_Entry.xlsx]Book'!M1591</f>
        <v/>
      </c>
      <c r="I1591" s="3">
        <f>'[01_Entry.xlsx]Book'!K1591</f>
        <v/>
      </c>
      <c r="J1591" s="3">
        <f>'[01_Entry.xlsx]Book'!P1591</f>
        <v/>
      </c>
      <c r="K1591" s="3">
        <f>'[01_Entry.xlsx]Book'!F1591</f>
        <v/>
      </c>
      <c r="L1591" s="3">
        <f>'[01_Entry.xlsx]Book'!G1591</f>
        <v/>
      </c>
      <c r="M1591" s="3">
        <f>'[01_Entry.xlsx]Book'!I1591</f>
        <v/>
      </c>
      <c r="N1591" s="2">
        <f>IF($A1591="","",MID($A1591,6,2))</f>
        <v>0</v>
      </c>
      <c r="O1591" s="2">
        <f>IF(OR($C1591="",$C1591&lt;&gt;'Inv'!$D$12),"",N(O$1590)+1)</f>
        <v>0</v>
      </c>
    </row>
    <row r="1592" spans="1:15">
      <c r="A1592" s="2">
        <f>'[01_Entry.xlsx]Book'!A1592</f>
        <v/>
      </c>
      <c r="B1592" s="2">
        <f>'[01_Entry.xlsx]Book'!B1592</f>
        <v/>
      </c>
      <c r="C1592" s="2">
        <f>'[01_Entry.xlsx]Book'!D1592</f>
        <v/>
      </c>
      <c r="D1592" s="2">
        <f>'[01_Entry.xlsx]Book'!E1592</f>
        <v/>
      </c>
      <c r="E1592" s="2">
        <f>'[01_Entry.xlsx]Book'!O1592</f>
        <v/>
      </c>
      <c r="F1592" s="2">
        <f>'[01_Entry.xlsx]Book'!N1592</f>
        <v/>
      </c>
      <c r="G1592" s="3">
        <f>'[01_Entry.xlsx]Book'!L1592</f>
        <v/>
      </c>
      <c r="H1592" s="3">
        <f>'[01_Entry.xlsx]Book'!M1592</f>
        <v/>
      </c>
      <c r="I1592" s="3">
        <f>'[01_Entry.xlsx]Book'!K1592</f>
        <v/>
      </c>
      <c r="J1592" s="3">
        <f>'[01_Entry.xlsx]Book'!P1592</f>
        <v/>
      </c>
      <c r="K1592" s="3">
        <f>'[01_Entry.xlsx]Book'!F1592</f>
        <v/>
      </c>
      <c r="L1592" s="3">
        <f>'[01_Entry.xlsx]Book'!G1592</f>
        <v/>
      </c>
      <c r="M1592" s="3">
        <f>'[01_Entry.xlsx]Book'!I1592</f>
        <v/>
      </c>
      <c r="N1592" s="2">
        <f>IF($A1592="","",MID($A1592,6,2))</f>
        <v>0</v>
      </c>
      <c r="O1592" s="2">
        <f>IF(OR($C1592="",$C1592&lt;&gt;'Inv'!$D$12),"",N(O$1591)+1)</f>
        <v>0</v>
      </c>
    </row>
    <row r="1593" spans="1:15">
      <c r="A1593" s="2">
        <f>'[01_Entry.xlsx]Book'!A1593</f>
        <v/>
      </c>
      <c r="B1593" s="2">
        <f>'[01_Entry.xlsx]Book'!B1593</f>
        <v/>
      </c>
      <c r="C1593" s="2">
        <f>'[01_Entry.xlsx]Book'!D1593</f>
        <v/>
      </c>
      <c r="D1593" s="2">
        <f>'[01_Entry.xlsx]Book'!E1593</f>
        <v/>
      </c>
      <c r="E1593" s="2">
        <f>'[01_Entry.xlsx]Book'!O1593</f>
        <v/>
      </c>
      <c r="F1593" s="2">
        <f>'[01_Entry.xlsx]Book'!N1593</f>
        <v/>
      </c>
      <c r="G1593" s="3">
        <f>'[01_Entry.xlsx]Book'!L1593</f>
        <v/>
      </c>
      <c r="H1593" s="3">
        <f>'[01_Entry.xlsx]Book'!M1593</f>
        <v/>
      </c>
      <c r="I1593" s="3">
        <f>'[01_Entry.xlsx]Book'!K1593</f>
        <v/>
      </c>
      <c r="J1593" s="3">
        <f>'[01_Entry.xlsx]Book'!P1593</f>
        <v/>
      </c>
      <c r="K1593" s="3">
        <f>'[01_Entry.xlsx]Book'!F1593</f>
        <v/>
      </c>
      <c r="L1593" s="3">
        <f>'[01_Entry.xlsx]Book'!G1593</f>
        <v/>
      </c>
      <c r="M1593" s="3">
        <f>'[01_Entry.xlsx]Book'!I1593</f>
        <v/>
      </c>
      <c r="N1593" s="2">
        <f>IF($A1593="","",MID($A1593,6,2))</f>
        <v>0</v>
      </c>
      <c r="O1593" s="2">
        <f>IF(OR($C1593="",$C1593&lt;&gt;'Inv'!$D$12),"",N(O$1592)+1)</f>
        <v>0</v>
      </c>
    </row>
    <row r="1594" spans="1:15">
      <c r="A1594" s="2">
        <f>'[01_Entry.xlsx]Book'!A1594</f>
        <v/>
      </c>
      <c r="B1594" s="2">
        <f>'[01_Entry.xlsx]Book'!B1594</f>
        <v/>
      </c>
      <c r="C1594" s="2">
        <f>'[01_Entry.xlsx]Book'!D1594</f>
        <v/>
      </c>
      <c r="D1594" s="2">
        <f>'[01_Entry.xlsx]Book'!E1594</f>
        <v/>
      </c>
      <c r="E1594" s="2">
        <f>'[01_Entry.xlsx]Book'!O1594</f>
        <v/>
      </c>
      <c r="F1594" s="2">
        <f>'[01_Entry.xlsx]Book'!N1594</f>
        <v/>
      </c>
      <c r="G1594" s="3">
        <f>'[01_Entry.xlsx]Book'!L1594</f>
        <v/>
      </c>
      <c r="H1594" s="3">
        <f>'[01_Entry.xlsx]Book'!M1594</f>
        <v/>
      </c>
      <c r="I1594" s="3">
        <f>'[01_Entry.xlsx]Book'!K1594</f>
        <v/>
      </c>
      <c r="J1594" s="3">
        <f>'[01_Entry.xlsx]Book'!P1594</f>
        <v/>
      </c>
      <c r="K1594" s="3">
        <f>'[01_Entry.xlsx]Book'!F1594</f>
        <v/>
      </c>
      <c r="L1594" s="3">
        <f>'[01_Entry.xlsx]Book'!G1594</f>
        <v/>
      </c>
      <c r="M1594" s="3">
        <f>'[01_Entry.xlsx]Book'!I1594</f>
        <v/>
      </c>
      <c r="N1594" s="2">
        <f>IF($A1594="","",MID($A1594,6,2))</f>
        <v>0</v>
      </c>
      <c r="O1594" s="2">
        <f>IF(OR($C1594="",$C1594&lt;&gt;'Inv'!$D$12),"",N(O$1593)+1)</f>
        <v>0</v>
      </c>
    </row>
    <row r="1595" spans="1:15">
      <c r="A1595" s="2">
        <f>'[01_Entry.xlsx]Book'!A1595</f>
        <v/>
      </c>
      <c r="B1595" s="2">
        <f>'[01_Entry.xlsx]Book'!B1595</f>
        <v/>
      </c>
      <c r="C1595" s="2">
        <f>'[01_Entry.xlsx]Book'!D1595</f>
        <v/>
      </c>
      <c r="D1595" s="2">
        <f>'[01_Entry.xlsx]Book'!E1595</f>
        <v/>
      </c>
      <c r="E1595" s="2">
        <f>'[01_Entry.xlsx]Book'!O1595</f>
        <v/>
      </c>
      <c r="F1595" s="2">
        <f>'[01_Entry.xlsx]Book'!N1595</f>
        <v/>
      </c>
      <c r="G1595" s="3">
        <f>'[01_Entry.xlsx]Book'!L1595</f>
        <v/>
      </c>
      <c r="H1595" s="3">
        <f>'[01_Entry.xlsx]Book'!M1595</f>
        <v/>
      </c>
      <c r="I1595" s="3">
        <f>'[01_Entry.xlsx]Book'!K1595</f>
        <v/>
      </c>
      <c r="J1595" s="3">
        <f>'[01_Entry.xlsx]Book'!P1595</f>
        <v/>
      </c>
      <c r="K1595" s="3">
        <f>'[01_Entry.xlsx]Book'!F1595</f>
        <v/>
      </c>
      <c r="L1595" s="3">
        <f>'[01_Entry.xlsx]Book'!G1595</f>
        <v/>
      </c>
      <c r="M1595" s="3">
        <f>'[01_Entry.xlsx]Book'!I1595</f>
        <v/>
      </c>
      <c r="N1595" s="2">
        <f>IF($A1595="","",MID($A1595,6,2))</f>
        <v>0</v>
      </c>
      <c r="O1595" s="2">
        <f>IF(OR($C1595="",$C1595&lt;&gt;'Inv'!$D$12),"",N(O$1594)+1)</f>
        <v>0</v>
      </c>
    </row>
    <row r="1596" spans="1:15">
      <c r="A1596" s="2">
        <f>'[01_Entry.xlsx]Book'!A1596</f>
        <v/>
      </c>
      <c r="B1596" s="2">
        <f>'[01_Entry.xlsx]Book'!B1596</f>
        <v/>
      </c>
      <c r="C1596" s="2">
        <f>'[01_Entry.xlsx]Book'!D1596</f>
        <v/>
      </c>
      <c r="D1596" s="2">
        <f>'[01_Entry.xlsx]Book'!E1596</f>
        <v/>
      </c>
      <c r="E1596" s="2">
        <f>'[01_Entry.xlsx]Book'!O1596</f>
        <v/>
      </c>
      <c r="F1596" s="2">
        <f>'[01_Entry.xlsx]Book'!N1596</f>
        <v/>
      </c>
      <c r="G1596" s="3">
        <f>'[01_Entry.xlsx]Book'!L1596</f>
        <v/>
      </c>
      <c r="H1596" s="3">
        <f>'[01_Entry.xlsx]Book'!M1596</f>
        <v/>
      </c>
      <c r="I1596" s="3">
        <f>'[01_Entry.xlsx]Book'!K1596</f>
        <v/>
      </c>
      <c r="J1596" s="3">
        <f>'[01_Entry.xlsx]Book'!P1596</f>
        <v/>
      </c>
      <c r="K1596" s="3">
        <f>'[01_Entry.xlsx]Book'!F1596</f>
        <v/>
      </c>
      <c r="L1596" s="3">
        <f>'[01_Entry.xlsx]Book'!G1596</f>
        <v/>
      </c>
      <c r="M1596" s="3">
        <f>'[01_Entry.xlsx]Book'!I1596</f>
        <v/>
      </c>
      <c r="N1596" s="2">
        <f>IF($A1596="","",MID($A1596,6,2))</f>
        <v>0</v>
      </c>
      <c r="O1596" s="2">
        <f>IF(OR($C1596="",$C1596&lt;&gt;'Inv'!$D$12),"",N(O$1595)+1)</f>
        <v>0</v>
      </c>
    </row>
    <row r="1597" spans="1:15">
      <c r="A1597" s="2">
        <f>'[01_Entry.xlsx]Book'!A1597</f>
        <v/>
      </c>
      <c r="B1597" s="2">
        <f>'[01_Entry.xlsx]Book'!B1597</f>
        <v/>
      </c>
      <c r="C1597" s="2">
        <f>'[01_Entry.xlsx]Book'!D1597</f>
        <v/>
      </c>
      <c r="D1597" s="2">
        <f>'[01_Entry.xlsx]Book'!E1597</f>
        <v/>
      </c>
      <c r="E1597" s="2">
        <f>'[01_Entry.xlsx]Book'!O1597</f>
        <v/>
      </c>
      <c r="F1597" s="2">
        <f>'[01_Entry.xlsx]Book'!N1597</f>
        <v/>
      </c>
      <c r="G1597" s="3">
        <f>'[01_Entry.xlsx]Book'!L1597</f>
        <v/>
      </c>
      <c r="H1597" s="3">
        <f>'[01_Entry.xlsx]Book'!M1597</f>
        <v/>
      </c>
      <c r="I1597" s="3">
        <f>'[01_Entry.xlsx]Book'!K1597</f>
        <v/>
      </c>
      <c r="J1597" s="3">
        <f>'[01_Entry.xlsx]Book'!P1597</f>
        <v/>
      </c>
      <c r="K1597" s="3">
        <f>'[01_Entry.xlsx]Book'!F1597</f>
        <v/>
      </c>
      <c r="L1597" s="3">
        <f>'[01_Entry.xlsx]Book'!G1597</f>
        <v/>
      </c>
      <c r="M1597" s="3">
        <f>'[01_Entry.xlsx]Book'!I1597</f>
        <v/>
      </c>
      <c r="N1597" s="2">
        <f>IF($A1597="","",MID($A1597,6,2))</f>
        <v>0</v>
      </c>
      <c r="O1597" s="2">
        <f>IF(OR($C1597="",$C1597&lt;&gt;'Inv'!$D$12),"",N(O$1596)+1)</f>
        <v>0</v>
      </c>
    </row>
    <row r="1598" spans="1:15">
      <c r="A1598" s="2">
        <f>'[01_Entry.xlsx]Book'!A1598</f>
        <v/>
      </c>
      <c r="B1598" s="2">
        <f>'[01_Entry.xlsx]Book'!B1598</f>
        <v/>
      </c>
      <c r="C1598" s="2">
        <f>'[01_Entry.xlsx]Book'!D1598</f>
        <v/>
      </c>
      <c r="D1598" s="2">
        <f>'[01_Entry.xlsx]Book'!E1598</f>
        <v/>
      </c>
      <c r="E1598" s="2">
        <f>'[01_Entry.xlsx]Book'!O1598</f>
        <v/>
      </c>
      <c r="F1598" s="2">
        <f>'[01_Entry.xlsx]Book'!N1598</f>
        <v/>
      </c>
      <c r="G1598" s="3">
        <f>'[01_Entry.xlsx]Book'!L1598</f>
        <v/>
      </c>
      <c r="H1598" s="3">
        <f>'[01_Entry.xlsx]Book'!M1598</f>
        <v/>
      </c>
      <c r="I1598" s="3">
        <f>'[01_Entry.xlsx]Book'!K1598</f>
        <v/>
      </c>
      <c r="J1598" s="3">
        <f>'[01_Entry.xlsx]Book'!P1598</f>
        <v/>
      </c>
      <c r="K1598" s="3">
        <f>'[01_Entry.xlsx]Book'!F1598</f>
        <v/>
      </c>
      <c r="L1598" s="3">
        <f>'[01_Entry.xlsx]Book'!G1598</f>
        <v/>
      </c>
      <c r="M1598" s="3">
        <f>'[01_Entry.xlsx]Book'!I1598</f>
        <v/>
      </c>
      <c r="N1598" s="2">
        <f>IF($A1598="","",MID($A1598,6,2))</f>
        <v>0</v>
      </c>
      <c r="O1598" s="2">
        <f>IF(OR($C1598="",$C1598&lt;&gt;'Inv'!$D$12),"",N(O$1597)+1)</f>
        <v>0</v>
      </c>
    </row>
    <row r="1599" spans="1:15">
      <c r="A1599" s="2">
        <f>'[01_Entry.xlsx]Book'!A1599</f>
        <v/>
      </c>
      <c r="B1599" s="2">
        <f>'[01_Entry.xlsx]Book'!B1599</f>
        <v/>
      </c>
      <c r="C1599" s="2">
        <f>'[01_Entry.xlsx]Book'!D1599</f>
        <v/>
      </c>
      <c r="D1599" s="2">
        <f>'[01_Entry.xlsx]Book'!E1599</f>
        <v/>
      </c>
      <c r="E1599" s="2">
        <f>'[01_Entry.xlsx]Book'!O1599</f>
        <v/>
      </c>
      <c r="F1599" s="2">
        <f>'[01_Entry.xlsx]Book'!N1599</f>
        <v/>
      </c>
      <c r="G1599" s="3">
        <f>'[01_Entry.xlsx]Book'!L1599</f>
        <v/>
      </c>
      <c r="H1599" s="3">
        <f>'[01_Entry.xlsx]Book'!M1599</f>
        <v/>
      </c>
      <c r="I1599" s="3">
        <f>'[01_Entry.xlsx]Book'!K1599</f>
        <v/>
      </c>
      <c r="J1599" s="3">
        <f>'[01_Entry.xlsx]Book'!P1599</f>
        <v/>
      </c>
      <c r="K1599" s="3">
        <f>'[01_Entry.xlsx]Book'!F1599</f>
        <v/>
      </c>
      <c r="L1599" s="3">
        <f>'[01_Entry.xlsx]Book'!G1599</f>
        <v/>
      </c>
      <c r="M1599" s="3">
        <f>'[01_Entry.xlsx]Book'!I1599</f>
        <v/>
      </c>
      <c r="N1599" s="2">
        <f>IF($A1599="","",MID($A1599,6,2))</f>
        <v>0</v>
      </c>
      <c r="O1599" s="2">
        <f>IF(OR($C1599="",$C1599&lt;&gt;'Inv'!$D$12),"",N(O$1598)+1)</f>
        <v>0</v>
      </c>
    </row>
    <row r="1600" spans="1:15">
      <c r="A1600" s="2">
        <f>'[01_Entry.xlsx]Book'!A1600</f>
        <v/>
      </c>
      <c r="B1600" s="2">
        <f>'[01_Entry.xlsx]Book'!B1600</f>
        <v/>
      </c>
      <c r="C1600" s="2">
        <f>'[01_Entry.xlsx]Book'!D1600</f>
        <v/>
      </c>
      <c r="D1600" s="2">
        <f>'[01_Entry.xlsx]Book'!E1600</f>
        <v/>
      </c>
      <c r="E1600" s="2">
        <f>'[01_Entry.xlsx]Book'!O1600</f>
        <v/>
      </c>
      <c r="F1600" s="2">
        <f>'[01_Entry.xlsx]Book'!N1600</f>
        <v/>
      </c>
      <c r="G1600" s="3">
        <f>'[01_Entry.xlsx]Book'!L1600</f>
        <v/>
      </c>
      <c r="H1600" s="3">
        <f>'[01_Entry.xlsx]Book'!M1600</f>
        <v/>
      </c>
      <c r="I1600" s="3">
        <f>'[01_Entry.xlsx]Book'!K1600</f>
        <v/>
      </c>
      <c r="J1600" s="3">
        <f>'[01_Entry.xlsx]Book'!P1600</f>
        <v/>
      </c>
      <c r="K1600" s="3">
        <f>'[01_Entry.xlsx]Book'!F1600</f>
        <v/>
      </c>
      <c r="L1600" s="3">
        <f>'[01_Entry.xlsx]Book'!G1600</f>
        <v/>
      </c>
      <c r="M1600" s="3">
        <f>'[01_Entry.xlsx]Book'!I1600</f>
        <v/>
      </c>
      <c r="N1600" s="2">
        <f>IF($A1600="","",MID($A1600,6,2))</f>
        <v>0</v>
      </c>
      <c r="O1600" s="2">
        <f>IF(OR($C1600="",$C1600&lt;&gt;'Inv'!$D$12),"",N(O$1599)+1)</f>
        <v>0</v>
      </c>
    </row>
    <row r="1601" spans="1:15">
      <c r="A1601" s="2">
        <f>'[01_Entry.xlsx]Book'!A1601</f>
        <v/>
      </c>
      <c r="B1601" s="2">
        <f>'[01_Entry.xlsx]Book'!B1601</f>
        <v/>
      </c>
      <c r="C1601" s="2">
        <f>'[01_Entry.xlsx]Book'!D1601</f>
        <v/>
      </c>
      <c r="D1601" s="2">
        <f>'[01_Entry.xlsx]Book'!E1601</f>
        <v/>
      </c>
      <c r="E1601" s="2">
        <f>'[01_Entry.xlsx]Book'!O1601</f>
        <v/>
      </c>
      <c r="F1601" s="2">
        <f>'[01_Entry.xlsx]Book'!N1601</f>
        <v/>
      </c>
      <c r="G1601" s="3">
        <f>'[01_Entry.xlsx]Book'!L1601</f>
        <v/>
      </c>
      <c r="H1601" s="3">
        <f>'[01_Entry.xlsx]Book'!M1601</f>
        <v/>
      </c>
      <c r="I1601" s="3">
        <f>'[01_Entry.xlsx]Book'!K1601</f>
        <v/>
      </c>
      <c r="J1601" s="3">
        <f>'[01_Entry.xlsx]Book'!P1601</f>
        <v/>
      </c>
      <c r="K1601" s="3">
        <f>'[01_Entry.xlsx]Book'!F1601</f>
        <v/>
      </c>
      <c r="L1601" s="3">
        <f>'[01_Entry.xlsx]Book'!G1601</f>
        <v/>
      </c>
      <c r="M1601" s="3">
        <f>'[01_Entry.xlsx]Book'!I1601</f>
        <v/>
      </c>
      <c r="N1601" s="2">
        <f>IF($A1601="","",MID($A1601,6,2))</f>
        <v>0</v>
      </c>
      <c r="O1601" s="2">
        <f>IF(OR($C1601="",$C1601&lt;&gt;'Inv'!$D$12),"",N(O$1600)+1)</f>
        <v>0</v>
      </c>
    </row>
    <row r="1602" spans="1:15">
      <c r="A1602" s="2">
        <f>'[01_Entry.xlsx]Book'!A1602</f>
        <v/>
      </c>
      <c r="B1602" s="2">
        <f>'[01_Entry.xlsx]Book'!B1602</f>
        <v/>
      </c>
      <c r="C1602" s="2">
        <f>'[01_Entry.xlsx]Book'!D1602</f>
        <v/>
      </c>
      <c r="D1602" s="2">
        <f>'[01_Entry.xlsx]Book'!E1602</f>
        <v/>
      </c>
      <c r="E1602" s="2">
        <f>'[01_Entry.xlsx]Book'!O1602</f>
        <v/>
      </c>
      <c r="F1602" s="2">
        <f>'[01_Entry.xlsx]Book'!N1602</f>
        <v/>
      </c>
      <c r="G1602" s="3">
        <f>'[01_Entry.xlsx]Book'!L1602</f>
        <v/>
      </c>
      <c r="H1602" s="3">
        <f>'[01_Entry.xlsx]Book'!M1602</f>
        <v/>
      </c>
      <c r="I1602" s="3">
        <f>'[01_Entry.xlsx]Book'!K1602</f>
        <v/>
      </c>
      <c r="J1602" s="3">
        <f>'[01_Entry.xlsx]Book'!P1602</f>
        <v/>
      </c>
      <c r="K1602" s="3">
        <f>'[01_Entry.xlsx]Book'!F1602</f>
        <v/>
      </c>
      <c r="L1602" s="3">
        <f>'[01_Entry.xlsx]Book'!G1602</f>
        <v/>
      </c>
      <c r="M1602" s="3">
        <f>'[01_Entry.xlsx]Book'!I1602</f>
        <v/>
      </c>
      <c r="N1602" s="2">
        <f>IF($A1602="","",MID($A1602,6,2))</f>
        <v>0</v>
      </c>
      <c r="O1602" s="2">
        <f>IF(OR($C1602="",$C1602&lt;&gt;'Inv'!$D$12),"",N(O$1601)+1)</f>
        <v>0</v>
      </c>
    </row>
    <row r="1603" spans="1:15">
      <c r="A1603" s="2">
        <f>'[01_Entry.xlsx]Book'!A1603</f>
        <v/>
      </c>
      <c r="B1603" s="2">
        <f>'[01_Entry.xlsx]Book'!B1603</f>
        <v/>
      </c>
      <c r="C1603" s="2">
        <f>'[01_Entry.xlsx]Book'!D1603</f>
        <v/>
      </c>
      <c r="D1603" s="2">
        <f>'[01_Entry.xlsx]Book'!E1603</f>
        <v/>
      </c>
      <c r="E1603" s="2">
        <f>'[01_Entry.xlsx]Book'!O1603</f>
        <v/>
      </c>
      <c r="F1603" s="2">
        <f>'[01_Entry.xlsx]Book'!N1603</f>
        <v/>
      </c>
      <c r="G1603" s="3">
        <f>'[01_Entry.xlsx]Book'!L1603</f>
        <v/>
      </c>
      <c r="H1603" s="3">
        <f>'[01_Entry.xlsx]Book'!M1603</f>
        <v/>
      </c>
      <c r="I1603" s="3">
        <f>'[01_Entry.xlsx]Book'!K1603</f>
        <v/>
      </c>
      <c r="J1603" s="3">
        <f>'[01_Entry.xlsx]Book'!P1603</f>
        <v/>
      </c>
      <c r="K1603" s="3">
        <f>'[01_Entry.xlsx]Book'!F1603</f>
        <v/>
      </c>
      <c r="L1603" s="3">
        <f>'[01_Entry.xlsx]Book'!G1603</f>
        <v/>
      </c>
      <c r="M1603" s="3">
        <f>'[01_Entry.xlsx]Book'!I1603</f>
        <v/>
      </c>
      <c r="N1603" s="2">
        <f>IF($A1603="","",MID($A1603,6,2))</f>
        <v>0</v>
      </c>
      <c r="O1603" s="2">
        <f>IF(OR($C1603="",$C1603&lt;&gt;'Inv'!$D$12),"",N(O$1602)+1)</f>
        <v>0</v>
      </c>
    </row>
    <row r="1604" spans="1:15">
      <c r="A1604" s="2">
        <f>'[01_Entry.xlsx]Book'!A1604</f>
        <v/>
      </c>
      <c r="B1604" s="2">
        <f>'[01_Entry.xlsx]Book'!B1604</f>
        <v/>
      </c>
      <c r="C1604" s="2">
        <f>'[01_Entry.xlsx]Book'!D1604</f>
        <v/>
      </c>
      <c r="D1604" s="2">
        <f>'[01_Entry.xlsx]Book'!E1604</f>
        <v/>
      </c>
      <c r="E1604" s="2">
        <f>'[01_Entry.xlsx]Book'!O1604</f>
        <v/>
      </c>
      <c r="F1604" s="2">
        <f>'[01_Entry.xlsx]Book'!N1604</f>
        <v/>
      </c>
      <c r="G1604" s="3">
        <f>'[01_Entry.xlsx]Book'!L1604</f>
        <v/>
      </c>
      <c r="H1604" s="3">
        <f>'[01_Entry.xlsx]Book'!M1604</f>
        <v/>
      </c>
      <c r="I1604" s="3">
        <f>'[01_Entry.xlsx]Book'!K1604</f>
        <v/>
      </c>
      <c r="J1604" s="3">
        <f>'[01_Entry.xlsx]Book'!P1604</f>
        <v/>
      </c>
      <c r="K1604" s="3">
        <f>'[01_Entry.xlsx]Book'!F1604</f>
        <v/>
      </c>
      <c r="L1604" s="3">
        <f>'[01_Entry.xlsx]Book'!G1604</f>
        <v/>
      </c>
      <c r="M1604" s="3">
        <f>'[01_Entry.xlsx]Book'!I1604</f>
        <v/>
      </c>
      <c r="N1604" s="2">
        <f>IF($A1604="","",MID($A1604,6,2))</f>
        <v>0</v>
      </c>
      <c r="O1604" s="2">
        <f>IF(OR($C1604="",$C1604&lt;&gt;'Inv'!$D$12),"",N(O$1603)+1)</f>
        <v>0</v>
      </c>
    </row>
    <row r="1605" spans="1:15">
      <c r="A1605" s="2">
        <f>'[01_Entry.xlsx]Book'!A1605</f>
        <v/>
      </c>
      <c r="B1605" s="2">
        <f>'[01_Entry.xlsx]Book'!B1605</f>
        <v/>
      </c>
      <c r="C1605" s="2">
        <f>'[01_Entry.xlsx]Book'!D1605</f>
        <v/>
      </c>
      <c r="D1605" s="2">
        <f>'[01_Entry.xlsx]Book'!E1605</f>
        <v/>
      </c>
      <c r="E1605" s="2">
        <f>'[01_Entry.xlsx]Book'!O1605</f>
        <v/>
      </c>
      <c r="F1605" s="2">
        <f>'[01_Entry.xlsx]Book'!N1605</f>
        <v/>
      </c>
      <c r="G1605" s="3">
        <f>'[01_Entry.xlsx]Book'!L1605</f>
        <v/>
      </c>
      <c r="H1605" s="3">
        <f>'[01_Entry.xlsx]Book'!M1605</f>
        <v/>
      </c>
      <c r="I1605" s="3">
        <f>'[01_Entry.xlsx]Book'!K1605</f>
        <v/>
      </c>
      <c r="J1605" s="3">
        <f>'[01_Entry.xlsx]Book'!P1605</f>
        <v/>
      </c>
      <c r="K1605" s="3">
        <f>'[01_Entry.xlsx]Book'!F1605</f>
        <v/>
      </c>
      <c r="L1605" s="3">
        <f>'[01_Entry.xlsx]Book'!G1605</f>
        <v/>
      </c>
      <c r="M1605" s="3">
        <f>'[01_Entry.xlsx]Book'!I1605</f>
        <v/>
      </c>
      <c r="N1605" s="2">
        <f>IF($A1605="","",MID($A1605,6,2))</f>
        <v>0</v>
      </c>
      <c r="O1605" s="2">
        <f>IF(OR($C1605="",$C1605&lt;&gt;'Inv'!$D$12),"",N(O$1604)+1)</f>
        <v>0</v>
      </c>
    </row>
    <row r="1606" spans="1:15">
      <c r="A1606" s="2">
        <f>'[01_Entry.xlsx]Book'!A1606</f>
        <v/>
      </c>
      <c r="B1606" s="2">
        <f>'[01_Entry.xlsx]Book'!B1606</f>
        <v/>
      </c>
      <c r="C1606" s="2">
        <f>'[01_Entry.xlsx]Book'!D1606</f>
        <v/>
      </c>
      <c r="D1606" s="2">
        <f>'[01_Entry.xlsx]Book'!E1606</f>
        <v/>
      </c>
      <c r="E1606" s="2">
        <f>'[01_Entry.xlsx]Book'!O1606</f>
        <v/>
      </c>
      <c r="F1606" s="2">
        <f>'[01_Entry.xlsx]Book'!N1606</f>
        <v/>
      </c>
      <c r="G1606" s="3">
        <f>'[01_Entry.xlsx]Book'!L1606</f>
        <v/>
      </c>
      <c r="H1606" s="3">
        <f>'[01_Entry.xlsx]Book'!M1606</f>
        <v/>
      </c>
      <c r="I1606" s="3">
        <f>'[01_Entry.xlsx]Book'!K1606</f>
        <v/>
      </c>
      <c r="J1606" s="3">
        <f>'[01_Entry.xlsx]Book'!P1606</f>
        <v/>
      </c>
      <c r="K1606" s="3">
        <f>'[01_Entry.xlsx]Book'!F1606</f>
        <v/>
      </c>
      <c r="L1606" s="3">
        <f>'[01_Entry.xlsx]Book'!G1606</f>
        <v/>
      </c>
      <c r="M1606" s="3">
        <f>'[01_Entry.xlsx]Book'!I1606</f>
        <v/>
      </c>
      <c r="N1606" s="2">
        <f>IF($A1606="","",MID($A1606,6,2))</f>
        <v>0</v>
      </c>
      <c r="O1606" s="2">
        <f>IF(OR($C1606="",$C1606&lt;&gt;'Inv'!$D$12),"",N(O$1605)+1)</f>
        <v>0</v>
      </c>
    </row>
    <row r="1607" spans="1:15">
      <c r="A1607" s="2">
        <f>'[01_Entry.xlsx]Book'!A1607</f>
        <v/>
      </c>
      <c r="B1607" s="2">
        <f>'[01_Entry.xlsx]Book'!B1607</f>
        <v/>
      </c>
      <c r="C1607" s="2">
        <f>'[01_Entry.xlsx]Book'!D1607</f>
        <v/>
      </c>
      <c r="D1607" s="2">
        <f>'[01_Entry.xlsx]Book'!E1607</f>
        <v/>
      </c>
      <c r="E1607" s="2">
        <f>'[01_Entry.xlsx]Book'!O1607</f>
        <v/>
      </c>
      <c r="F1607" s="2">
        <f>'[01_Entry.xlsx]Book'!N1607</f>
        <v/>
      </c>
      <c r="G1607" s="3">
        <f>'[01_Entry.xlsx]Book'!L1607</f>
        <v/>
      </c>
      <c r="H1607" s="3">
        <f>'[01_Entry.xlsx]Book'!M1607</f>
        <v/>
      </c>
      <c r="I1607" s="3">
        <f>'[01_Entry.xlsx]Book'!K1607</f>
        <v/>
      </c>
      <c r="J1607" s="3">
        <f>'[01_Entry.xlsx]Book'!P1607</f>
        <v/>
      </c>
      <c r="K1607" s="3">
        <f>'[01_Entry.xlsx]Book'!F1607</f>
        <v/>
      </c>
      <c r="L1607" s="3">
        <f>'[01_Entry.xlsx]Book'!G1607</f>
        <v/>
      </c>
      <c r="M1607" s="3">
        <f>'[01_Entry.xlsx]Book'!I1607</f>
        <v/>
      </c>
      <c r="N1607" s="2">
        <f>IF($A1607="","",MID($A1607,6,2))</f>
        <v>0</v>
      </c>
      <c r="O1607" s="2">
        <f>IF(OR($C1607="",$C1607&lt;&gt;'Inv'!$D$12),"",N(O$1606)+1)</f>
        <v>0</v>
      </c>
    </row>
    <row r="1608" spans="1:15">
      <c r="A1608" s="2">
        <f>'[01_Entry.xlsx]Book'!A1608</f>
        <v/>
      </c>
      <c r="B1608" s="2">
        <f>'[01_Entry.xlsx]Book'!B1608</f>
        <v/>
      </c>
      <c r="C1608" s="2">
        <f>'[01_Entry.xlsx]Book'!D1608</f>
        <v/>
      </c>
      <c r="D1608" s="2">
        <f>'[01_Entry.xlsx]Book'!E1608</f>
        <v/>
      </c>
      <c r="E1608" s="2">
        <f>'[01_Entry.xlsx]Book'!O1608</f>
        <v/>
      </c>
      <c r="F1608" s="2">
        <f>'[01_Entry.xlsx]Book'!N1608</f>
        <v/>
      </c>
      <c r="G1608" s="3">
        <f>'[01_Entry.xlsx]Book'!L1608</f>
        <v/>
      </c>
      <c r="H1608" s="3">
        <f>'[01_Entry.xlsx]Book'!M1608</f>
        <v/>
      </c>
      <c r="I1608" s="3">
        <f>'[01_Entry.xlsx]Book'!K1608</f>
        <v/>
      </c>
      <c r="J1608" s="3">
        <f>'[01_Entry.xlsx]Book'!P1608</f>
        <v/>
      </c>
      <c r="K1608" s="3">
        <f>'[01_Entry.xlsx]Book'!F1608</f>
        <v/>
      </c>
      <c r="L1608" s="3">
        <f>'[01_Entry.xlsx]Book'!G1608</f>
        <v/>
      </c>
      <c r="M1608" s="3">
        <f>'[01_Entry.xlsx]Book'!I1608</f>
        <v/>
      </c>
      <c r="N1608" s="2">
        <f>IF($A1608="","",MID($A1608,6,2))</f>
        <v>0</v>
      </c>
      <c r="O1608" s="2">
        <f>IF(OR($C1608="",$C1608&lt;&gt;'Inv'!$D$12),"",N(O$1607)+1)</f>
        <v>0</v>
      </c>
    </row>
    <row r="1609" spans="1:15">
      <c r="A1609" s="2">
        <f>'[01_Entry.xlsx]Book'!A1609</f>
        <v/>
      </c>
      <c r="B1609" s="2">
        <f>'[01_Entry.xlsx]Book'!B1609</f>
        <v/>
      </c>
      <c r="C1609" s="2">
        <f>'[01_Entry.xlsx]Book'!D1609</f>
        <v/>
      </c>
      <c r="D1609" s="2">
        <f>'[01_Entry.xlsx]Book'!E1609</f>
        <v/>
      </c>
      <c r="E1609" s="2">
        <f>'[01_Entry.xlsx]Book'!O1609</f>
        <v/>
      </c>
      <c r="F1609" s="2">
        <f>'[01_Entry.xlsx]Book'!N1609</f>
        <v/>
      </c>
      <c r="G1609" s="3">
        <f>'[01_Entry.xlsx]Book'!L1609</f>
        <v/>
      </c>
      <c r="H1609" s="3">
        <f>'[01_Entry.xlsx]Book'!M1609</f>
        <v/>
      </c>
      <c r="I1609" s="3">
        <f>'[01_Entry.xlsx]Book'!K1609</f>
        <v/>
      </c>
      <c r="J1609" s="3">
        <f>'[01_Entry.xlsx]Book'!P1609</f>
        <v/>
      </c>
      <c r="K1609" s="3">
        <f>'[01_Entry.xlsx]Book'!F1609</f>
        <v/>
      </c>
      <c r="L1609" s="3">
        <f>'[01_Entry.xlsx]Book'!G1609</f>
        <v/>
      </c>
      <c r="M1609" s="3">
        <f>'[01_Entry.xlsx]Book'!I1609</f>
        <v/>
      </c>
      <c r="N1609" s="2">
        <f>IF($A1609="","",MID($A1609,6,2))</f>
        <v>0</v>
      </c>
      <c r="O1609" s="2">
        <f>IF(OR($C1609="",$C1609&lt;&gt;'Inv'!$D$12),"",N(O$1608)+1)</f>
        <v>0</v>
      </c>
    </row>
    <row r="1610" spans="1:15">
      <c r="A1610" s="2">
        <f>'[01_Entry.xlsx]Book'!A1610</f>
        <v/>
      </c>
      <c r="B1610" s="2">
        <f>'[01_Entry.xlsx]Book'!B1610</f>
        <v/>
      </c>
      <c r="C1610" s="2">
        <f>'[01_Entry.xlsx]Book'!D1610</f>
        <v/>
      </c>
      <c r="D1610" s="2">
        <f>'[01_Entry.xlsx]Book'!E1610</f>
        <v/>
      </c>
      <c r="E1610" s="2">
        <f>'[01_Entry.xlsx]Book'!O1610</f>
        <v/>
      </c>
      <c r="F1610" s="2">
        <f>'[01_Entry.xlsx]Book'!N1610</f>
        <v/>
      </c>
      <c r="G1610" s="3">
        <f>'[01_Entry.xlsx]Book'!L1610</f>
        <v/>
      </c>
      <c r="H1610" s="3">
        <f>'[01_Entry.xlsx]Book'!M1610</f>
        <v/>
      </c>
      <c r="I1610" s="3">
        <f>'[01_Entry.xlsx]Book'!K1610</f>
        <v/>
      </c>
      <c r="J1610" s="3">
        <f>'[01_Entry.xlsx]Book'!P1610</f>
        <v/>
      </c>
      <c r="K1610" s="3">
        <f>'[01_Entry.xlsx]Book'!F1610</f>
        <v/>
      </c>
      <c r="L1610" s="3">
        <f>'[01_Entry.xlsx]Book'!G1610</f>
        <v/>
      </c>
      <c r="M1610" s="3">
        <f>'[01_Entry.xlsx]Book'!I1610</f>
        <v/>
      </c>
      <c r="N1610" s="2">
        <f>IF($A1610="","",MID($A1610,6,2))</f>
        <v>0</v>
      </c>
      <c r="O1610" s="2">
        <f>IF(OR($C1610="",$C1610&lt;&gt;'Inv'!$D$12),"",N(O$1609)+1)</f>
        <v>0</v>
      </c>
    </row>
    <row r="1611" spans="1:15">
      <c r="A1611" s="2">
        <f>'[01_Entry.xlsx]Book'!A1611</f>
        <v/>
      </c>
      <c r="B1611" s="2">
        <f>'[01_Entry.xlsx]Book'!B1611</f>
        <v/>
      </c>
      <c r="C1611" s="2">
        <f>'[01_Entry.xlsx]Book'!D1611</f>
        <v/>
      </c>
      <c r="D1611" s="2">
        <f>'[01_Entry.xlsx]Book'!E1611</f>
        <v/>
      </c>
      <c r="E1611" s="2">
        <f>'[01_Entry.xlsx]Book'!O1611</f>
        <v/>
      </c>
      <c r="F1611" s="2">
        <f>'[01_Entry.xlsx]Book'!N1611</f>
        <v/>
      </c>
      <c r="G1611" s="3">
        <f>'[01_Entry.xlsx]Book'!L1611</f>
        <v/>
      </c>
      <c r="H1611" s="3">
        <f>'[01_Entry.xlsx]Book'!M1611</f>
        <v/>
      </c>
      <c r="I1611" s="3">
        <f>'[01_Entry.xlsx]Book'!K1611</f>
        <v/>
      </c>
      <c r="J1611" s="3">
        <f>'[01_Entry.xlsx]Book'!P1611</f>
        <v/>
      </c>
      <c r="K1611" s="3">
        <f>'[01_Entry.xlsx]Book'!F1611</f>
        <v/>
      </c>
      <c r="L1611" s="3">
        <f>'[01_Entry.xlsx]Book'!G1611</f>
        <v/>
      </c>
      <c r="M1611" s="3">
        <f>'[01_Entry.xlsx]Book'!I1611</f>
        <v/>
      </c>
      <c r="N1611" s="2">
        <f>IF($A1611="","",MID($A1611,6,2))</f>
        <v>0</v>
      </c>
      <c r="O1611" s="2">
        <f>IF(OR($C1611="",$C1611&lt;&gt;'Inv'!$D$12),"",N(O$1610)+1)</f>
        <v>0</v>
      </c>
    </row>
    <row r="1612" spans="1:15">
      <c r="A1612" s="2">
        <f>'[01_Entry.xlsx]Book'!A1612</f>
        <v/>
      </c>
      <c r="B1612" s="2">
        <f>'[01_Entry.xlsx]Book'!B1612</f>
        <v/>
      </c>
      <c r="C1612" s="2">
        <f>'[01_Entry.xlsx]Book'!D1612</f>
        <v/>
      </c>
      <c r="D1612" s="2">
        <f>'[01_Entry.xlsx]Book'!E1612</f>
        <v/>
      </c>
      <c r="E1612" s="2">
        <f>'[01_Entry.xlsx]Book'!O1612</f>
        <v/>
      </c>
      <c r="F1612" s="2">
        <f>'[01_Entry.xlsx]Book'!N1612</f>
        <v/>
      </c>
      <c r="G1612" s="3">
        <f>'[01_Entry.xlsx]Book'!L1612</f>
        <v/>
      </c>
      <c r="H1612" s="3">
        <f>'[01_Entry.xlsx]Book'!M1612</f>
        <v/>
      </c>
      <c r="I1612" s="3">
        <f>'[01_Entry.xlsx]Book'!K1612</f>
        <v/>
      </c>
      <c r="J1612" s="3">
        <f>'[01_Entry.xlsx]Book'!P1612</f>
        <v/>
      </c>
      <c r="K1612" s="3">
        <f>'[01_Entry.xlsx]Book'!F1612</f>
        <v/>
      </c>
      <c r="L1612" s="3">
        <f>'[01_Entry.xlsx]Book'!G1612</f>
        <v/>
      </c>
      <c r="M1612" s="3">
        <f>'[01_Entry.xlsx]Book'!I1612</f>
        <v/>
      </c>
      <c r="N1612" s="2">
        <f>IF($A1612="","",MID($A1612,6,2))</f>
        <v>0</v>
      </c>
      <c r="O1612" s="2">
        <f>IF(OR($C1612="",$C1612&lt;&gt;'Inv'!$D$12),"",N(O$1611)+1)</f>
        <v>0</v>
      </c>
    </row>
    <row r="1613" spans="1:15">
      <c r="A1613" s="2">
        <f>'[01_Entry.xlsx]Book'!A1613</f>
        <v/>
      </c>
      <c r="B1613" s="2">
        <f>'[01_Entry.xlsx]Book'!B1613</f>
        <v/>
      </c>
      <c r="C1613" s="2">
        <f>'[01_Entry.xlsx]Book'!D1613</f>
        <v/>
      </c>
      <c r="D1613" s="2">
        <f>'[01_Entry.xlsx]Book'!E1613</f>
        <v/>
      </c>
      <c r="E1613" s="2">
        <f>'[01_Entry.xlsx]Book'!O1613</f>
        <v/>
      </c>
      <c r="F1613" s="2">
        <f>'[01_Entry.xlsx]Book'!N1613</f>
        <v/>
      </c>
      <c r="G1613" s="3">
        <f>'[01_Entry.xlsx]Book'!L1613</f>
        <v/>
      </c>
      <c r="H1613" s="3">
        <f>'[01_Entry.xlsx]Book'!M1613</f>
        <v/>
      </c>
      <c r="I1613" s="3">
        <f>'[01_Entry.xlsx]Book'!K1613</f>
        <v/>
      </c>
      <c r="J1613" s="3">
        <f>'[01_Entry.xlsx]Book'!P1613</f>
        <v/>
      </c>
      <c r="K1613" s="3">
        <f>'[01_Entry.xlsx]Book'!F1613</f>
        <v/>
      </c>
      <c r="L1613" s="3">
        <f>'[01_Entry.xlsx]Book'!G1613</f>
        <v/>
      </c>
      <c r="M1613" s="3">
        <f>'[01_Entry.xlsx]Book'!I1613</f>
        <v/>
      </c>
      <c r="N1613" s="2">
        <f>IF($A1613="","",MID($A1613,6,2))</f>
        <v>0</v>
      </c>
      <c r="O1613" s="2">
        <f>IF(OR($C1613="",$C1613&lt;&gt;'Inv'!$D$12),"",N(O$1612)+1)</f>
        <v>0</v>
      </c>
    </row>
    <row r="1614" spans="1:15">
      <c r="A1614" s="2">
        <f>'[01_Entry.xlsx]Book'!A1614</f>
        <v/>
      </c>
      <c r="B1614" s="2">
        <f>'[01_Entry.xlsx]Book'!B1614</f>
        <v/>
      </c>
      <c r="C1614" s="2">
        <f>'[01_Entry.xlsx]Book'!D1614</f>
        <v/>
      </c>
      <c r="D1614" s="2">
        <f>'[01_Entry.xlsx]Book'!E1614</f>
        <v/>
      </c>
      <c r="E1614" s="2">
        <f>'[01_Entry.xlsx]Book'!O1614</f>
        <v/>
      </c>
      <c r="F1614" s="2">
        <f>'[01_Entry.xlsx]Book'!N1614</f>
        <v/>
      </c>
      <c r="G1614" s="3">
        <f>'[01_Entry.xlsx]Book'!L1614</f>
        <v/>
      </c>
      <c r="H1614" s="3">
        <f>'[01_Entry.xlsx]Book'!M1614</f>
        <v/>
      </c>
      <c r="I1614" s="3">
        <f>'[01_Entry.xlsx]Book'!K1614</f>
        <v/>
      </c>
      <c r="J1614" s="3">
        <f>'[01_Entry.xlsx]Book'!P1614</f>
        <v/>
      </c>
      <c r="K1614" s="3">
        <f>'[01_Entry.xlsx]Book'!F1614</f>
        <v/>
      </c>
      <c r="L1614" s="3">
        <f>'[01_Entry.xlsx]Book'!G1614</f>
        <v/>
      </c>
      <c r="M1614" s="3">
        <f>'[01_Entry.xlsx]Book'!I1614</f>
        <v/>
      </c>
      <c r="N1614" s="2">
        <f>IF($A1614="","",MID($A1614,6,2))</f>
        <v>0</v>
      </c>
      <c r="O1614" s="2">
        <f>IF(OR($C1614="",$C1614&lt;&gt;'Inv'!$D$12),"",N(O$1613)+1)</f>
        <v>0</v>
      </c>
    </row>
    <row r="1615" spans="1:15">
      <c r="A1615" s="2">
        <f>'[01_Entry.xlsx]Book'!A1615</f>
        <v/>
      </c>
      <c r="B1615" s="2">
        <f>'[01_Entry.xlsx]Book'!B1615</f>
        <v/>
      </c>
      <c r="C1615" s="2">
        <f>'[01_Entry.xlsx]Book'!D1615</f>
        <v/>
      </c>
      <c r="D1615" s="2">
        <f>'[01_Entry.xlsx]Book'!E1615</f>
        <v/>
      </c>
      <c r="E1615" s="2">
        <f>'[01_Entry.xlsx]Book'!O1615</f>
        <v/>
      </c>
      <c r="F1615" s="2">
        <f>'[01_Entry.xlsx]Book'!N1615</f>
        <v/>
      </c>
      <c r="G1615" s="3">
        <f>'[01_Entry.xlsx]Book'!L1615</f>
        <v/>
      </c>
      <c r="H1615" s="3">
        <f>'[01_Entry.xlsx]Book'!M1615</f>
        <v/>
      </c>
      <c r="I1615" s="3">
        <f>'[01_Entry.xlsx]Book'!K1615</f>
        <v/>
      </c>
      <c r="J1615" s="3">
        <f>'[01_Entry.xlsx]Book'!P1615</f>
        <v/>
      </c>
      <c r="K1615" s="3">
        <f>'[01_Entry.xlsx]Book'!F1615</f>
        <v/>
      </c>
      <c r="L1615" s="3">
        <f>'[01_Entry.xlsx]Book'!G1615</f>
        <v/>
      </c>
      <c r="M1615" s="3">
        <f>'[01_Entry.xlsx]Book'!I1615</f>
        <v/>
      </c>
      <c r="N1615" s="2">
        <f>IF($A1615="","",MID($A1615,6,2))</f>
        <v>0</v>
      </c>
      <c r="O1615" s="2">
        <f>IF(OR($C1615="",$C1615&lt;&gt;'Inv'!$D$12),"",N(O$1614)+1)</f>
        <v>0</v>
      </c>
    </row>
    <row r="1616" spans="1:15">
      <c r="A1616" s="2">
        <f>'[01_Entry.xlsx]Book'!A1616</f>
        <v/>
      </c>
      <c r="B1616" s="2">
        <f>'[01_Entry.xlsx]Book'!B1616</f>
        <v/>
      </c>
      <c r="C1616" s="2">
        <f>'[01_Entry.xlsx]Book'!D1616</f>
        <v/>
      </c>
      <c r="D1616" s="2">
        <f>'[01_Entry.xlsx]Book'!E1616</f>
        <v/>
      </c>
      <c r="E1616" s="2">
        <f>'[01_Entry.xlsx]Book'!O1616</f>
        <v/>
      </c>
      <c r="F1616" s="2">
        <f>'[01_Entry.xlsx]Book'!N1616</f>
        <v/>
      </c>
      <c r="G1616" s="3">
        <f>'[01_Entry.xlsx]Book'!L1616</f>
        <v/>
      </c>
      <c r="H1616" s="3">
        <f>'[01_Entry.xlsx]Book'!M1616</f>
        <v/>
      </c>
      <c r="I1616" s="3">
        <f>'[01_Entry.xlsx]Book'!K1616</f>
        <v/>
      </c>
      <c r="J1616" s="3">
        <f>'[01_Entry.xlsx]Book'!P1616</f>
        <v/>
      </c>
      <c r="K1616" s="3">
        <f>'[01_Entry.xlsx]Book'!F1616</f>
        <v/>
      </c>
      <c r="L1616" s="3">
        <f>'[01_Entry.xlsx]Book'!G1616</f>
        <v/>
      </c>
      <c r="M1616" s="3">
        <f>'[01_Entry.xlsx]Book'!I1616</f>
        <v/>
      </c>
      <c r="N1616" s="2">
        <f>IF($A1616="","",MID($A1616,6,2))</f>
        <v>0</v>
      </c>
      <c r="O1616" s="2">
        <f>IF(OR($C1616="",$C1616&lt;&gt;'Inv'!$D$12),"",N(O$1615)+1)</f>
        <v>0</v>
      </c>
    </row>
    <row r="1617" spans="1:15">
      <c r="A1617" s="2">
        <f>'[01_Entry.xlsx]Book'!A1617</f>
        <v/>
      </c>
      <c r="B1617" s="2">
        <f>'[01_Entry.xlsx]Book'!B1617</f>
        <v/>
      </c>
      <c r="C1617" s="2">
        <f>'[01_Entry.xlsx]Book'!D1617</f>
        <v/>
      </c>
      <c r="D1617" s="2">
        <f>'[01_Entry.xlsx]Book'!E1617</f>
        <v/>
      </c>
      <c r="E1617" s="2">
        <f>'[01_Entry.xlsx]Book'!O1617</f>
        <v/>
      </c>
      <c r="F1617" s="2">
        <f>'[01_Entry.xlsx]Book'!N1617</f>
        <v/>
      </c>
      <c r="G1617" s="3">
        <f>'[01_Entry.xlsx]Book'!L1617</f>
        <v/>
      </c>
      <c r="H1617" s="3">
        <f>'[01_Entry.xlsx]Book'!M1617</f>
        <v/>
      </c>
      <c r="I1617" s="3">
        <f>'[01_Entry.xlsx]Book'!K1617</f>
        <v/>
      </c>
      <c r="J1617" s="3">
        <f>'[01_Entry.xlsx]Book'!P1617</f>
        <v/>
      </c>
      <c r="K1617" s="3">
        <f>'[01_Entry.xlsx]Book'!F1617</f>
        <v/>
      </c>
      <c r="L1617" s="3">
        <f>'[01_Entry.xlsx]Book'!G1617</f>
        <v/>
      </c>
      <c r="M1617" s="3">
        <f>'[01_Entry.xlsx]Book'!I1617</f>
        <v/>
      </c>
      <c r="N1617" s="2">
        <f>IF($A1617="","",MID($A1617,6,2))</f>
        <v>0</v>
      </c>
      <c r="O1617" s="2">
        <f>IF(OR($C1617="",$C1617&lt;&gt;'Inv'!$D$12),"",N(O$1616)+1)</f>
        <v>0</v>
      </c>
    </row>
    <row r="1618" spans="1:15">
      <c r="A1618" s="2">
        <f>'[01_Entry.xlsx]Book'!A1618</f>
        <v/>
      </c>
      <c r="B1618" s="2">
        <f>'[01_Entry.xlsx]Book'!B1618</f>
        <v/>
      </c>
      <c r="C1618" s="2">
        <f>'[01_Entry.xlsx]Book'!D1618</f>
        <v/>
      </c>
      <c r="D1618" s="2">
        <f>'[01_Entry.xlsx]Book'!E1618</f>
        <v/>
      </c>
      <c r="E1618" s="2">
        <f>'[01_Entry.xlsx]Book'!O1618</f>
        <v/>
      </c>
      <c r="F1618" s="2">
        <f>'[01_Entry.xlsx]Book'!N1618</f>
        <v/>
      </c>
      <c r="G1618" s="3">
        <f>'[01_Entry.xlsx]Book'!L1618</f>
        <v/>
      </c>
      <c r="H1618" s="3">
        <f>'[01_Entry.xlsx]Book'!M1618</f>
        <v/>
      </c>
      <c r="I1618" s="3">
        <f>'[01_Entry.xlsx]Book'!K1618</f>
        <v/>
      </c>
      <c r="J1618" s="3">
        <f>'[01_Entry.xlsx]Book'!P1618</f>
        <v/>
      </c>
      <c r="K1618" s="3">
        <f>'[01_Entry.xlsx]Book'!F1618</f>
        <v/>
      </c>
      <c r="L1618" s="3">
        <f>'[01_Entry.xlsx]Book'!G1618</f>
        <v/>
      </c>
      <c r="M1618" s="3">
        <f>'[01_Entry.xlsx]Book'!I1618</f>
        <v/>
      </c>
      <c r="N1618" s="2">
        <f>IF($A1618="","",MID($A1618,6,2))</f>
        <v>0</v>
      </c>
      <c r="O1618" s="2">
        <f>IF(OR($C1618="",$C1618&lt;&gt;'Inv'!$D$12),"",N(O$1617)+1)</f>
        <v>0</v>
      </c>
    </row>
    <row r="1619" spans="1:15">
      <c r="A1619" s="2">
        <f>'[01_Entry.xlsx]Book'!A1619</f>
        <v/>
      </c>
      <c r="B1619" s="2">
        <f>'[01_Entry.xlsx]Book'!B1619</f>
        <v/>
      </c>
      <c r="C1619" s="2">
        <f>'[01_Entry.xlsx]Book'!D1619</f>
        <v/>
      </c>
      <c r="D1619" s="2">
        <f>'[01_Entry.xlsx]Book'!E1619</f>
        <v/>
      </c>
      <c r="E1619" s="2">
        <f>'[01_Entry.xlsx]Book'!O1619</f>
        <v/>
      </c>
      <c r="F1619" s="2">
        <f>'[01_Entry.xlsx]Book'!N1619</f>
        <v/>
      </c>
      <c r="G1619" s="3">
        <f>'[01_Entry.xlsx]Book'!L1619</f>
        <v/>
      </c>
      <c r="H1619" s="3">
        <f>'[01_Entry.xlsx]Book'!M1619</f>
        <v/>
      </c>
      <c r="I1619" s="3">
        <f>'[01_Entry.xlsx]Book'!K1619</f>
        <v/>
      </c>
      <c r="J1619" s="3">
        <f>'[01_Entry.xlsx]Book'!P1619</f>
        <v/>
      </c>
      <c r="K1619" s="3">
        <f>'[01_Entry.xlsx]Book'!F1619</f>
        <v/>
      </c>
      <c r="L1619" s="3">
        <f>'[01_Entry.xlsx]Book'!G1619</f>
        <v/>
      </c>
      <c r="M1619" s="3">
        <f>'[01_Entry.xlsx]Book'!I1619</f>
        <v/>
      </c>
      <c r="N1619" s="2">
        <f>IF($A1619="","",MID($A1619,6,2))</f>
        <v>0</v>
      </c>
      <c r="O1619" s="2">
        <f>IF(OR($C1619="",$C1619&lt;&gt;'Inv'!$D$12),"",N(O$1618)+1)</f>
        <v>0</v>
      </c>
    </row>
    <row r="1620" spans="1:15">
      <c r="A1620" s="2">
        <f>'[01_Entry.xlsx]Book'!A1620</f>
        <v/>
      </c>
      <c r="B1620" s="2">
        <f>'[01_Entry.xlsx]Book'!B1620</f>
        <v/>
      </c>
      <c r="C1620" s="2">
        <f>'[01_Entry.xlsx]Book'!D1620</f>
        <v/>
      </c>
      <c r="D1620" s="2">
        <f>'[01_Entry.xlsx]Book'!E1620</f>
        <v/>
      </c>
      <c r="E1620" s="2">
        <f>'[01_Entry.xlsx]Book'!O1620</f>
        <v/>
      </c>
      <c r="F1620" s="2">
        <f>'[01_Entry.xlsx]Book'!N1620</f>
        <v/>
      </c>
      <c r="G1620" s="3">
        <f>'[01_Entry.xlsx]Book'!L1620</f>
        <v/>
      </c>
      <c r="H1620" s="3">
        <f>'[01_Entry.xlsx]Book'!M1620</f>
        <v/>
      </c>
      <c r="I1620" s="3">
        <f>'[01_Entry.xlsx]Book'!K1620</f>
        <v/>
      </c>
      <c r="J1620" s="3">
        <f>'[01_Entry.xlsx]Book'!P1620</f>
        <v/>
      </c>
      <c r="K1620" s="3">
        <f>'[01_Entry.xlsx]Book'!F1620</f>
        <v/>
      </c>
      <c r="L1620" s="3">
        <f>'[01_Entry.xlsx]Book'!G1620</f>
        <v/>
      </c>
      <c r="M1620" s="3">
        <f>'[01_Entry.xlsx]Book'!I1620</f>
        <v/>
      </c>
      <c r="N1620" s="2">
        <f>IF($A1620="","",MID($A1620,6,2))</f>
        <v>0</v>
      </c>
      <c r="O1620" s="2">
        <f>IF(OR($C1620="",$C1620&lt;&gt;'Inv'!$D$12),"",N(O$1619)+1)</f>
        <v>0</v>
      </c>
    </row>
    <row r="1621" spans="1:15">
      <c r="A1621" s="2">
        <f>'[01_Entry.xlsx]Book'!A1621</f>
        <v/>
      </c>
      <c r="B1621" s="2">
        <f>'[01_Entry.xlsx]Book'!B1621</f>
        <v/>
      </c>
      <c r="C1621" s="2">
        <f>'[01_Entry.xlsx]Book'!D1621</f>
        <v/>
      </c>
      <c r="D1621" s="2">
        <f>'[01_Entry.xlsx]Book'!E1621</f>
        <v/>
      </c>
      <c r="E1621" s="2">
        <f>'[01_Entry.xlsx]Book'!O1621</f>
        <v/>
      </c>
      <c r="F1621" s="2">
        <f>'[01_Entry.xlsx]Book'!N1621</f>
        <v/>
      </c>
      <c r="G1621" s="3">
        <f>'[01_Entry.xlsx]Book'!L1621</f>
        <v/>
      </c>
      <c r="H1621" s="3">
        <f>'[01_Entry.xlsx]Book'!M1621</f>
        <v/>
      </c>
      <c r="I1621" s="3">
        <f>'[01_Entry.xlsx]Book'!K1621</f>
        <v/>
      </c>
      <c r="J1621" s="3">
        <f>'[01_Entry.xlsx]Book'!P1621</f>
        <v/>
      </c>
      <c r="K1621" s="3">
        <f>'[01_Entry.xlsx]Book'!F1621</f>
        <v/>
      </c>
      <c r="L1621" s="3">
        <f>'[01_Entry.xlsx]Book'!G1621</f>
        <v/>
      </c>
      <c r="M1621" s="3">
        <f>'[01_Entry.xlsx]Book'!I1621</f>
        <v/>
      </c>
      <c r="N1621" s="2">
        <f>IF($A1621="","",MID($A1621,6,2))</f>
        <v>0</v>
      </c>
      <c r="O1621" s="2">
        <f>IF(OR($C1621="",$C1621&lt;&gt;'Inv'!$D$12),"",N(O$1620)+1)</f>
        <v>0</v>
      </c>
    </row>
    <row r="1622" spans="1:15">
      <c r="A1622" s="2">
        <f>'[01_Entry.xlsx]Book'!A1622</f>
        <v/>
      </c>
      <c r="B1622" s="2">
        <f>'[01_Entry.xlsx]Book'!B1622</f>
        <v/>
      </c>
      <c r="C1622" s="2">
        <f>'[01_Entry.xlsx]Book'!D1622</f>
        <v/>
      </c>
      <c r="D1622" s="2">
        <f>'[01_Entry.xlsx]Book'!E1622</f>
        <v/>
      </c>
      <c r="E1622" s="2">
        <f>'[01_Entry.xlsx]Book'!O1622</f>
        <v/>
      </c>
      <c r="F1622" s="2">
        <f>'[01_Entry.xlsx]Book'!N1622</f>
        <v/>
      </c>
      <c r="G1622" s="3">
        <f>'[01_Entry.xlsx]Book'!L1622</f>
        <v/>
      </c>
      <c r="H1622" s="3">
        <f>'[01_Entry.xlsx]Book'!M1622</f>
        <v/>
      </c>
      <c r="I1622" s="3">
        <f>'[01_Entry.xlsx]Book'!K1622</f>
        <v/>
      </c>
      <c r="J1622" s="3">
        <f>'[01_Entry.xlsx]Book'!P1622</f>
        <v/>
      </c>
      <c r="K1622" s="3">
        <f>'[01_Entry.xlsx]Book'!F1622</f>
        <v/>
      </c>
      <c r="L1622" s="3">
        <f>'[01_Entry.xlsx]Book'!G1622</f>
        <v/>
      </c>
      <c r="M1622" s="3">
        <f>'[01_Entry.xlsx]Book'!I1622</f>
        <v/>
      </c>
      <c r="N1622" s="2">
        <f>IF($A1622="","",MID($A1622,6,2))</f>
        <v>0</v>
      </c>
      <c r="O1622" s="2">
        <f>IF(OR($C1622="",$C1622&lt;&gt;'Inv'!$D$12),"",N(O$1621)+1)</f>
        <v>0</v>
      </c>
    </row>
    <row r="1623" spans="1:15">
      <c r="A1623" s="2">
        <f>'[01_Entry.xlsx]Book'!A1623</f>
        <v/>
      </c>
      <c r="B1623" s="2">
        <f>'[01_Entry.xlsx]Book'!B1623</f>
        <v/>
      </c>
      <c r="C1623" s="2">
        <f>'[01_Entry.xlsx]Book'!D1623</f>
        <v/>
      </c>
      <c r="D1623" s="2">
        <f>'[01_Entry.xlsx]Book'!E1623</f>
        <v/>
      </c>
      <c r="E1623" s="2">
        <f>'[01_Entry.xlsx]Book'!O1623</f>
        <v/>
      </c>
      <c r="F1623" s="2">
        <f>'[01_Entry.xlsx]Book'!N1623</f>
        <v/>
      </c>
      <c r="G1623" s="3">
        <f>'[01_Entry.xlsx]Book'!L1623</f>
        <v/>
      </c>
      <c r="H1623" s="3">
        <f>'[01_Entry.xlsx]Book'!M1623</f>
        <v/>
      </c>
      <c r="I1623" s="3">
        <f>'[01_Entry.xlsx]Book'!K1623</f>
        <v/>
      </c>
      <c r="J1623" s="3">
        <f>'[01_Entry.xlsx]Book'!P1623</f>
        <v/>
      </c>
      <c r="K1623" s="3">
        <f>'[01_Entry.xlsx]Book'!F1623</f>
        <v/>
      </c>
      <c r="L1623" s="3">
        <f>'[01_Entry.xlsx]Book'!G1623</f>
        <v/>
      </c>
      <c r="M1623" s="3">
        <f>'[01_Entry.xlsx]Book'!I1623</f>
        <v/>
      </c>
      <c r="N1623" s="2">
        <f>IF($A1623="","",MID($A1623,6,2))</f>
        <v>0</v>
      </c>
      <c r="O1623" s="2">
        <f>IF(OR($C1623="",$C1623&lt;&gt;'Inv'!$D$12),"",N(O$1622)+1)</f>
        <v>0</v>
      </c>
    </row>
    <row r="1624" spans="1:15">
      <c r="A1624" s="2">
        <f>'[01_Entry.xlsx]Book'!A1624</f>
        <v/>
      </c>
      <c r="B1624" s="2">
        <f>'[01_Entry.xlsx]Book'!B1624</f>
        <v/>
      </c>
      <c r="C1624" s="2">
        <f>'[01_Entry.xlsx]Book'!D1624</f>
        <v/>
      </c>
      <c r="D1624" s="2">
        <f>'[01_Entry.xlsx]Book'!E1624</f>
        <v/>
      </c>
      <c r="E1624" s="2">
        <f>'[01_Entry.xlsx]Book'!O1624</f>
        <v/>
      </c>
      <c r="F1624" s="2">
        <f>'[01_Entry.xlsx]Book'!N1624</f>
        <v/>
      </c>
      <c r="G1624" s="3">
        <f>'[01_Entry.xlsx]Book'!L1624</f>
        <v/>
      </c>
      <c r="H1624" s="3">
        <f>'[01_Entry.xlsx]Book'!M1624</f>
        <v/>
      </c>
      <c r="I1624" s="3">
        <f>'[01_Entry.xlsx]Book'!K1624</f>
        <v/>
      </c>
      <c r="J1624" s="3">
        <f>'[01_Entry.xlsx]Book'!P1624</f>
        <v/>
      </c>
      <c r="K1624" s="3">
        <f>'[01_Entry.xlsx]Book'!F1624</f>
        <v/>
      </c>
      <c r="L1624" s="3">
        <f>'[01_Entry.xlsx]Book'!G1624</f>
        <v/>
      </c>
      <c r="M1624" s="3">
        <f>'[01_Entry.xlsx]Book'!I1624</f>
        <v/>
      </c>
      <c r="N1624" s="2">
        <f>IF($A1624="","",MID($A1624,6,2))</f>
        <v>0</v>
      </c>
      <c r="O1624" s="2">
        <f>IF(OR($C1624="",$C1624&lt;&gt;'Inv'!$D$12),"",N(O$1623)+1)</f>
        <v>0</v>
      </c>
    </row>
    <row r="1625" spans="1:15">
      <c r="A1625" s="2">
        <f>'[01_Entry.xlsx]Book'!A1625</f>
        <v/>
      </c>
      <c r="B1625" s="2">
        <f>'[01_Entry.xlsx]Book'!B1625</f>
        <v/>
      </c>
      <c r="C1625" s="2">
        <f>'[01_Entry.xlsx]Book'!D1625</f>
        <v/>
      </c>
      <c r="D1625" s="2">
        <f>'[01_Entry.xlsx]Book'!E1625</f>
        <v/>
      </c>
      <c r="E1625" s="2">
        <f>'[01_Entry.xlsx]Book'!O1625</f>
        <v/>
      </c>
      <c r="F1625" s="2">
        <f>'[01_Entry.xlsx]Book'!N1625</f>
        <v/>
      </c>
      <c r="G1625" s="3">
        <f>'[01_Entry.xlsx]Book'!L1625</f>
        <v/>
      </c>
      <c r="H1625" s="3">
        <f>'[01_Entry.xlsx]Book'!M1625</f>
        <v/>
      </c>
      <c r="I1625" s="3">
        <f>'[01_Entry.xlsx]Book'!K1625</f>
        <v/>
      </c>
      <c r="J1625" s="3">
        <f>'[01_Entry.xlsx]Book'!P1625</f>
        <v/>
      </c>
      <c r="K1625" s="3">
        <f>'[01_Entry.xlsx]Book'!F1625</f>
        <v/>
      </c>
      <c r="L1625" s="3">
        <f>'[01_Entry.xlsx]Book'!G1625</f>
        <v/>
      </c>
      <c r="M1625" s="3">
        <f>'[01_Entry.xlsx]Book'!I1625</f>
        <v/>
      </c>
      <c r="N1625" s="2">
        <f>IF($A1625="","",MID($A1625,6,2))</f>
        <v>0</v>
      </c>
      <c r="O1625" s="2">
        <f>IF(OR($C1625="",$C1625&lt;&gt;'Inv'!$D$12),"",N(O$1624)+1)</f>
        <v>0</v>
      </c>
    </row>
    <row r="1626" spans="1:15">
      <c r="A1626" s="2">
        <f>'[01_Entry.xlsx]Book'!A1626</f>
        <v/>
      </c>
      <c r="B1626" s="2">
        <f>'[01_Entry.xlsx]Book'!B1626</f>
        <v/>
      </c>
      <c r="C1626" s="2">
        <f>'[01_Entry.xlsx]Book'!D1626</f>
        <v/>
      </c>
      <c r="D1626" s="2">
        <f>'[01_Entry.xlsx]Book'!E1626</f>
        <v/>
      </c>
      <c r="E1626" s="2">
        <f>'[01_Entry.xlsx]Book'!O1626</f>
        <v/>
      </c>
      <c r="F1626" s="2">
        <f>'[01_Entry.xlsx]Book'!N1626</f>
        <v/>
      </c>
      <c r="G1626" s="3">
        <f>'[01_Entry.xlsx]Book'!L1626</f>
        <v/>
      </c>
      <c r="H1626" s="3">
        <f>'[01_Entry.xlsx]Book'!M1626</f>
        <v/>
      </c>
      <c r="I1626" s="3">
        <f>'[01_Entry.xlsx]Book'!K1626</f>
        <v/>
      </c>
      <c r="J1626" s="3">
        <f>'[01_Entry.xlsx]Book'!P1626</f>
        <v/>
      </c>
      <c r="K1626" s="3">
        <f>'[01_Entry.xlsx]Book'!F1626</f>
        <v/>
      </c>
      <c r="L1626" s="3">
        <f>'[01_Entry.xlsx]Book'!G1626</f>
        <v/>
      </c>
      <c r="M1626" s="3">
        <f>'[01_Entry.xlsx]Book'!I1626</f>
        <v/>
      </c>
      <c r="N1626" s="2">
        <f>IF($A1626="","",MID($A1626,6,2))</f>
        <v>0</v>
      </c>
      <c r="O1626" s="2">
        <f>IF(OR($C1626="",$C1626&lt;&gt;'Inv'!$D$12),"",N(O$1625)+1)</f>
        <v>0</v>
      </c>
    </row>
    <row r="1627" spans="1:15">
      <c r="A1627" s="2">
        <f>'[01_Entry.xlsx]Book'!A1627</f>
        <v/>
      </c>
      <c r="B1627" s="2">
        <f>'[01_Entry.xlsx]Book'!B1627</f>
        <v/>
      </c>
      <c r="C1627" s="2">
        <f>'[01_Entry.xlsx]Book'!D1627</f>
        <v/>
      </c>
      <c r="D1627" s="2">
        <f>'[01_Entry.xlsx]Book'!E1627</f>
        <v/>
      </c>
      <c r="E1627" s="2">
        <f>'[01_Entry.xlsx]Book'!O1627</f>
        <v/>
      </c>
      <c r="F1627" s="2">
        <f>'[01_Entry.xlsx]Book'!N1627</f>
        <v/>
      </c>
      <c r="G1627" s="3">
        <f>'[01_Entry.xlsx]Book'!L1627</f>
        <v/>
      </c>
      <c r="H1627" s="3">
        <f>'[01_Entry.xlsx]Book'!M1627</f>
        <v/>
      </c>
      <c r="I1627" s="3">
        <f>'[01_Entry.xlsx]Book'!K1627</f>
        <v/>
      </c>
      <c r="J1627" s="3">
        <f>'[01_Entry.xlsx]Book'!P1627</f>
        <v/>
      </c>
      <c r="K1627" s="3">
        <f>'[01_Entry.xlsx]Book'!F1627</f>
        <v/>
      </c>
      <c r="L1627" s="3">
        <f>'[01_Entry.xlsx]Book'!G1627</f>
        <v/>
      </c>
      <c r="M1627" s="3">
        <f>'[01_Entry.xlsx]Book'!I1627</f>
        <v/>
      </c>
      <c r="N1627" s="2">
        <f>IF($A1627="","",MID($A1627,6,2))</f>
        <v>0</v>
      </c>
      <c r="O1627" s="2">
        <f>IF(OR($C1627="",$C1627&lt;&gt;'Inv'!$D$12),"",N(O$1626)+1)</f>
        <v>0</v>
      </c>
    </row>
    <row r="1628" spans="1:15">
      <c r="A1628" s="2">
        <f>'[01_Entry.xlsx]Book'!A1628</f>
        <v/>
      </c>
      <c r="B1628" s="2">
        <f>'[01_Entry.xlsx]Book'!B1628</f>
        <v/>
      </c>
      <c r="C1628" s="2">
        <f>'[01_Entry.xlsx]Book'!D1628</f>
        <v/>
      </c>
      <c r="D1628" s="2">
        <f>'[01_Entry.xlsx]Book'!E1628</f>
        <v/>
      </c>
      <c r="E1628" s="2">
        <f>'[01_Entry.xlsx]Book'!O1628</f>
        <v/>
      </c>
      <c r="F1628" s="2">
        <f>'[01_Entry.xlsx]Book'!N1628</f>
        <v/>
      </c>
      <c r="G1628" s="3">
        <f>'[01_Entry.xlsx]Book'!L1628</f>
        <v/>
      </c>
      <c r="H1628" s="3">
        <f>'[01_Entry.xlsx]Book'!M1628</f>
        <v/>
      </c>
      <c r="I1628" s="3">
        <f>'[01_Entry.xlsx]Book'!K1628</f>
        <v/>
      </c>
      <c r="J1628" s="3">
        <f>'[01_Entry.xlsx]Book'!P1628</f>
        <v/>
      </c>
      <c r="K1628" s="3">
        <f>'[01_Entry.xlsx]Book'!F1628</f>
        <v/>
      </c>
      <c r="L1628" s="3">
        <f>'[01_Entry.xlsx]Book'!G1628</f>
        <v/>
      </c>
      <c r="M1628" s="3">
        <f>'[01_Entry.xlsx]Book'!I1628</f>
        <v/>
      </c>
      <c r="N1628" s="2">
        <f>IF($A1628="","",MID($A1628,6,2))</f>
        <v>0</v>
      </c>
      <c r="O1628" s="2">
        <f>IF(OR($C1628="",$C1628&lt;&gt;'Inv'!$D$12),"",N(O$1627)+1)</f>
        <v>0</v>
      </c>
    </row>
    <row r="1629" spans="1:15">
      <c r="A1629" s="2">
        <f>'[01_Entry.xlsx]Book'!A1629</f>
        <v/>
      </c>
      <c r="B1629" s="2">
        <f>'[01_Entry.xlsx]Book'!B1629</f>
        <v/>
      </c>
      <c r="C1629" s="2">
        <f>'[01_Entry.xlsx]Book'!D1629</f>
        <v/>
      </c>
      <c r="D1629" s="2">
        <f>'[01_Entry.xlsx]Book'!E1629</f>
        <v/>
      </c>
      <c r="E1629" s="2">
        <f>'[01_Entry.xlsx]Book'!O1629</f>
        <v/>
      </c>
      <c r="F1629" s="2">
        <f>'[01_Entry.xlsx]Book'!N1629</f>
        <v/>
      </c>
      <c r="G1629" s="3">
        <f>'[01_Entry.xlsx]Book'!L1629</f>
        <v/>
      </c>
      <c r="H1629" s="3">
        <f>'[01_Entry.xlsx]Book'!M1629</f>
        <v/>
      </c>
      <c r="I1629" s="3">
        <f>'[01_Entry.xlsx]Book'!K1629</f>
        <v/>
      </c>
      <c r="J1629" s="3">
        <f>'[01_Entry.xlsx]Book'!P1629</f>
        <v/>
      </c>
      <c r="K1629" s="3">
        <f>'[01_Entry.xlsx]Book'!F1629</f>
        <v/>
      </c>
      <c r="L1629" s="3">
        <f>'[01_Entry.xlsx]Book'!G1629</f>
        <v/>
      </c>
      <c r="M1629" s="3">
        <f>'[01_Entry.xlsx]Book'!I1629</f>
        <v/>
      </c>
      <c r="N1629" s="2">
        <f>IF($A1629="","",MID($A1629,6,2))</f>
        <v>0</v>
      </c>
      <c r="O1629" s="2">
        <f>IF(OR($C1629="",$C1629&lt;&gt;'Inv'!$D$12),"",N(O$1628)+1)</f>
        <v>0</v>
      </c>
    </row>
    <row r="1630" spans="1:15">
      <c r="A1630" s="2">
        <f>'[01_Entry.xlsx]Book'!A1630</f>
        <v/>
      </c>
      <c r="B1630" s="2">
        <f>'[01_Entry.xlsx]Book'!B1630</f>
        <v/>
      </c>
      <c r="C1630" s="2">
        <f>'[01_Entry.xlsx]Book'!D1630</f>
        <v/>
      </c>
      <c r="D1630" s="2">
        <f>'[01_Entry.xlsx]Book'!E1630</f>
        <v/>
      </c>
      <c r="E1630" s="2">
        <f>'[01_Entry.xlsx]Book'!O1630</f>
        <v/>
      </c>
      <c r="F1630" s="2">
        <f>'[01_Entry.xlsx]Book'!N1630</f>
        <v/>
      </c>
      <c r="G1630" s="3">
        <f>'[01_Entry.xlsx]Book'!L1630</f>
        <v/>
      </c>
      <c r="H1630" s="3">
        <f>'[01_Entry.xlsx]Book'!M1630</f>
        <v/>
      </c>
      <c r="I1630" s="3">
        <f>'[01_Entry.xlsx]Book'!K1630</f>
        <v/>
      </c>
      <c r="J1630" s="3">
        <f>'[01_Entry.xlsx]Book'!P1630</f>
        <v/>
      </c>
      <c r="K1630" s="3">
        <f>'[01_Entry.xlsx]Book'!F1630</f>
        <v/>
      </c>
      <c r="L1630" s="3">
        <f>'[01_Entry.xlsx]Book'!G1630</f>
        <v/>
      </c>
      <c r="M1630" s="3">
        <f>'[01_Entry.xlsx]Book'!I1630</f>
        <v/>
      </c>
      <c r="N1630" s="2">
        <f>IF($A1630="","",MID($A1630,6,2))</f>
        <v>0</v>
      </c>
      <c r="O1630" s="2">
        <f>IF(OR($C1630="",$C1630&lt;&gt;'Inv'!$D$12),"",N(O$1629)+1)</f>
        <v>0</v>
      </c>
    </row>
    <row r="1631" spans="1:15">
      <c r="A1631" s="2">
        <f>'[01_Entry.xlsx]Book'!A1631</f>
        <v/>
      </c>
      <c r="B1631" s="2">
        <f>'[01_Entry.xlsx]Book'!B1631</f>
        <v/>
      </c>
      <c r="C1631" s="2">
        <f>'[01_Entry.xlsx]Book'!D1631</f>
        <v/>
      </c>
      <c r="D1631" s="2">
        <f>'[01_Entry.xlsx]Book'!E1631</f>
        <v/>
      </c>
      <c r="E1631" s="2">
        <f>'[01_Entry.xlsx]Book'!O1631</f>
        <v/>
      </c>
      <c r="F1631" s="2">
        <f>'[01_Entry.xlsx]Book'!N1631</f>
        <v/>
      </c>
      <c r="G1631" s="3">
        <f>'[01_Entry.xlsx]Book'!L1631</f>
        <v/>
      </c>
      <c r="H1631" s="3">
        <f>'[01_Entry.xlsx]Book'!M1631</f>
        <v/>
      </c>
      <c r="I1631" s="3">
        <f>'[01_Entry.xlsx]Book'!K1631</f>
        <v/>
      </c>
      <c r="J1631" s="3">
        <f>'[01_Entry.xlsx]Book'!P1631</f>
        <v/>
      </c>
      <c r="K1631" s="3">
        <f>'[01_Entry.xlsx]Book'!F1631</f>
        <v/>
      </c>
      <c r="L1631" s="3">
        <f>'[01_Entry.xlsx]Book'!G1631</f>
        <v/>
      </c>
      <c r="M1631" s="3">
        <f>'[01_Entry.xlsx]Book'!I1631</f>
        <v/>
      </c>
      <c r="N1631" s="2">
        <f>IF($A1631="","",MID($A1631,6,2))</f>
        <v>0</v>
      </c>
      <c r="O1631" s="2">
        <f>IF(OR($C1631="",$C1631&lt;&gt;'Inv'!$D$12),"",N(O$1630)+1)</f>
        <v>0</v>
      </c>
    </row>
    <row r="1632" spans="1:15">
      <c r="A1632" s="2">
        <f>'[01_Entry.xlsx]Book'!A1632</f>
        <v/>
      </c>
      <c r="B1632" s="2">
        <f>'[01_Entry.xlsx]Book'!B1632</f>
        <v/>
      </c>
      <c r="C1632" s="2">
        <f>'[01_Entry.xlsx]Book'!D1632</f>
        <v/>
      </c>
      <c r="D1632" s="2">
        <f>'[01_Entry.xlsx]Book'!E1632</f>
        <v/>
      </c>
      <c r="E1632" s="2">
        <f>'[01_Entry.xlsx]Book'!O1632</f>
        <v/>
      </c>
      <c r="F1632" s="2">
        <f>'[01_Entry.xlsx]Book'!N1632</f>
        <v/>
      </c>
      <c r="G1632" s="3">
        <f>'[01_Entry.xlsx]Book'!L1632</f>
        <v/>
      </c>
      <c r="H1632" s="3">
        <f>'[01_Entry.xlsx]Book'!M1632</f>
        <v/>
      </c>
      <c r="I1632" s="3">
        <f>'[01_Entry.xlsx]Book'!K1632</f>
        <v/>
      </c>
      <c r="J1632" s="3">
        <f>'[01_Entry.xlsx]Book'!P1632</f>
        <v/>
      </c>
      <c r="K1632" s="3">
        <f>'[01_Entry.xlsx]Book'!F1632</f>
        <v/>
      </c>
      <c r="L1632" s="3">
        <f>'[01_Entry.xlsx]Book'!G1632</f>
        <v/>
      </c>
      <c r="M1632" s="3">
        <f>'[01_Entry.xlsx]Book'!I1632</f>
        <v/>
      </c>
      <c r="N1632" s="2">
        <f>IF($A1632="","",MID($A1632,6,2))</f>
        <v>0</v>
      </c>
      <c r="O1632" s="2">
        <f>IF(OR($C1632="",$C1632&lt;&gt;'Inv'!$D$12),"",N(O$1631)+1)</f>
        <v>0</v>
      </c>
    </row>
    <row r="1633" spans="1:15">
      <c r="A1633" s="2">
        <f>'[01_Entry.xlsx]Book'!A1633</f>
        <v/>
      </c>
      <c r="B1633" s="2">
        <f>'[01_Entry.xlsx]Book'!B1633</f>
        <v/>
      </c>
      <c r="C1633" s="2">
        <f>'[01_Entry.xlsx]Book'!D1633</f>
        <v/>
      </c>
      <c r="D1633" s="2">
        <f>'[01_Entry.xlsx]Book'!E1633</f>
        <v/>
      </c>
      <c r="E1633" s="2">
        <f>'[01_Entry.xlsx]Book'!O1633</f>
        <v/>
      </c>
      <c r="F1633" s="2">
        <f>'[01_Entry.xlsx]Book'!N1633</f>
        <v/>
      </c>
      <c r="G1633" s="3">
        <f>'[01_Entry.xlsx]Book'!L1633</f>
        <v/>
      </c>
      <c r="H1633" s="3">
        <f>'[01_Entry.xlsx]Book'!M1633</f>
        <v/>
      </c>
      <c r="I1633" s="3">
        <f>'[01_Entry.xlsx]Book'!K1633</f>
        <v/>
      </c>
      <c r="J1633" s="3">
        <f>'[01_Entry.xlsx]Book'!P1633</f>
        <v/>
      </c>
      <c r="K1633" s="3">
        <f>'[01_Entry.xlsx]Book'!F1633</f>
        <v/>
      </c>
      <c r="L1633" s="3">
        <f>'[01_Entry.xlsx]Book'!G1633</f>
        <v/>
      </c>
      <c r="M1633" s="3">
        <f>'[01_Entry.xlsx]Book'!I1633</f>
        <v/>
      </c>
      <c r="N1633" s="2">
        <f>IF($A1633="","",MID($A1633,6,2))</f>
        <v>0</v>
      </c>
      <c r="O1633" s="2">
        <f>IF(OR($C1633="",$C1633&lt;&gt;'Inv'!$D$12),"",N(O$1632)+1)</f>
        <v>0</v>
      </c>
    </row>
    <row r="1634" spans="1:15">
      <c r="A1634" s="2">
        <f>'[01_Entry.xlsx]Book'!A1634</f>
        <v/>
      </c>
      <c r="B1634" s="2">
        <f>'[01_Entry.xlsx]Book'!B1634</f>
        <v/>
      </c>
      <c r="C1634" s="2">
        <f>'[01_Entry.xlsx]Book'!D1634</f>
        <v/>
      </c>
      <c r="D1634" s="2">
        <f>'[01_Entry.xlsx]Book'!E1634</f>
        <v/>
      </c>
      <c r="E1634" s="2">
        <f>'[01_Entry.xlsx]Book'!O1634</f>
        <v/>
      </c>
      <c r="F1634" s="2">
        <f>'[01_Entry.xlsx]Book'!N1634</f>
        <v/>
      </c>
      <c r="G1634" s="3">
        <f>'[01_Entry.xlsx]Book'!L1634</f>
        <v/>
      </c>
      <c r="H1634" s="3">
        <f>'[01_Entry.xlsx]Book'!M1634</f>
        <v/>
      </c>
      <c r="I1634" s="3">
        <f>'[01_Entry.xlsx]Book'!K1634</f>
        <v/>
      </c>
      <c r="J1634" s="3">
        <f>'[01_Entry.xlsx]Book'!P1634</f>
        <v/>
      </c>
      <c r="K1634" s="3">
        <f>'[01_Entry.xlsx]Book'!F1634</f>
        <v/>
      </c>
      <c r="L1634" s="3">
        <f>'[01_Entry.xlsx]Book'!G1634</f>
        <v/>
      </c>
      <c r="M1634" s="3">
        <f>'[01_Entry.xlsx]Book'!I1634</f>
        <v/>
      </c>
      <c r="N1634" s="2">
        <f>IF($A1634="","",MID($A1634,6,2))</f>
        <v>0</v>
      </c>
      <c r="O1634" s="2">
        <f>IF(OR($C1634="",$C1634&lt;&gt;'Inv'!$D$12),"",N(O$1633)+1)</f>
        <v>0</v>
      </c>
    </row>
    <row r="1635" spans="1:15">
      <c r="A1635" s="2">
        <f>'[01_Entry.xlsx]Book'!A1635</f>
        <v/>
      </c>
      <c r="B1635" s="2">
        <f>'[01_Entry.xlsx]Book'!B1635</f>
        <v/>
      </c>
      <c r="C1635" s="2">
        <f>'[01_Entry.xlsx]Book'!D1635</f>
        <v/>
      </c>
      <c r="D1635" s="2">
        <f>'[01_Entry.xlsx]Book'!E1635</f>
        <v/>
      </c>
      <c r="E1635" s="2">
        <f>'[01_Entry.xlsx]Book'!O1635</f>
        <v/>
      </c>
      <c r="F1635" s="2">
        <f>'[01_Entry.xlsx]Book'!N1635</f>
        <v/>
      </c>
      <c r="G1635" s="3">
        <f>'[01_Entry.xlsx]Book'!L1635</f>
        <v/>
      </c>
      <c r="H1635" s="3">
        <f>'[01_Entry.xlsx]Book'!M1635</f>
        <v/>
      </c>
      <c r="I1635" s="3">
        <f>'[01_Entry.xlsx]Book'!K1635</f>
        <v/>
      </c>
      <c r="J1635" s="3">
        <f>'[01_Entry.xlsx]Book'!P1635</f>
        <v/>
      </c>
      <c r="K1635" s="3">
        <f>'[01_Entry.xlsx]Book'!F1635</f>
        <v/>
      </c>
      <c r="L1635" s="3">
        <f>'[01_Entry.xlsx]Book'!G1635</f>
        <v/>
      </c>
      <c r="M1635" s="3">
        <f>'[01_Entry.xlsx]Book'!I1635</f>
        <v/>
      </c>
      <c r="N1635" s="2">
        <f>IF($A1635="","",MID($A1635,6,2))</f>
        <v>0</v>
      </c>
      <c r="O1635" s="2">
        <f>IF(OR($C1635="",$C1635&lt;&gt;'Inv'!$D$12),"",N(O$1634)+1)</f>
        <v>0</v>
      </c>
    </row>
    <row r="1636" spans="1:15">
      <c r="A1636" s="2">
        <f>'[01_Entry.xlsx]Book'!A1636</f>
        <v/>
      </c>
      <c r="B1636" s="2">
        <f>'[01_Entry.xlsx]Book'!B1636</f>
        <v/>
      </c>
      <c r="C1636" s="2">
        <f>'[01_Entry.xlsx]Book'!D1636</f>
        <v/>
      </c>
      <c r="D1636" s="2">
        <f>'[01_Entry.xlsx]Book'!E1636</f>
        <v/>
      </c>
      <c r="E1636" s="2">
        <f>'[01_Entry.xlsx]Book'!O1636</f>
        <v/>
      </c>
      <c r="F1636" s="2">
        <f>'[01_Entry.xlsx]Book'!N1636</f>
        <v/>
      </c>
      <c r="G1636" s="3">
        <f>'[01_Entry.xlsx]Book'!L1636</f>
        <v/>
      </c>
      <c r="H1636" s="3">
        <f>'[01_Entry.xlsx]Book'!M1636</f>
        <v/>
      </c>
      <c r="I1636" s="3">
        <f>'[01_Entry.xlsx]Book'!K1636</f>
        <v/>
      </c>
      <c r="J1636" s="3">
        <f>'[01_Entry.xlsx]Book'!P1636</f>
        <v/>
      </c>
      <c r="K1636" s="3">
        <f>'[01_Entry.xlsx]Book'!F1636</f>
        <v/>
      </c>
      <c r="L1636" s="3">
        <f>'[01_Entry.xlsx]Book'!G1636</f>
        <v/>
      </c>
      <c r="M1636" s="3">
        <f>'[01_Entry.xlsx]Book'!I1636</f>
        <v/>
      </c>
      <c r="N1636" s="2">
        <f>IF($A1636="","",MID($A1636,6,2))</f>
        <v>0</v>
      </c>
      <c r="O1636" s="2">
        <f>IF(OR($C1636="",$C1636&lt;&gt;'Inv'!$D$12),"",N(O$1635)+1)</f>
        <v>0</v>
      </c>
    </row>
    <row r="1637" spans="1:15">
      <c r="A1637" s="2">
        <f>'[01_Entry.xlsx]Book'!A1637</f>
        <v/>
      </c>
      <c r="B1637" s="2">
        <f>'[01_Entry.xlsx]Book'!B1637</f>
        <v/>
      </c>
      <c r="C1637" s="2">
        <f>'[01_Entry.xlsx]Book'!D1637</f>
        <v/>
      </c>
      <c r="D1637" s="2">
        <f>'[01_Entry.xlsx]Book'!E1637</f>
        <v/>
      </c>
      <c r="E1637" s="2">
        <f>'[01_Entry.xlsx]Book'!O1637</f>
        <v/>
      </c>
      <c r="F1637" s="2">
        <f>'[01_Entry.xlsx]Book'!N1637</f>
        <v/>
      </c>
      <c r="G1637" s="3">
        <f>'[01_Entry.xlsx]Book'!L1637</f>
        <v/>
      </c>
      <c r="H1637" s="3">
        <f>'[01_Entry.xlsx]Book'!M1637</f>
        <v/>
      </c>
      <c r="I1637" s="3">
        <f>'[01_Entry.xlsx]Book'!K1637</f>
        <v/>
      </c>
      <c r="J1637" s="3">
        <f>'[01_Entry.xlsx]Book'!P1637</f>
        <v/>
      </c>
      <c r="K1637" s="3">
        <f>'[01_Entry.xlsx]Book'!F1637</f>
        <v/>
      </c>
      <c r="L1637" s="3">
        <f>'[01_Entry.xlsx]Book'!G1637</f>
        <v/>
      </c>
      <c r="M1637" s="3">
        <f>'[01_Entry.xlsx]Book'!I1637</f>
        <v/>
      </c>
      <c r="N1637" s="2">
        <f>IF($A1637="","",MID($A1637,6,2))</f>
        <v>0</v>
      </c>
      <c r="O1637" s="2">
        <f>IF(OR($C1637="",$C1637&lt;&gt;'Inv'!$D$12),"",N(O$1636)+1)</f>
        <v>0</v>
      </c>
    </row>
    <row r="1638" spans="1:15">
      <c r="A1638" s="2">
        <f>'[01_Entry.xlsx]Book'!A1638</f>
        <v/>
      </c>
      <c r="B1638" s="2">
        <f>'[01_Entry.xlsx]Book'!B1638</f>
        <v/>
      </c>
      <c r="C1638" s="2">
        <f>'[01_Entry.xlsx]Book'!D1638</f>
        <v/>
      </c>
      <c r="D1638" s="2">
        <f>'[01_Entry.xlsx]Book'!E1638</f>
        <v/>
      </c>
      <c r="E1638" s="2">
        <f>'[01_Entry.xlsx]Book'!O1638</f>
        <v/>
      </c>
      <c r="F1638" s="2">
        <f>'[01_Entry.xlsx]Book'!N1638</f>
        <v/>
      </c>
      <c r="G1638" s="3">
        <f>'[01_Entry.xlsx]Book'!L1638</f>
        <v/>
      </c>
      <c r="H1638" s="3">
        <f>'[01_Entry.xlsx]Book'!M1638</f>
        <v/>
      </c>
      <c r="I1638" s="3">
        <f>'[01_Entry.xlsx]Book'!K1638</f>
        <v/>
      </c>
      <c r="J1638" s="3">
        <f>'[01_Entry.xlsx]Book'!P1638</f>
        <v/>
      </c>
      <c r="K1638" s="3">
        <f>'[01_Entry.xlsx]Book'!F1638</f>
        <v/>
      </c>
      <c r="L1638" s="3">
        <f>'[01_Entry.xlsx]Book'!G1638</f>
        <v/>
      </c>
      <c r="M1638" s="3">
        <f>'[01_Entry.xlsx]Book'!I1638</f>
        <v/>
      </c>
      <c r="N1638" s="2">
        <f>IF($A1638="","",MID($A1638,6,2))</f>
        <v>0</v>
      </c>
      <c r="O1638" s="2">
        <f>IF(OR($C1638="",$C1638&lt;&gt;'Inv'!$D$12),"",N(O$1637)+1)</f>
        <v>0</v>
      </c>
    </row>
    <row r="1639" spans="1:15">
      <c r="A1639" s="2">
        <f>'[01_Entry.xlsx]Book'!A1639</f>
        <v/>
      </c>
      <c r="B1639" s="2">
        <f>'[01_Entry.xlsx]Book'!B1639</f>
        <v/>
      </c>
      <c r="C1639" s="2">
        <f>'[01_Entry.xlsx]Book'!D1639</f>
        <v/>
      </c>
      <c r="D1639" s="2">
        <f>'[01_Entry.xlsx]Book'!E1639</f>
        <v/>
      </c>
      <c r="E1639" s="2">
        <f>'[01_Entry.xlsx]Book'!O1639</f>
        <v/>
      </c>
      <c r="F1639" s="2">
        <f>'[01_Entry.xlsx]Book'!N1639</f>
        <v/>
      </c>
      <c r="G1639" s="3">
        <f>'[01_Entry.xlsx]Book'!L1639</f>
        <v/>
      </c>
      <c r="H1639" s="3">
        <f>'[01_Entry.xlsx]Book'!M1639</f>
        <v/>
      </c>
      <c r="I1639" s="3">
        <f>'[01_Entry.xlsx]Book'!K1639</f>
        <v/>
      </c>
      <c r="J1639" s="3">
        <f>'[01_Entry.xlsx]Book'!P1639</f>
        <v/>
      </c>
      <c r="K1639" s="3">
        <f>'[01_Entry.xlsx]Book'!F1639</f>
        <v/>
      </c>
      <c r="L1639" s="3">
        <f>'[01_Entry.xlsx]Book'!G1639</f>
        <v/>
      </c>
      <c r="M1639" s="3">
        <f>'[01_Entry.xlsx]Book'!I1639</f>
        <v/>
      </c>
      <c r="N1639" s="2">
        <f>IF($A1639="","",MID($A1639,6,2))</f>
        <v>0</v>
      </c>
      <c r="O1639" s="2">
        <f>IF(OR($C1639="",$C1639&lt;&gt;'Inv'!$D$12),"",N(O$1638)+1)</f>
        <v>0</v>
      </c>
    </row>
    <row r="1640" spans="1:15">
      <c r="A1640" s="2">
        <f>'[01_Entry.xlsx]Book'!A1640</f>
        <v/>
      </c>
      <c r="B1640" s="2">
        <f>'[01_Entry.xlsx]Book'!B1640</f>
        <v/>
      </c>
      <c r="C1640" s="2">
        <f>'[01_Entry.xlsx]Book'!D1640</f>
        <v/>
      </c>
      <c r="D1640" s="2">
        <f>'[01_Entry.xlsx]Book'!E1640</f>
        <v/>
      </c>
      <c r="E1640" s="2">
        <f>'[01_Entry.xlsx]Book'!O1640</f>
        <v/>
      </c>
      <c r="F1640" s="2">
        <f>'[01_Entry.xlsx]Book'!N1640</f>
        <v/>
      </c>
      <c r="G1640" s="3">
        <f>'[01_Entry.xlsx]Book'!L1640</f>
        <v/>
      </c>
      <c r="H1640" s="3">
        <f>'[01_Entry.xlsx]Book'!M1640</f>
        <v/>
      </c>
      <c r="I1640" s="3">
        <f>'[01_Entry.xlsx]Book'!K1640</f>
        <v/>
      </c>
      <c r="J1640" s="3">
        <f>'[01_Entry.xlsx]Book'!P1640</f>
        <v/>
      </c>
      <c r="K1640" s="3">
        <f>'[01_Entry.xlsx]Book'!F1640</f>
        <v/>
      </c>
      <c r="L1640" s="3">
        <f>'[01_Entry.xlsx]Book'!G1640</f>
        <v/>
      </c>
      <c r="M1640" s="3">
        <f>'[01_Entry.xlsx]Book'!I1640</f>
        <v/>
      </c>
      <c r="N1640" s="2">
        <f>IF($A1640="","",MID($A1640,6,2))</f>
        <v>0</v>
      </c>
      <c r="O1640" s="2">
        <f>IF(OR($C1640="",$C1640&lt;&gt;'Inv'!$D$12),"",N(O$1639)+1)</f>
        <v>0</v>
      </c>
    </row>
    <row r="1641" spans="1:15">
      <c r="A1641" s="2">
        <f>'[01_Entry.xlsx]Book'!A1641</f>
        <v/>
      </c>
      <c r="B1641" s="2">
        <f>'[01_Entry.xlsx]Book'!B1641</f>
        <v/>
      </c>
      <c r="C1641" s="2">
        <f>'[01_Entry.xlsx]Book'!D1641</f>
        <v/>
      </c>
      <c r="D1641" s="2">
        <f>'[01_Entry.xlsx]Book'!E1641</f>
        <v/>
      </c>
      <c r="E1641" s="2">
        <f>'[01_Entry.xlsx]Book'!O1641</f>
        <v/>
      </c>
      <c r="F1641" s="2">
        <f>'[01_Entry.xlsx]Book'!N1641</f>
        <v/>
      </c>
      <c r="G1641" s="3">
        <f>'[01_Entry.xlsx]Book'!L1641</f>
        <v/>
      </c>
      <c r="H1641" s="3">
        <f>'[01_Entry.xlsx]Book'!M1641</f>
        <v/>
      </c>
      <c r="I1641" s="3">
        <f>'[01_Entry.xlsx]Book'!K1641</f>
        <v/>
      </c>
      <c r="J1641" s="3">
        <f>'[01_Entry.xlsx]Book'!P1641</f>
        <v/>
      </c>
      <c r="K1641" s="3">
        <f>'[01_Entry.xlsx]Book'!F1641</f>
        <v/>
      </c>
      <c r="L1641" s="3">
        <f>'[01_Entry.xlsx]Book'!G1641</f>
        <v/>
      </c>
      <c r="M1641" s="3">
        <f>'[01_Entry.xlsx]Book'!I1641</f>
        <v/>
      </c>
      <c r="N1641" s="2">
        <f>IF($A1641="","",MID($A1641,6,2))</f>
        <v>0</v>
      </c>
      <c r="O1641" s="2">
        <f>IF(OR($C1641="",$C1641&lt;&gt;'Inv'!$D$12),"",N(O$1640)+1)</f>
        <v>0</v>
      </c>
    </row>
    <row r="1642" spans="1:15">
      <c r="A1642" s="2">
        <f>'[01_Entry.xlsx]Book'!A1642</f>
        <v/>
      </c>
      <c r="B1642" s="2">
        <f>'[01_Entry.xlsx]Book'!B1642</f>
        <v/>
      </c>
      <c r="C1642" s="2">
        <f>'[01_Entry.xlsx]Book'!D1642</f>
        <v/>
      </c>
      <c r="D1642" s="2">
        <f>'[01_Entry.xlsx]Book'!E1642</f>
        <v/>
      </c>
      <c r="E1642" s="2">
        <f>'[01_Entry.xlsx]Book'!O1642</f>
        <v/>
      </c>
      <c r="F1642" s="2">
        <f>'[01_Entry.xlsx]Book'!N1642</f>
        <v/>
      </c>
      <c r="G1642" s="3">
        <f>'[01_Entry.xlsx]Book'!L1642</f>
        <v/>
      </c>
      <c r="H1642" s="3">
        <f>'[01_Entry.xlsx]Book'!M1642</f>
        <v/>
      </c>
      <c r="I1642" s="3">
        <f>'[01_Entry.xlsx]Book'!K1642</f>
        <v/>
      </c>
      <c r="J1642" s="3">
        <f>'[01_Entry.xlsx]Book'!P1642</f>
        <v/>
      </c>
      <c r="K1642" s="3">
        <f>'[01_Entry.xlsx]Book'!F1642</f>
        <v/>
      </c>
      <c r="L1642" s="3">
        <f>'[01_Entry.xlsx]Book'!G1642</f>
        <v/>
      </c>
      <c r="M1642" s="3">
        <f>'[01_Entry.xlsx]Book'!I1642</f>
        <v/>
      </c>
      <c r="N1642" s="2">
        <f>IF($A1642="","",MID($A1642,6,2))</f>
        <v>0</v>
      </c>
      <c r="O1642" s="2">
        <f>IF(OR($C1642="",$C1642&lt;&gt;'Inv'!$D$12),"",N(O$1641)+1)</f>
        <v>0</v>
      </c>
    </row>
    <row r="1643" spans="1:15">
      <c r="A1643" s="2">
        <f>'[01_Entry.xlsx]Book'!A1643</f>
        <v/>
      </c>
      <c r="B1643" s="2">
        <f>'[01_Entry.xlsx]Book'!B1643</f>
        <v/>
      </c>
      <c r="C1643" s="2">
        <f>'[01_Entry.xlsx]Book'!D1643</f>
        <v/>
      </c>
      <c r="D1643" s="2">
        <f>'[01_Entry.xlsx]Book'!E1643</f>
        <v/>
      </c>
      <c r="E1643" s="2">
        <f>'[01_Entry.xlsx]Book'!O1643</f>
        <v/>
      </c>
      <c r="F1643" s="2">
        <f>'[01_Entry.xlsx]Book'!N1643</f>
        <v/>
      </c>
      <c r="G1643" s="3">
        <f>'[01_Entry.xlsx]Book'!L1643</f>
        <v/>
      </c>
      <c r="H1643" s="3">
        <f>'[01_Entry.xlsx]Book'!M1643</f>
        <v/>
      </c>
      <c r="I1643" s="3">
        <f>'[01_Entry.xlsx]Book'!K1643</f>
        <v/>
      </c>
      <c r="J1643" s="3">
        <f>'[01_Entry.xlsx]Book'!P1643</f>
        <v/>
      </c>
      <c r="K1643" s="3">
        <f>'[01_Entry.xlsx]Book'!F1643</f>
        <v/>
      </c>
      <c r="L1643" s="3">
        <f>'[01_Entry.xlsx]Book'!G1643</f>
        <v/>
      </c>
      <c r="M1643" s="3">
        <f>'[01_Entry.xlsx]Book'!I1643</f>
        <v/>
      </c>
      <c r="N1643" s="2">
        <f>IF($A1643="","",MID($A1643,6,2))</f>
        <v>0</v>
      </c>
      <c r="O1643" s="2">
        <f>IF(OR($C1643="",$C1643&lt;&gt;'Inv'!$D$12),"",N(O$1642)+1)</f>
        <v>0</v>
      </c>
    </row>
    <row r="1644" spans="1:15">
      <c r="A1644" s="2">
        <f>'[01_Entry.xlsx]Book'!A1644</f>
        <v/>
      </c>
      <c r="B1644" s="2">
        <f>'[01_Entry.xlsx]Book'!B1644</f>
        <v/>
      </c>
      <c r="C1644" s="2">
        <f>'[01_Entry.xlsx]Book'!D1644</f>
        <v/>
      </c>
      <c r="D1644" s="2">
        <f>'[01_Entry.xlsx]Book'!E1644</f>
        <v/>
      </c>
      <c r="E1644" s="2">
        <f>'[01_Entry.xlsx]Book'!O1644</f>
        <v/>
      </c>
      <c r="F1644" s="2">
        <f>'[01_Entry.xlsx]Book'!N1644</f>
        <v/>
      </c>
      <c r="G1644" s="3">
        <f>'[01_Entry.xlsx]Book'!L1644</f>
        <v/>
      </c>
      <c r="H1644" s="3">
        <f>'[01_Entry.xlsx]Book'!M1644</f>
        <v/>
      </c>
      <c r="I1644" s="3">
        <f>'[01_Entry.xlsx]Book'!K1644</f>
        <v/>
      </c>
      <c r="J1644" s="3">
        <f>'[01_Entry.xlsx]Book'!P1644</f>
        <v/>
      </c>
      <c r="K1644" s="3">
        <f>'[01_Entry.xlsx]Book'!F1644</f>
        <v/>
      </c>
      <c r="L1644" s="3">
        <f>'[01_Entry.xlsx]Book'!G1644</f>
        <v/>
      </c>
      <c r="M1644" s="3">
        <f>'[01_Entry.xlsx]Book'!I1644</f>
        <v/>
      </c>
      <c r="N1644" s="2">
        <f>IF($A1644="","",MID($A1644,6,2))</f>
        <v>0</v>
      </c>
      <c r="O1644" s="2">
        <f>IF(OR($C1644="",$C1644&lt;&gt;'Inv'!$D$12),"",N(O$1643)+1)</f>
        <v>0</v>
      </c>
    </row>
    <row r="1645" spans="1:15">
      <c r="A1645" s="2">
        <f>'[01_Entry.xlsx]Book'!A1645</f>
        <v/>
      </c>
      <c r="B1645" s="2">
        <f>'[01_Entry.xlsx]Book'!B1645</f>
        <v/>
      </c>
      <c r="C1645" s="2">
        <f>'[01_Entry.xlsx]Book'!D1645</f>
        <v/>
      </c>
      <c r="D1645" s="2">
        <f>'[01_Entry.xlsx]Book'!E1645</f>
        <v/>
      </c>
      <c r="E1645" s="2">
        <f>'[01_Entry.xlsx]Book'!O1645</f>
        <v/>
      </c>
      <c r="F1645" s="2">
        <f>'[01_Entry.xlsx]Book'!N1645</f>
        <v/>
      </c>
      <c r="G1645" s="3">
        <f>'[01_Entry.xlsx]Book'!L1645</f>
        <v/>
      </c>
      <c r="H1645" s="3">
        <f>'[01_Entry.xlsx]Book'!M1645</f>
        <v/>
      </c>
      <c r="I1645" s="3">
        <f>'[01_Entry.xlsx]Book'!K1645</f>
        <v/>
      </c>
      <c r="J1645" s="3">
        <f>'[01_Entry.xlsx]Book'!P1645</f>
        <v/>
      </c>
      <c r="K1645" s="3">
        <f>'[01_Entry.xlsx]Book'!F1645</f>
        <v/>
      </c>
      <c r="L1645" s="3">
        <f>'[01_Entry.xlsx]Book'!G1645</f>
        <v/>
      </c>
      <c r="M1645" s="3">
        <f>'[01_Entry.xlsx]Book'!I1645</f>
        <v/>
      </c>
      <c r="N1645" s="2">
        <f>IF($A1645="","",MID($A1645,6,2))</f>
        <v>0</v>
      </c>
      <c r="O1645" s="2">
        <f>IF(OR($C1645="",$C1645&lt;&gt;'Inv'!$D$12),"",N(O$1644)+1)</f>
        <v>0</v>
      </c>
    </row>
    <row r="1646" spans="1:15">
      <c r="A1646" s="2">
        <f>'[01_Entry.xlsx]Book'!A1646</f>
        <v/>
      </c>
      <c r="B1646" s="2">
        <f>'[01_Entry.xlsx]Book'!B1646</f>
        <v/>
      </c>
      <c r="C1646" s="2">
        <f>'[01_Entry.xlsx]Book'!D1646</f>
        <v/>
      </c>
      <c r="D1646" s="2">
        <f>'[01_Entry.xlsx]Book'!E1646</f>
        <v/>
      </c>
      <c r="E1646" s="2">
        <f>'[01_Entry.xlsx]Book'!O1646</f>
        <v/>
      </c>
      <c r="F1646" s="2">
        <f>'[01_Entry.xlsx]Book'!N1646</f>
        <v/>
      </c>
      <c r="G1646" s="3">
        <f>'[01_Entry.xlsx]Book'!L1646</f>
        <v/>
      </c>
      <c r="H1646" s="3">
        <f>'[01_Entry.xlsx]Book'!M1646</f>
        <v/>
      </c>
      <c r="I1646" s="3">
        <f>'[01_Entry.xlsx]Book'!K1646</f>
        <v/>
      </c>
      <c r="J1646" s="3">
        <f>'[01_Entry.xlsx]Book'!P1646</f>
        <v/>
      </c>
      <c r="K1646" s="3">
        <f>'[01_Entry.xlsx]Book'!F1646</f>
        <v/>
      </c>
      <c r="L1646" s="3">
        <f>'[01_Entry.xlsx]Book'!G1646</f>
        <v/>
      </c>
      <c r="M1646" s="3">
        <f>'[01_Entry.xlsx]Book'!I1646</f>
        <v/>
      </c>
      <c r="N1646" s="2">
        <f>IF($A1646="","",MID($A1646,6,2))</f>
        <v>0</v>
      </c>
      <c r="O1646" s="2">
        <f>IF(OR($C1646="",$C1646&lt;&gt;'Inv'!$D$12),"",N(O$1645)+1)</f>
        <v>0</v>
      </c>
    </row>
    <row r="1647" spans="1:15">
      <c r="A1647" s="2">
        <f>'[01_Entry.xlsx]Book'!A1647</f>
        <v/>
      </c>
      <c r="B1647" s="2">
        <f>'[01_Entry.xlsx]Book'!B1647</f>
        <v/>
      </c>
      <c r="C1647" s="2">
        <f>'[01_Entry.xlsx]Book'!D1647</f>
        <v/>
      </c>
      <c r="D1647" s="2">
        <f>'[01_Entry.xlsx]Book'!E1647</f>
        <v/>
      </c>
      <c r="E1647" s="2">
        <f>'[01_Entry.xlsx]Book'!O1647</f>
        <v/>
      </c>
      <c r="F1647" s="2">
        <f>'[01_Entry.xlsx]Book'!N1647</f>
        <v/>
      </c>
      <c r="G1647" s="3">
        <f>'[01_Entry.xlsx]Book'!L1647</f>
        <v/>
      </c>
      <c r="H1647" s="3">
        <f>'[01_Entry.xlsx]Book'!M1647</f>
        <v/>
      </c>
      <c r="I1647" s="3">
        <f>'[01_Entry.xlsx]Book'!K1647</f>
        <v/>
      </c>
      <c r="J1647" s="3">
        <f>'[01_Entry.xlsx]Book'!P1647</f>
        <v/>
      </c>
      <c r="K1647" s="3">
        <f>'[01_Entry.xlsx]Book'!F1647</f>
        <v/>
      </c>
      <c r="L1647" s="3">
        <f>'[01_Entry.xlsx]Book'!G1647</f>
        <v/>
      </c>
      <c r="M1647" s="3">
        <f>'[01_Entry.xlsx]Book'!I1647</f>
        <v/>
      </c>
      <c r="N1647" s="2">
        <f>IF($A1647="","",MID($A1647,6,2))</f>
        <v>0</v>
      </c>
      <c r="O1647" s="2">
        <f>IF(OR($C1647="",$C1647&lt;&gt;'Inv'!$D$12),"",N(O$1646)+1)</f>
        <v>0</v>
      </c>
    </row>
    <row r="1648" spans="1:15">
      <c r="A1648" s="2">
        <f>'[01_Entry.xlsx]Book'!A1648</f>
        <v/>
      </c>
      <c r="B1648" s="2">
        <f>'[01_Entry.xlsx]Book'!B1648</f>
        <v/>
      </c>
      <c r="C1648" s="2">
        <f>'[01_Entry.xlsx]Book'!D1648</f>
        <v/>
      </c>
      <c r="D1648" s="2">
        <f>'[01_Entry.xlsx]Book'!E1648</f>
        <v/>
      </c>
      <c r="E1648" s="2">
        <f>'[01_Entry.xlsx]Book'!O1648</f>
        <v/>
      </c>
      <c r="F1648" s="2">
        <f>'[01_Entry.xlsx]Book'!N1648</f>
        <v/>
      </c>
      <c r="G1648" s="3">
        <f>'[01_Entry.xlsx]Book'!L1648</f>
        <v/>
      </c>
      <c r="H1648" s="3">
        <f>'[01_Entry.xlsx]Book'!M1648</f>
        <v/>
      </c>
      <c r="I1648" s="3">
        <f>'[01_Entry.xlsx]Book'!K1648</f>
        <v/>
      </c>
      <c r="J1648" s="3">
        <f>'[01_Entry.xlsx]Book'!P1648</f>
        <v/>
      </c>
      <c r="K1648" s="3">
        <f>'[01_Entry.xlsx]Book'!F1648</f>
        <v/>
      </c>
      <c r="L1648" s="3">
        <f>'[01_Entry.xlsx]Book'!G1648</f>
        <v/>
      </c>
      <c r="M1648" s="3">
        <f>'[01_Entry.xlsx]Book'!I1648</f>
        <v/>
      </c>
      <c r="N1648" s="2">
        <f>IF($A1648="","",MID($A1648,6,2))</f>
        <v>0</v>
      </c>
      <c r="O1648" s="2">
        <f>IF(OR($C1648="",$C1648&lt;&gt;'Inv'!$D$12),"",N(O$1647)+1)</f>
        <v>0</v>
      </c>
    </row>
    <row r="1649" spans="1:15">
      <c r="A1649" s="2">
        <f>'[01_Entry.xlsx]Book'!A1649</f>
        <v/>
      </c>
      <c r="B1649" s="2">
        <f>'[01_Entry.xlsx]Book'!B1649</f>
        <v/>
      </c>
      <c r="C1649" s="2">
        <f>'[01_Entry.xlsx]Book'!D1649</f>
        <v/>
      </c>
      <c r="D1649" s="2">
        <f>'[01_Entry.xlsx]Book'!E1649</f>
        <v/>
      </c>
      <c r="E1649" s="2">
        <f>'[01_Entry.xlsx]Book'!O1649</f>
        <v/>
      </c>
      <c r="F1649" s="2">
        <f>'[01_Entry.xlsx]Book'!N1649</f>
        <v/>
      </c>
      <c r="G1649" s="3">
        <f>'[01_Entry.xlsx]Book'!L1649</f>
        <v/>
      </c>
      <c r="H1649" s="3">
        <f>'[01_Entry.xlsx]Book'!M1649</f>
        <v/>
      </c>
      <c r="I1649" s="3">
        <f>'[01_Entry.xlsx]Book'!K1649</f>
        <v/>
      </c>
      <c r="J1649" s="3">
        <f>'[01_Entry.xlsx]Book'!P1649</f>
        <v/>
      </c>
      <c r="K1649" s="3">
        <f>'[01_Entry.xlsx]Book'!F1649</f>
        <v/>
      </c>
      <c r="L1649" s="3">
        <f>'[01_Entry.xlsx]Book'!G1649</f>
        <v/>
      </c>
      <c r="M1649" s="3">
        <f>'[01_Entry.xlsx]Book'!I1649</f>
        <v/>
      </c>
      <c r="N1649" s="2">
        <f>IF($A1649="","",MID($A1649,6,2))</f>
        <v>0</v>
      </c>
      <c r="O1649" s="2">
        <f>IF(OR($C1649="",$C1649&lt;&gt;'Inv'!$D$12),"",N(O$1648)+1)</f>
        <v>0</v>
      </c>
    </row>
    <row r="1650" spans="1:15">
      <c r="A1650" s="2">
        <f>'[01_Entry.xlsx]Book'!A1650</f>
        <v/>
      </c>
      <c r="B1650" s="2">
        <f>'[01_Entry.xlsx]Book'!B1650</f>
        <v/>
      </c>
      <c r="C1650" s="2">
        <f>'[01_Entry.xlsx]Book'!D1650</f>
        <v/>
      </c>
      <c r="D1650" s="2">
        <f>'[01_Entry.xlsx]Book'!E1650</f>
        <v/>
      </c>
      <c r="E1650" s="2">
        <f>'[01_Entry.xlsx]Book'!O1650</f>
        <v/>
      </c>
      <c r="F1650" s="2">
        <f>'[01_Entry.xlsx]Book'!N1650</f>
        <v/>
      </c>
      <c r="G1650" s="3">
        <f>'[01_Entry.xlsx]Book'!L1650</f>
        <v/>
      </c>
      <c r="H1650" s="3">
        <f>'[01_Entry.xlsx]Book'!M1650</f>
        <v/>
      </c>
      <c r="I1650" s="3">
        <f>'[01_Entry.xlsx]Book'!K1650</f>
        <v/>
      </c>
      <c r="J1650" s="3">
        <f>'[01_Entry.xlsx]Book'!P1650</f>
        <v/>
      </c>
      <c r="K1650" s="3">
        <f>'[01_Entry.xlsx]Book'!F1650</f>
        <v/>
      </c>
      <c r="L1650" s="3">
        <f>'[01_Entry.xlsx]Book'!G1650</f>
        <v/>
      </c>
      <c r="M1650" s="3">
        <f>'[01_Entry.xlsx]Book'!I1650</f>
        <v/>
      </c>
      <c r="N1650" s="2">
        <f>IF($A1650="","",MID($A1650,6,2))</f>
        <v>0</v>
      </c>
      <c r="O1650" s="2">
        <f>IF(OR($C1650="",$C1650&lt;&gt;'Inv'!$D$12),"",N(O$1649)+1)</f>
        <v>0</v>
      </c>
    </row>
    <row r="1651" spans="1:15">
      <c r="A1651" s="2">
        <f>'[01_Entry.xlsx]Book'!A1651</f>
        <v/>
      </c>
      <c r="B1651" s="2">
        <f>'[01_Entry.xlsx]Book'!B1651</f>
        <v/>
      </c>
      <c r="C1651" s="2">
        <f>'[01_Entry.xlsx]Book'!D1651</f>
        <v/>
      </c>
      <c r="D1651" s="2">
        <f>'[01_Entry.xlsx]Book'!E1651</f>
        <v/>
      </c>
      <c r="E1651" s="2">
        <f>'[01_Entry.xlsx]Book'!O1651</f>
        <v/>
      </c>
      <c r="F1651" s="2">
        <f>'[01_Entry.xlsx]Book'!N1651</f>
        <v/>
      </c>
      <c r="G1651" s="3">
        <f>'[01_Entry.xlsx]Book'!L1651</f>
        <v/>
      </c>
      <c r="H1651" s="3">
        <f>'[01_Entry.xlsx]Book'!M1651</f>
        <v/>
      </c>
      <c r="I1651" s="3">
        <f>'[01_Entry.xlsx]Book'!K1651</f>
        <v/>
      </c>
      <c r="J1651" s="3">
        <f>'[01_Entry.xlsx]Book'!P1651</f>
        <v/>
      </c>
      <c r="K1651" s="3">
        <f>'[01_Entry.xlsx]Book'!F1651</f>
        <v/>
      </c>
      <c r="L1651" s="3">
        <f>'[01_Entry.xlsx]Book'!G1651</f>
        <v/>
      </c>
      <c r="M1651" s="3">
        <f>'[01_Entry.xlsx]Book'!I1651</f>
        <v/>
      </c>
      <c r="N1651" s="2">
        <f>IF($A1651="","",MID($A1651,6,2))</f>
        <v>0</v>
      </c>
      <c r="O1651" s="2">
        <f>IF(OR($C1651="",$C1651&lt;&gt;'Inv'!$D$12),"",N(O$1650)+1)</f>
        <v>0</v>
      </c>
    </row>
    <row r="1652" spans="1:15">
      <c r="A1652" s="2">
        <f>'[01_Entry.xlsx]Book'!A1652</f>
        <v/>
      </c>
      <c r="B1652" s="2">
        <f>'[01_Entry.xlsx]Book'!B1652</f>
        <v/>
      </c>
      <c r="C1652" s="2">
        <f>'[01_Entry.xlsx]Book'!D1652</f>
        <v/>
      </c>
      <c r="D1652" s="2">
        <f>'[01_Entry.xlsx]Book'!E1652</f>
        <v/>
      </c>
      <c r="E1652" s="2">
        <f>'[01_Entry.xlsx]Book'!O1652</f>
        <v/>
      </c>
      <c r="F1652" s="2">
        <f>'[01_Entry.xlsx]Book'!N1652</f>
        <v/>
      </c>
      <c r="G1652" s="3">
        <f>'[01_Entry.xlsx]Book'!L1652</f>
        <v/>
      </c>
      <c r="H1652" s="3">
        <f>'[01_Entry.xlsx]Book'!M1652</f>
        <v/>
      </c>
      <c r="I1652" s="3">
        <f>'[01_Entry.xlsx]Book'!K1652</f>
        <v/>
      </c>
      <c r="J1652" s="3">
        <f>'[01_Entry.xlsx]Book'!P1652</f>
        <v/>
      </c>
      <c r="K1652" s="3">
        <f>'[01_Entry.xlsx]Book'!F1652</f>
        <v/>
      </c>
      <c r="L1652" s="3">
        <f>'[01_Entry.xlsx]Book'!G1652</f>
        <v/>
      </c>
      <c r="M1652" s="3">
        <f>'[01_Entry.xlsx]Book'!I1652</f>
        <v/>
      </c>
      <c r="N1652" s="2">
        <f>IF($A1652="","",MID($A1652,6,2))</f>
        <v>0</v>
      </c>
      <c r="O1652" s="2">
        <f>IF(OR($C1652="",$C1652&lt;&gt;'Inv'!$D$12),"",N(O$1651)+1)</f>
        <v>0</v>
      </c>
    </row>
    <row r="1653" spans="1:15">
      <c r="A1653" s="2">
        <f>'[01_Entry.xlsx]Book'!A1653</f>
        <v/>
      </c>
      <c r="B1653" s="2">
        <f>'[01_Entry.xlsx]Book'!B1653</f>
        <v/>
      </c>
      <c r="C1653" s="2">
        <f>'[01_Entry.xlsx]Book'!D1653</f>
        <v/>
      </c>
      <c r="D1653" s="2">
        <f>'[01_Entry.xlsx]Book'!E1653</f>
        <v/>
      </c>
      <c r="E1653" s="2">
        <f>'[01_Entry.xlsx]Book'!O1653</f>
        <v/>
      </c>
      <c r="F1653" s="2">
        <f>'[01_Entry.xlsx]Book'!N1653</f>
        <v/>
      </c>
      <c r="G1653" s="3">
        <f>'[01_Entry.xlsx]Book'!L1653</f>
        <v/>
      </c>
      <c r="H1653" s="3">
        <f>'[01_Entry.xlsx]Book'!M1653</f>
        <v/>
      </c>
      <c r="I1653" s="3">
        <f>'[01_Entry.xlsx]Book'!K1653</f>
        <v/>
      </c>
      <c r="J1653" s="3">
        <f>'[01_Entry.xlsx]Book'!P1653</f>
        <v/>
      </c>
      <c r="K1653" s="3">
        <f>'[01_Entry.xlsx]Book'!F1653</f>
        <v/>
      </c>
      <c r="L1653" s="3">
        <f>'[01_Entry.xlsx]Book'!G1653</f>
        <v/>
      </c>
      <c r="M1653" s="3">
        <f>'[01_Entry.xlsx]Book'!I1653</f>
        <v/>
      </c>
      <c r="N1653" s="2">
        <f>IF($A1653="","",MID($A1653,6,2))</f>
        <v>0</v>
      </c>
      <c r="O1653" s="2">
        <f>IF(OR($C1653="",$C1653&lt;&gt;'Inv'!$D$12),"",N(O$1652)+1)</f>
        <v>0</v>
      </c>
    </row>
    <row r="1654" spans="1:15">
      <c r="A1654" s="2">
        <f>'[01_Entry.xlsx]Book'!A1654</f>
        <v/>
      </c>
      <c r="B1654" s="2">
        <f>'[01_Entry.xlsx]Book'!B1654</f>
        <v/>
      </c>
      <c r="C1654" s="2">
        <f>'[01_Entry.xlsx]Book'!D1654</f>
        <v/>
      </c>
      <c r="D1654" s="2">
        <f>'[01_Entry.xlsx]Book'!E1654</f>
        <v/>
      </c>
      <c r="E1654" s="2">
        <f>'[01_Entry.xlsx]Book'!O1654</f>
        <v/>
      </c>
      <c r="F1654" s="2">
        <f>'[01_Entry.xlsx]Book'!N1654</f>
        <v/>
      </c>
      <c r="G1654" s="3">
        <f>'[01_Entry.xlsx]Book'!L1654</f>
        <v/>
      </c>
      <c r="H1654" s="3">
        <f>'[01_Entry.xlsx]Book'!M1654</f>
        <v/>
      </c>
      <c r="I1654" s="3">
        <f>'[01_Entry.xlsx]Book'!K1654</f>
        <v/>
      </c>
      <c r="J1654" s="3">
        <f>'[01_Entry.xlsx]Book'!P1654</f>
        <v/>
      </c>
      <c r="K1654" s="3">
        <f>'[01_Entry.xlsx]Book'!F1654</f>
        <v/>
      </c>
      <c r="L1654" s="3">
        <f>'[01_Entry.xlsx]Book'!G1654</f>
        <v/>
      </c>
      <c r="M1654" s="3">
        <f>'[01_Entry.xlsx]Book'!I1654</f>
        <v/>
      </c>
      <c r="N1654" s="2">
        <f>IF($A1654="","",MID($A1654,6,2))</f>
        <v>0</v>
      </c>
      <c r="O1654" s="2">
        <f>IF(OR($C1654="",$C1654&lt;&gt;'Inv'!$D$12),"",N(O$1653)+1)</f>
        <v>0</v>
      </c>
    </row>
    <row r="1655" spans="1:15">
      <c r="A1655" s="2">
        <f>'[01_Entry.xlsx]Book'!A1655</f>
        <v/>
      </c>
      <c r="B1655" s="2">
        <f>'[01_Entry.xlsx]Book'!B1655</f>
        <v/>
      </c>
      <c r="C1655" s="2">
        <f>'[01_Entry.xlsx]Book'!D1655</f>
        <v/>
      </c>
      <c r="D1655" s="2">
        <f>'[01_Entry.xlsx]Book'!E1655</f>
        <v/>
      </c>
      <c r="E1655" s="2">
        <f>'[01_Entry.xlsx]Book'!O1655</f>
        <v/>
      </c>
      <c r="F1655" s="2">
        <f>'[01_Entry.xlsx]Book'!N1655</f>
        <v/>
      </c>
      <c r="G1655" s="3">
        <f>'[01_Entry.xlsx]Book'!L1655</f>
        <v/>
      </c>
      <c r="H1655" s="3">
        <f>'[01_Entry.xlsx]Book'!M1655</f>
        <v/>
      </c>
      <c r="I1655" s="3">
        <f>'[01_Entry.xlsx]Book'!K1655</f>
        <v/>
      </c>
      <c r="J1655" s="3">
        <f>'[01_Entry.xlsx]Book'!P1655</f>
        <v/>
      </c>
      <c r="K1655" s="3">
        <f>'[01_Entry.xlsx]Book'!F1655</f>
        <v/>
      </c>
      <c r="L1655" s="3">
        <f>'[01_Entry.xlsx]Book'!G1655</f>
        <v/>
      </c>
      <c r="M1655" s="3">
        <f>'[01_Entry.xlsx]Book'!I1655</f>
        <v/>
      </c>
      <c r="N1655" s="2">
        <f>IF($A1655="","",MID($A1655,6,2))</f>
        <v>0</v>
      </c>
      <c r="O1655" s="2">
        <f>IF(OR($C1655="",$C1655&lt;&gt;'Inv'!$D$12),"",N(O$1654)+1)</f>
        <v>0</v>
      </c>
    </row>
    <row r="1656" spans="1:15">
      <c r="A1656" s="2">
        <f>'[01_Entry.xlsx]Book'!A1656</f>
        <v/>
      </c>
      <c r="B1656" s="2">
        <f>'[01_Entry.xlsx]Book'!B1656</f>
        <v/>
      </c>
      <c r="C1656" s="2">
        <f>'[01_Entry.xlsx]Book'!D1656</f>
        <v/>
      </c>
      <c r="D1656" s="2">
        <f>'[01_Entry.xlsx]Book'!E1656</f>
        <v/>
      </c>
      <c r="E1656" s="2">
        <f>'[01_Entry.xlsx]Book'!O1656</f>
        <v/>
      </c>
      <c r="F1656" s="2">
        <f>'[01_Entry.xlsx]Book'!N1656</f>
        <v/>
      </c>
      <c r="G1656" s="3">
        <f>'[01_Entry.xlsx]Book'!L1656</f>
        <v/>
      </c>
      <c r="H1656" s="3">
        <f>'[01_Entry.xlsx]Book'!M1656</f>
        <v/>
      </c>
      <c r="I1656" s="3">
        <f>'[01_Entry.xlsx]Book'!K1656</f>
        <v/>
      </c>
      <c r="J1656" s="3">
        <f>'[01_Entry.xlsx]Book'!P1656</f>
        <v/>
      </c>
      <c r="K1656" s="3">
        <f>'[01_Entry.xlsx]Book'!F1656</f>
        <v/>
      </c>
      <c r="L1656" s="3">
        <f>'[01_Entry.xlsx]Book'!G1656</f>
        <v/>
      </c>
      <c r="M1656" s="3">
        <f>'[01_Entry.xlsx]Book'!I1656</f>
        <v/>
      </c>
      <c r="N1656" s="2">
        <f>IF($A1656="","",MID($A1656,6,2))</f>
        <v>0</v>
      </c>
      <c r="O1656" s="2">
        <f>IF(OR($C1656="",$C1656&lt;&gt;'Inv'!$D$12),"",N(O$1655)+1)</f>
        <v>0</v>
      </c>
    </row>
    <row r="1657" spans="1:15">
      <c r="A1657" s="2">
        <f>'[01_Entry.xlsx]Book'!A1657</f>
        <v/>
      </c>
      <c r="B1657" s="2">
        <f>'[01_Entry.xlsx]Book'!B1657</f>
        <v/>
      </c>
      <c r="C1657" s="2">
        <f>'[01_Entry.xlsx]Book'!D1657</f>
        <v/>
      </c>
      <c r="D1657" s="2">
        <f>'[01_Entry.xlsx]Book'!E1657</f>
        <v/>
      </c>
      <c r="E1657" s="2">
        <f>'[01_Entry.xlsx]Book'!O1657</f>
        <v/>
      </c>
      <c r="F1657" s="2">
        <f>'[01_Entry.xlsx]Book'!N1657</f>
        <v/>
      </c>
      <c r="G1657" s="3">
        <f>'[01_Entry.xlsx]Book'!L1657</f>
        <v/>
      </c>
      <c r="H1657" s="3">
        <f>'[01_Entry.xlsx]Book'!M1657</f>
        <v/>
      </c>
      <c r="I1657" s="3">
        <f>'[01_Entry.xlsx]Book'!K1657</f>
        <v/>
      </c>
      <c r="J1657" s="3">
        <f>'[01_Entry.xlsx]Book'!P1657</f>
        <v/>
      </c>
      <c r="K1657" s="3">
        <f>'[01_Entry.xlsx]Book'!F1657</f>
        <v/>
      </c>
      <c r="L1657" s="3">
        <f>'[01_Entry.xlsx]Book'!G1657</f>
        <v/>
      </c>
      <c r="M1657" s="3">
        <f>'[01_Entry.xlsx]Book'!I1657</f>
        <v/>
      </c>
      <c r="N1657" s="2">
        <f>IF($A1657="","",MID($A1657,6,2))</f>
        <v>0</v>
      </c>
      <c r="O1657" s="2">
        <f>IF(OR($C1657="",$C1657&lt;&gt;'Inv'!$D$12),"",N(O$1656)+1)</f>
        <v>0</v>
      </c>
    </row>
    <row r="1658" spans="1:15">
      <c r="A1658" s="2">
        <f>'[01_Entry.xlsx]Book'!A1658</f>
        <v/>
      </c>
      <c r="B1658" s="2">
        <f>'[01_Entry.xlsx]Book'!B1658</f>
        <v/>
      </c>
      <c r="C1658" s="2">
        <f>'[01_Entry.xlsx]Book'!D1658</f>
        <v/>
      </c>
      <c r="D1658" s="2">
        <f>'[01_Entry.xlsx]Book'!E1658</f>
        <v/>
      </c>
      <c r="E1658" s="2">
        <f>'[01_Entry.xlsx]Book'!O1658</f>
        <v/>
      </c>
      <c r="F1658" s="2">
        <f>'[01_Entry.xlsx]Book'!N1658</f>
        <v/>
      </c>
      <c r="G1658" s="3">
        <f>'[01_Entry.xlsx]Book'!L1658</f>
        <v/>
      </c>
      <c r="H1658" s="3">
        <f>'[01_Entry.xlsx]Book'!M1658</f>
        <v/>
      </c>
      <c r="I1658" s="3">
        <f>'[01_Entry.xlsx]Book'!K1658</f>
        <v/>
      </c>
      <c r="J1658" s="3">
        <f>'[01_Entry.xlsx]Book'!P1658</f>
        <v/>
      </c>
      <c r="K1658" s="3">
        <f>'[01_Entry.xlsx]Book'!F1658</f>
        <v/>
      </c>
      <c r="L1658" s="3">
        <f>'[01_Entry.xlsx]Book'!G1658</f>
        <v/>
      </c>
      <c r="M1658" s="3">
        <f>'[01_Entry.xlsx]Book'!I1658</f>
        <v/>
      </c>
      <c r="N1658" s="2">
        <f>IF($A1658="","",MID($A1658,6,2))</f>
        <v>0</v>
      </c>
      <c r="O1658" s="2">
        <f>IF(OR($C1658="",$C1658&lt;&gt;'Inv'!$D$12),"",N(O$1657)+1)</f>
        <v>0</v>
      </c>
    </row>
    <row r="1659" spans="1:15">
      <c r="A1659" s="2">
        <f>'[01_Entry.xlsx]Book'!A1659</f>
        <v/>
      </c>
      <c r="B1659" s="2">
        <f>'[01_Entry.xlsx]Book'!B1659</f>
        <v/>
      </c>
      <c r="C1659" s="2">
        <f>'[01_Entry.xlsx]Book'!D1659</f>
        <v/>
      </c>
      <c r="D1659" s="2">
        <f>'[01_Entry.xlsx]Book'!E1659</f>
        <v/>
      </c>
      <c r="E1659" s="2">
        <f>'[01_Entry.xlsx]Book'!O1659</f>
        <v/>
      </c>
      <c r="F1659" s="2">
        <f>'[01_Entry.xlsx]Book'!N1659</f>
        <v/>
      </c>
      <c r="G1659" s="3">
        <f>'[01_Entry.xlsx]Book'!L1659</f>
        <v/>
      </c>
      <c r="H1659" s="3">
        <f>'[01_Entry.xlsx]Book'!M1659</f>
        <v/>
      </c>
      <c r="I1659" s="3">
        <f>'[01_Entry.xlsx]Book'!K1659</f>
        <v/>
      </c>
      <c r="J1659" s="3">
        <f>'[01_Entry.xlsx]Book'!P1659</f>
        <v/>
      </c>
      <c r="K1659" s="3">
        <f>'[01_Entry.xlsx]Book'!F1659</f>
        <v/>
      </c>
      <c r="L1659" s="3">
        <f>'[01_Entry.xlsx]Book'!G1659</f>
        <v/>
      </c>
      <c r="M1659" s="3">
        <f>'[01_Entry.xlsx]Book'!I1659</f>
        <v/>
      </c>
      <c r="N1659" s="2">
        <f>IF($A1659="","",MID($A1659,6,2))</f>
        <v>0</v>
      </c>
      <c r="O1659" s="2">
        <f>IF(OR($C1659="",$C1659&lt;&gt;'Inv'!$D$12),"",N(O$1658)+1)</f>
        <v>0</v>
      </c>
    </row>
    <row r="1660" spans="1:15">
      <c r="A1660" s="2">
        <f>'[01_Entry.xlsx]Book'!A1660</f>
        <v/>
      </c>
      <c r="B1660" s="2">
        <f>'[01_Entry.xlsx]Book'!B1660</f>
        <v/>
      </c>
      <c r="C1660" s="2">
        <f>'[01_Entry.xlsx]Book'!D1660</f>
        <v/>
      </c>
      <c r="D1660" s="2">
        <f>'[01_Entry.xlsx]Book'!E1660</f>
        <v/>
      </c>
      <c r="E1660" s="2">
        <f>'[01_Entry.xlsx]Book'!O1660</f>
        <v/>
      </c>
      <c r="F1660" s="2">
        <f>'[01_Entry.xlsx]Book'!N1660</f>
        <v/>
      </c>
      <c r="G1660" s="3">
        <f>'[01_Entry.xlsx]Book'!L1660</f>
        <v/>
      </c>
      <c r="H1660" s="3">
        <f>'[01_Entry.xlsx]Book'!M1660</f>
        <v/>
      </c>
      <c r="I1660" s="3">
        <f>'[01_Entry.xlsx]Book'!K1660</f>
        <v/>
      </c>
      <c r="J1660" s="3">
        <f>'[01_Entry.xlsx]Book'!P1660</f>
        <v/>
      </c>
      <c r="K1660" s="3">
        <f>'[01_Entry.xlsx]Book'!F1660</f>
        <v/>
      </c>
      <c r="L1660" s="3">
        <f>'[01_Entry.xlsx]Book'!G1660</f>
        <v/>
      </c>
      <c r="M1660" s="3">
        <f>'[01_Entry.xlsx]Book'!I1660</f>
        <v/>
      </c>
      <c r="N1660" s="2">
        <f>IF($A1660="","",MID($A1660,6,2))</f>
        <v>0</v>
      </c>
      <c r="O1660" s="2">
        <f>IF(OR($C1660="",$C1660&lt;&gt;'Inv'!$D$12),"",N(O$1659)+1)</f>
        <v>0</v>
      </c>
    </row>
    <row r="1661" spans="1:15">
      <c r="A1661" s="2">
        <f>'[01_Entry.xlsx]Book'!A1661</f>
        <v/>
      </c>
      <c r="B1661" s="2">
        <f>'[01_Entry.xlsx]Book'!B1661</f>
        <v/>
      </c>
      <c r="C1661" s="2">
        <f>'[01_Entry.xlsx]Book'!D1661</f>
        <v/>
      </c>
      <c r="D1661" s="2">
        <f>'[01_Entry.xlsx]Book'!E1661</f>
        <v/>
      </c>
      <c r="E1661" s="2">
        <f>'[01_Entry.xlsx]Book'!O1661</f>
        <v/>
      </c>
      <c r="F1661" s="2">
        <f>'[01_Entry.xlsx]Book'!N1661</f>
        <v/>
      </c>
      <c r="G1661" s="3">
        <f>'[01_Entry.xlsx]Book'!L1661</f>
        <v/>
      </c>
      <c r="H1661" s="3">
        <f>'[01_Entry.xlsx]Book'!M1661</f>
        <v/>
      </c>
      <c r="I1661" s="3">
        <f>'[01_Entry.xlsx]Book'!K1661</f>
        <v/>
      </c>
      <c r="J1661" s="3">
        <f>'[01_Entry.xlsx]Book'!P1661</f>
        <v/>
      </c>
      <c r="K1661" s="3">
        <f>'[01_Entry.xlsx]Book'!F1661</f>
        <v/>
      </c>
      <c r="L1661" s="3">
        <f>'[01_Entry.xlsx]Book'!G1661</f>
        <v/>
      </c>
      <c r="M1661" s="3">
        <f>'[01_Entry.xlsx]Book'!I1661</f>
        <v/>
      </c>
      <c r="N1661" s="2">
        <f>IF($A1661="","",MID($A1661,6,2))</f>
        <v>0</v>
      </c>
      <c r="O1661" s="2">
        <f>IF(OR($C1661="",$C1661&lt;&gt;'Inv'!$D$12),"",N(O$1660)+1)</f>
        <v>0</v>
      </c>
    </row>
    <row r="1662" spans="1:15">
      <c r="A1662" s="2">
        <f>'[01_Entry.xlsx]Book'!A1662</f>
        <v/>
      </c>
      <c r="B1662" s="2">
        <f>'[01_Entry.xlsx]Book'!B1662</f>
        <v/>
      </c>
      <c r="C1662" s="2">
        <f>'[01_Entry.xlsx]Book'!D1662</f>
        <v/>
      </c>
      <c r="D1662" s="2">
        <f>'[01_Entry.xlsx]Book'!E1662</f>
        <v/>
      </c>
      <c r="E1662" s="2">
        <f>'[01_Entry.xlsx]Book'!O1662</f>
        <v/>
      </c>
      <c r="F1662" s="2">
        <f>'[01_Entry.xlsx]Book'!N1662</f>
        <v/>
      </c>
      <c r="G1662" s="3">
        <f>'[01_Entry.xlsx]Book'!L1662</f>
        <v/>
      </c>
      <c r="H1662" s="3">
        <f>'[01_Entry.xlsx]Book'!M1662</f>
        <v/>
      </c>
      <c r="I1662" s="3">
        <f>'[01_Entry.xlsx]Book'!K1662</f>
        <v/>
      </c>
      <c r="J1662" s="3">
        <f>'[01_Entry.xlsx]Book'!P1662</f>
        <v/>
      </c>
      <c r="K1662" s="3">
        <f>'[01_Entry.xlsx]Book'!F1662</f>
        <v/>
      </c>
      <c r="L1662" s="3">
        <f>'[01_Entry.xlsx]Book'!G1662</f>
        <v/>
      </c>
      <c r="M1662" s="3">
        <f>'[01_Entry.xlsx]Book'!I1662</f>
        <v/>
      </c>
      <c r="N1662" s="2">
        <f>IF($A1662="","",MID($A1662,6,2))</f>
        <v>0</v>
      </c>
      <c r="O1662" s="2">
        <f>IF(OR($C1662="",$C1662&lt;&gt;'Inv'!$D$12),"",N(O$1661)+1)</f>
        <v>0</v>
      </c>
    </row>
    <row r="1663" spans="1:15">
      <c r="A1663" s="2">
        <f>'[01_Entry.xlsx]Book'!A1663</f>
        <v/>
      </c>
      <c r="B1663" s="2">
        <f>'[01_Entry.xlsx]Book'!B1663</f>
        <v/>
      </c>
      <c r="C1663" s="2">
        <f>'[01_Entry.xlsx]Book'!D1663</f>
        <v/>
      </c>
      <c r="D1663" s="2">
        <f>'[01_Entry.xlsx]Book'!E1663</f>
        <v/>
      </c>
      <c r="E1663" s="2">
        <f>'[01_Entry.xlsx]Book'!O1663</f>
        <v/>
      </c>
      <c r="F1663" s="2">
        <f>'[01_Entry.xlsx]Book'!N1663</f>
        <v/>
      </c>
      <c r="G1663" s="3">
        <f>'[01_Entry.xlsx]Book'!L1663</f>
        <v/>
      </c>
      <c r="H1663" s="3">
        <f>'[01_Entry.xlsx]Book'!M1663</f>
        <v/>
      </c>
      <c r="I1663" s="3">
        <f>'[01_Entry.xlsx]Book'!K1663</f>
        <v/>
      </c>
      <c r="J1663" s="3">
        <f>'[01_Entry.xlsx]Book'!P1663</f>
        <v/>
      </c>
      <c r="K1663" s="3">
        <f>'[01_Entry.xlsx]Book'!F1663</f>
        <v/>
      </c>
      <c r="L1663" s="3">
        <f>'[01_Entry.xlsx]Book'!G1663</f>
        <v/>
      </c>
      <c r="M1663" s="3">
        <f>'[01_Entry.xlsx]Book'!I1663</f>
        <v/>
      </c>
      <c r="N1663" s="2">
        <f>IF($A1663="","",MID($A1663,6,2))</f>
        <v>0</v>
      </c>
      <c r="O1663" s="2">
        <f>IF(OR($C1663="",$C1663&lt;&gt;'Inv'!$D$12),"",N(O$1662)+1)</f>
        <v>0</v>
      </c>
    </row>
    <row r="1664" spans="1:15">
      <c r="A1664" s="2">
        <f>'[01_Entry.xlsx]Book'!A1664</f>
        <v/>
      </c>
      <c r="B1664" s="2">
        <f>'[01_Entry.xlsx]Book'!B1664</f>
        <v/>
      </c>
      <c r="C1664" s="2">
        <f>'[01_Entry.xlsx]Book'!D1664</f>
        <v/>
      </c>
      <c r="D1664" s="2">
        <f>'[01_Entry.xlsx]Book'!E1664</f>
        <v/>
      </c>
      <c r="E1664" s="2">
        <f>'[01_Entry.xlsx]Book'!O1664</f>
        <v/>
      </c>
      <c r="F1664" s="2">
        <f>'[01_Entry.xlsx]Book'!N1664</f>
        <v/>
      </c>
      <c r="G1664" s="3">
        <f>'[01_Entry.xlsx]Book'!L1664</f>
        <v/>
      </c>
      <c r="H1664" s="3">
        <f>'[01_Entry.xlsx]Book'!M1664</f>
        <v/>
      </c>
      <c r="I1664" s="3">
        <f>'[01_Entry.xlsx]Book'!K1664</f>
        <v/>
      </c>
      <c r="J1664" s="3">
        <f>'[01_Entry.xlsx]Book'!P1664</f>
        <v/>
      </c>
      <c r="K1664" s="3">
        <f>'[01_Entry.xlsx]Book'!F1664</f>
        <v/>
      </c>
      <c r="L1664" s="3">
        <f>'[01_Entry.xlsx]Book'!G1664</f>
        <v/>
      </c>
      <c r="M1664" s="3">
        <f>'[01_Entry.xlsx]Book'!I1664</f>
        <v/>
      </c>
      <c r="N1664" s="2">
        <f>IF($A1664="","",MID($A1664,6,2))</f>
        <v>0</v>
      </c>
      <c r="O1664" s="2">
        <f>IF(OR($C1664="",$C1664&lt;&gt;'Inv'!$D$12),"",N(O$1663)+1)</f>
        <v>0</v>
      </c>
    </row>
    <row r="1665" spans="1:15">
      <c r="A1665" s="2">
        <f>'[01_Entry.xlsx]Book'!A1665</f>
        <v/>
      </c>
      <c r="B1665" s="2">
        <f>'[01_Entry.xlsx]Book'!B1665</f>
        <v/>
      </c>
      <c r="C1665" s="2">
        <f>'[01_Entry.xlsx]Book'!D1665</f>
        <v/>
      </c>
      <c r="D1665" s="2">
        <f>'[01_Entry.xlsx]Book'!E1665</f>
        <v/>
      </c>
      <c r="E1665" s="2">
        <f>'[01_Entry.xlsx]Book'!O1665</f>
        <v/>
      </c>
      <c r="F1665" s="2">
        <f>'[01_Entry.xlsx]Book'!N1665</f>
        <v/>
      </c>
      <c r="G1665" s="3">
        <f>'[01_Entry.xlsx]Book'!L1665</f>
        <v/>
      </c>
      <c r="H1665" s="3">
        <f>'[01_Entry.xlsx]Book'!M1665</f>
        <v/>
      </c>
      <c r="I1665" s="3">
        <f>'[01_Entry.xlsx]Book'!K1665</f>
        <v/>
      </c>
      <c r="J1665" s="3">
        <f>'[01_Entry.xlsx]Book'!P1665</f>
        <v/>
      </c>
      <c r="K1665" s="3">
        <f>'[01_Entry.xlsx]Book'!F1665</f>
        <v/>
      </c>
      <c r="L1665" s="3">
        <f>'[01_Entry.xlsx]Book'!G1665</f>
        <v/>
      </c>
      <c r="M1665" s="3">
        <f>'[01_Entry.xlsx]Book'!I1665</f>
        <v/>
      </c>
      <c r="N1665" s="2">
        <f>IF($A1665="","",MID($A1665,6,2))</f>
        <v>0</v>
      </c>
      <c r="O1665" s="2">
        <f>IF(OR($C1665="",$C1665&lt;&gt;'Inv'!$D$12),"",N(O$1664)+1)</f>
        <v>0</v>
      </c>
    </row>
    <row r="1666" spans="1:15">
      <c r="A1666" s="2">
        <f>'[01_Entry.xlsx]Book'!A1666</f>
        <v/>
      </c>
      <c r="B1666" s="2">
        <f>'[01_Entry.xlsx]Book'!B1666</f>
        <v/>
      </c>
      <c r="C1666" s="2">
        <f>'[01_Entry.xlsx]Book'!D1666</f>
        <v/>
      </c>
      <c r="D1666" s="2">
        <f>'[01_Entry.xlsx]Book'!E1666</f>
        <v/>
      </c>
      <c r="E1666" s="2">
        <f>'[01_Entry.xlsx]Book'!O1666</f>
        <v/>
      </c>
      <c r="F1666" s="2">
        <f>'[01_Entry.xlsx]Book'!N1666</f>
        <v/>
      </c>
      <c r="G1666" s="3">
        <f>'[01_Entry.xlsx]Book'!L1666</f>
        <v/>
      </c>
      <c r="H1666" s="3">
        <f>'[01_Entry.xlsx]Book'!M1666</f>
        <v/>
      </c>
      <c r="I1666" s="3">
        <f>'[01_Entry.xlsx]Book'!K1666</f>
        <v/>
      </c>
      <c r="J1666" s="3">
        <f>'[01_Entry.xlsx]Book'!P1666</f>
        <v/>
      </c>
      <c r="K1666" s="3">
        <f>'[01_Entry.xlsx]Book'!F1666</f>
        <v/>
      </c>
      <c r="L1666" s="3">
        <f>'[01_Entry.xlsx]Book'!G1666</f>
        <v/>
      </c>
      <c r="M1666" s="3">
        <f>'[01_Entry.xlsx]Book'!I1666</f>
        <v/>
      </c>
      <c r="N1666" s="2">
        <f>IF($A1666="","",MID($A1666,6,2))</f>
        <v>0</v>
      </c>
      <c r="O1666" s="2">
        <f>IF(OR($C1666="",$C1666&lt;&gt;'Inv'!$D$12),"",N(O$1665)+1)</f>
        <v>0</v>
      </c>
    </row>
    <row r="1667" spans="1:15">
      <c r="A1667" s="2">
        <f>'[01_Entry.xlsx]Book'!A1667</f>
        <v/>
      </c>
      <c r="B1667" s="2">
        <f>'[01_Entry.xlsx]Book'!B1667</f>
        <v/>
      </c>
      <c r="C1667" s="2">
        <f>'[01_Entry.xlsx]Book'!D1667</f>
        <v/>
      </c>
      <c r="D1667" s="2">
        <f>'[01_Entry.xlsx]Book'!E1667</f>
        <v/>
      </c>
      <c r="E1667" s="2">
        <f>'[01_Entry.xlsx]Book'!O1667</f>
        <v/>
      </c>
      <c r="F1667" s="2">
        <f>'[01_Entry.xlsx]Book'!N1667</f>
        <v/>
      </c>
      <c r="G1667" s="3">
        <f>'[01_Entry.xlsx]Book'!L1667</f>
        <v/>
      </c>
      <c r="H1667" s="3">
        <f>'[01_Entry.xlsx]Book'!M1667</f>
        <v/>
      </c>
      <c r="I1667" s="3">
        <f>'[01_Entry.xlsx]Book'!K1667</f>
        <v/>
      </c>
      <c r="J1667" s="3">
        <f>'[01_Entry.xlsx]Book'!P1667</f>
        <v/>
      </c>
      <c r="K1667" s="3">
        <f>'[01_Entry.xlsx]Book'!F1667</f>
        <v/>
      </c>
      <c r="L1667" s="3">
        <f>'[01_Entry.xlsx]Book'!G1667</f>
        <v/>
      </c>
      <c r="M1667" s="3">
        <f>'[01_Entry.xlsx]Book'!I1667</f>
        <v/>
      </c>
      <c r="N1667" s="2">
        <f>IF($A1667="","",MID($A1667,6,2))</f>
        <v>0</v>
      </c>
      <c r="O1667" s="2">
        <f>IF(OR($C1667="",$C1667&lt;&gt;'Inv'!$D$12),"",N(O$1666)+1)</f>
        <v>0</v>
      </c>
    </row>
    <row r="1668" spans="1:15">
      <c r="A1668" s="2">
        <f>'[01_Entry.xlsx]Book'!A1668</f>
        <v/>
      </c>
      <c r="B1668" s="2">
        <f>'[01_Entry.xlsx]Book'!B1668</f>
        <v/>
      </c>
      <c r="C1668" s="2">
        <f>'[01_Entry.xlsx]Book'!D1668</f>
        <v/>
      </c>
      <c r="D1668" s="2">
        <f>'[01_Entry.xlsx]Book'!E1668</f>
        <v/>
      </c>
      <c r="E1668" s="2">
        <f>'[01_Entry.xlsx]Book'!O1668</f>
        <v/>
      </c>
      <c r="F1668" s="2">
        <f>'[01_Entry.xlsx]Book'!N1668</f>
        <v/>
      </c>
      <c r="G1668" s="3">
        <f>'[01_Entry.xlsx]Book'!L1668</f>
        <v/>
      </c>
      <c r="H1668" s="3">
        <f>'[01_Entry.xlsx]Book'!M1668</f>
        <v/>
      </c>
      <c r="I1668" s="3">
        <f>'[01_Entry.xlsx]Book'!K1668</f>
        <v/>
      </c>
      <c r="J1668" s="3">
        <f>'[01_Entry.xlsx]Book'!P1668</f>
        <v/>
      </c>
      <c r="K1668" s="3">
        <f>'[01_Entry.xlsx]Book'!F1668</f>
        <v/>
      </c>
      <c r="L1668" s="3">
        <f>'[01_Entry.xlsx]Book'!G1668</f>
        <v/>
      </c>
      <c r="M1668" s="3">
        <f>'[01_Entry.xlsx]Book'!I1668</f>
        <v/>
      </c>
      <c r="N1668" s="2">
        <f>IF($A1668="","",MID($A1668,6,2))</f>
        <v>0</v>
      </c>
      <c r="O1668" s="2">
        <f>IF(OR($C1668="",$C1668&lt;&gt;'Inv'!$D$12),"",N(O$1667)+1)</f>
        <v>0</v>
      </c>
    </row>
    <row r="1669" spans="1:15">
      <c r="A1669" s="2">
        <f>'[01_Entry.xlsx]Book'!A1669</f>
        <v/>
      </c>
      <c r="B1669" s="2">
        <f>'[01_Entry.xlsx]Book'!B1669</f>
        <v/>
      </c>
      <c r="C1669" s="2">
        <f>'[01_Entry.xlsx]Book'!D1669</f>
        <v/>
      </c>
      <c r="D1669" s="2">
        <f>'[01_Entry.xlsx]Book'!E1669</f>
        <v/>
      </c>
      <c r="E1669" s="2">
        <f>'[01_Entry.xlsx]Book'!O1669</f>
        <v/>
      </c>
      <c r="F1669" s="2">
        <f>'[01_Entry.xlsx]Book'!N1669</f>
        <v/>
      </c>
      <c r="G1669" s="3">
        <f>'[01_Entry.xlsx]Book'!L1669</f>
        <v/>
      </c>
      <c r="H1669" s="3">
        <f>'[01_Entry.xlsx]Book'!M1669</f>
        <v/>
      </c>
      <c r="I1669" s="3">
        <f>'[01_Entry.xlsx]Book'!K1669</f>
        <v/>
      </c>
      <c r="J1669" s="3">
        <f>'[01_Entry.xlsx]Book'!P1669</f>
        <v/>
      </c>
      <c r="K1669" s="3">
        <f>'[01_Entry.xlsx]Book'!F1669</f>
        <v/>
      </c>
      <c r="L1669" s="3">
        <f>'[01_Entry.xlsx]Book'!G1669</f>
        <v/>
      </c>
      <c r="M1669" s="3">
        <f>'[01_Entry.xlsx]Book'!I1669</f>
        <v/>
      </c>
      <c r="N1669" s="2">
        <f>IF($A1669="","",MID($A1669,6,2))</f>
        <v>0</v>
      </c>
      <c r="O1669" s="2">
        <f>IF(OR($C1669="",$C1669&lt;&gt;'Inv'!$D$12),"",N(O$1668)+1)</f>
        <v>0</v>
      </c>
    </row>
    <row r="1670" spans="1:15">
      <c r="A1670" s="2">
        <f>'[01_Entry.xlsx]Book'!A1670</f>
        <v/>
      </c>
      <c r="B1670" s="2">
        <f>'[01_Entry.xlsx]Book'!B1670</f>
        <v/>
      </c>
      <c r="C1670" s="2">
        <f>'[01_Entry.xlsx]Book'!D1670</f>
        <v/>
      </c>
      <c r="D1670" s="2">
        <f>'[01_Entry.xlsx]Book'!E1670</f>
        <v/>
      </c>
      <c r="E1670" s="2">
        <f>'[01_Entry.xlsx]Book'!O1670</f>
        <v/>
      </c>
      <c r="F1670" s="2">
        <f>'[01_Entry.xlsx]Book'!N1670</f>
        <v/>
      </c>
      <c r="G1670" s="3">
        <f>'[01_Entry.xlsx]Book'!L1670</f>
        <v/>
      </c>
      <c r="H1670" s="3">
        <f>'[01_Entry.xlsx]Book'!M1670</f>
        <v/>
      </c>
      <c r="I1670" s="3">
        <f>'[01_Entry.xlsx]Book'!K1670</f>
        <v/>
      </c>
      <c r="J1670" s="3">
        <f>'[01_Entry.xlsx]Book'!P1670</f>
        <v/>
      </c>
      <c r="K1670" s="3">
        <f>'[01_Entry.xlsx]Book'!F1670</f>
        <v/>
      </c>
      <c r="L1670" s="3">
        <f>'[01_Entry.xlsx]Book'!G1670</f>
        <v/>
      </c>
      <c r="M1670" s="3">
        <f>'[01_Entry.xlsx]Book'!I1670</f>
        <v/>
      </c>
      <c r="N1670" s="2">
        <f>IF($A1670="","",MID($A1670,6,2))</f>
        <v>0</v>
      </c>
      <c r="O1670" s="2">
        <f>IF(OR($C1670="",$C1670&lt;&gt;'Inv'!$D$12),"",N(O$1669)+1)</f>
        <v>0</v>
      </c>
    </row>
    <row r="1671" spans="1:15">
      <c r="A1671" s="2">
        <f>'[01_Entry.xlsx]Book'!A1671</f>
        <v/>
      </c>
      <c r="B1671" s="2">
        <f>'[01_Entry.xlsx]Book'!B1671</f>
        <v/>
      </c>
      <c r="C1671" s="2">
        <f>'[01_Entry.xlsx]Book'!D1671</f>
        <v/>
      </c>
      <c r="D1671" s="2">
        <f>'[01_Entry.xlsx]Book'!E1671</f>
        <v/>
      </c>
      <c r="E1671" s="2">
        <f>'[01_Entry.xlsx]Book'!O1671</f>
        <v/>
      </c>
      <c r="F1671" s="2">
        <f>'[01_Entry.xlsx]Book'!N1671</f>
        <v/>
      </c>
      <c r="G1671" s="3">
        <f>'[01_Entry.xlsx]Book'!L1671</f>
        <v/>
      </c>
      <c r="H1671" s="3">
        <f>'[01_Entry.xlsx]Book'!M1671</f>
        <v/>
      </c>
      <c r="I1671" s="3">
        <f>'[01_Entry.xlsx]Book'!K1671</f>
        <v/>
      </c>
      <c r="J1671" s="3">
        <f>'[01_Entry.xlsx]Book'!P1671</f>
        <v/>
      </c>
      <c r="K1671" s="3">
        <f>'[01_Entry.xlsx]Book'!F1671</f>
        <v/>
      </c>
      <c r="L1671" s="3">
        <f>'[01_Entry.xlsx]Book'!G1671</f>
        <v/>
      </c>
      <c r="M1671" s="3">
        <f>'[01_Entry.xlsx]Book'!I1671</f>
        <v/>
      </c>
      <c r="N1671" s="2">
        <f>IF($A1671="","",MID($A1671,6,2))</f>
        <v>0</v>
      </c>
      <c r="O1671" s="2">
        <f>IF(OR($C1671="",$C1671&lt;&gt;'Inv'!$D$12),"",N(O$1670)+1)</f>
        <v>0</v>
      </c>
    </row>
    <row r="1672" spans="1:15">
      <c r="A1672" s="2">
        <f>'[01_Entry.xlsx]Book'!A1672</f>
        <v/>
      </c>
      <c r="B1672" s="2">
        <f>'[01_Entry.xlsx]Book'!B1672</f>
        <v/>
      </c>
      <c r="C1672" s="2">
        <f>'[01_Entry.xlsx]Book'!D1672</f>
        <v/>
      </c>
      <c r="D1672" s="2">
        <f>'[01_Entry.xlsx]Book'!E1672</f>
        <v/>
      </c>
      <c r="E1672" s="2">
        <f>'[01_Entry.xlsx]Book'!O1672</f>
        <v/>
      </c>
      <c r="F1672" s="2">
        <f>'[01_Entry.xlsx]Book'!N1672</f>
        <v/>
      </c>
      <c r="G1672" s="3">
        <f>'[01_Entry.xlsx]Book'!L1672</f>
        <v/>
      </c>
      <c r="H1672" s="3">
        <f>'[01_Entry.xlsx]Book'!M1672</f>
        <v/>
      </c>
      <c r="I1672" s="3">
        <f>'[01_Entry.xlsx]Book'!K1672</f>
        <v/>
      </c>
      <c r="J1672" s="3">
        <f>'[01_Entry.xlsx]Book'!P1672</f>
        <v/>
      </c>
      <c r="K1672" s="3">
        <f>'[01_Entry.xlsx]Book'!F1672</f>
        <v/>
      </c>
      <c r="L1672" s="3">
        <f>'[01_Entry.xlsx]Book'!G1672</f>
        <v/>
      </c>
      <c r="M1672" s="3">
        <f>'[01_Entry.xlsx]Book'!I1672</f>
        <v/>
      </c>
      <c r="N1672" s="2">
        <f>IF($A1672="","",MID($A1672,6,2))</f>
        <v>0</v>
      </c>
      <c r="O1672" s="2">
        <f>IF(OR($C1672="",$C1672&lt;&gt;'Inv'!$D$12),"",N(O$1671)+1)</f>
        <v>0</v>
      </c>
    </row>
    <row r="1673" spans="1:15">
      <c r="A1673" s="2">
        <f>'[01_Entry.xlsx]Book'!A1673</f>
        <v/>
      </c>
      <c r="B1673" s="2">
        <f>'[01_Entry.xlsx]Book'!B1673</f>
        <v/>
      </c>
      <c r="C1673" s="2">
        <f>'[01_Entry.xlsx]Book'!D1673</f>
        <v/>
      </c>
      <c r="D1673" s="2">
        <f>'[01_Entry.xlsx]Book'!E1673</f>
        <v/>
      </c>
      <c r="E1673" s="2">
        <f>'[01_Entry.xlsx]Book'!O1673</f>
        <v/>
      </c>
      <c r="F1673" s="2">
        <f>'[01_Entry.xlsx]Book'!N1673</f>
        <v/>
      </c>
      <c r="G1673" s="3">
        <f>'[01_Entry.xlsx]Book'!L1673</f>
        <v/>
      </c>
      <c r="H1673" s="3">
        <f>'[01_Entry.xlsx]Book'!M1673</f>
        <v/>
      </c>
      <c r="I1673" s="3">
        <f>'[01_Entry.xlsx]Book'!K1673</f>
        <v/>
      </c>
      <c r="J1673" s="3">
        <f>'[01_Entry.xlsx]Book'!P1673</f>
        <v/>
      </c>
      <c r="K1673" s="3">
        <f>'[01_Entry.xlsx]Book'!F1673</f>
        <v/>
      </c>
      <c r="L1673" s="3">
        <f>'[01_Entry.xlsx]Book'!G1673</f>
        <v/>
      </c>
      <c r="M1673" s="3">
        <f>'[01_Entry.xlsx]Book'!I1673</f>
        <v/>
      </c>
      <c r="N1673" s="2">
        <f>IF($A1673="","",MID($A1673,6,2))</f>
        <v>0</v>
      </c>
      <c r="O1673" s="2">
        <f>IF(OR($C1673="",$C1673&lt;&gt;'Inv'!$D$12),"",N(O$1672)+1)</f>
        <v>0</v>
      </c>
    </row>
    <row r="1674" spans="1:15">
      <c r="A1674" s="2">
        <f>'[01_Entry.xlsx]Book'!A1674</f>
        <v/>
      </c>
      <c r="B1674" s="2">
        <f>'[01_Entry.xlsx]Book'!B1674</f>
        <v/>
      </c>
      <c r="C1674" s="2">
        <f>'[01_Entry.xlsx]Book'!D1674</f>
        <v/>
      </c>
      <c r="D1674" s="2">
        <f>'[01_Entry.xlsx]Book'!E1674</f>
        <v/>
      </c>
      <c r="E1674" s="2">
        <f>'[01_Entry.xlsx]Book'!O1674</f>
        <v/>
      </c>
      <c r="F1674" s="2">
        <f>'[01_Entry.xlsx]Book'!N1674</f>
        <v/>
      </c>
      <c r="G1674" s="3">
        <f>'[01_Entry.xlsx]Book'!L1674</f>
        <v/>
      </c>
      <c r="H1674" s="3">
        <f>'[01_Entry.xlsx]Book'!M1674</f>
        <v/>
      </c>
      <c r="I1674" s="3">
        <f>'[01_Entry.xlsx]Book'!K1674</f>
        <v/>
      </c>
      <c r="J1674" s="3">
        <f>'[01_Entry.xlsx]Book'!P1674</f>
        <v/>
      </c>
      <c r="K1674" s="3">
        <f>'[01_Entry.xlsx]Book'!F1674</f>
        <v/>
      </c>
      <c r="L1674" s="3">
        <f>'[01_Entry.xlsx]Book'!G1674</f>
        <v/>
      </c>
      <c r="M1674" s="3">
        <f>'[01_Entry.xlsx]Book'!I1674</f>
        <v/>
      </c>
      <c r="N1674" s="2">
        <f>IF($A1674="","",MID($A1674,6,2))</f>
        <v>0</v>
      </c>
      <c r="O1674" s="2">
        <f>IF(OR($C1674="",$C1674&lt;&gt;'Inv'!$D$12),"",N(O$1673)+1)</f>
        <v>0</v>
      </c>
    </row>
    <row r="1675" spans="1:15">
      <c r="A1675" s="2">
        <f>'[01_Entry.xlsx]Book'!A1675</f>
        <v/>
      </c>
      <c r="B1675" s="2">
        <f>'[01_Entry.xlsx]Book'!B1675</f>
        <v/>
      </c>
      <c r="C1675" s="2">
        <f>'[01_Entry.xlsx]Book'!D1675</f>
        <v/>
      </c>
      <c r="D1675" s="2">
        <f>'[01_Entry.xlsx]Book'!E1675</f>
        <v/>
      </c>
      <c r="E1675" s="2">
        <f>'[01_Entry.xlsx]Book'!O1675</f>
        <v/>
      </c>
      <c r="F1675" s="2">
        <f>'[01_Entry.xlsx]Book'!N1675</f>
        <v/>
      </c>
      <c r="G1675" s="3">
        <f>'[01_Entry.xlsx]Book'!L1675</f>
        <v/>
      </c>
      <c r="H1675" s="3">
        <f>'[01_Entry.xlsx]Book'!M1675</f>
        <v/>
      </c>
      <c r="I1675" s="3">
        <f>'[01_Entry.xlsx]Book'!K1675</f>
        <v/>
      </c>
      <c r="J1675" s="3">
        <f>'[01_Entry.xlsx]Book'!P1675</f>
        <v/>
      </c>
      <c r="K1675" s="3">
        <f>'[01_Entry.xlsx]Book'!F1675</f>
        <v/>
      </c>
      <c r="L1675" s="3">
        <f>'[01_Entry.xlsx]Book'!G1675</f>
        <v/>
      </c>
      <c r="M1675" s="3">
        <f>'[01_Entry.xlsx]Book'!I1675</f>
        <v/>
      </c>
      <c r="N1675" s="2">
        <f>IF($A1675="","",MID($A1675,6,2))</f>
        <v>0</v>
      </c>
      <c r="O1675" s="2">
        <f>IF(OR($C1675="",$C1675&lt;&gt;'Inv'!$D$12),"",N(O$1674)+1)</f>
        <v>0</v>
      </c>
    </row>
    <row r="1676" spans="1:15">
      <c r="A1676" s="2">
        <f>'[01_Entry.xlsx]Book'!A1676</f>
        <v/>
      </c>
      <c r="B1676" s="2">
        <f>'[01_Entry.xlsx]Book'!B1676</f>
        <v/>
      </c>
      <c r="C1676" s="2">
        <f>'[01_Entry.xlsx]Book'!D1676</f>
        <v/>
      </c>
      <c r="D1676" s="2">
        <f>'[01_Entry.xlsx]Book'!E1676</f>
        <v/>
      </c>
      <c r="E1676" s="2">
        <f>'[01_Entry.xlsx]Book'!O1676</f>
        <v/>
      </c>
      <c r="F1676" s="2">
        <f>'[01_Entry.xlsx]Book'!N1676</f>
        <v/>
      </c>
      <c r="G1676" s="3">
        <f>'[01_Entry.xlsx]Book'!L1676</f>
        <v/>
      </c>
      <c r="H1676" s="3">
        <f>'[01_Entry.xlsx]Book'!M1676</f>
        <v/>
      </c>
      <c r="I1676" s="3">
        <f>'[01_Entry.xlsx]Book'!K1676</f>
        <v/>
      </c>
      <c r="J1676" s="3">
        <f>'[01_Entry.xlsx]Book'!P1676</f>
        <v/>
      </c>
      <c r="K1676" s="3">
        <f>'[01_Entry.xlsx]Book'!F1676</f>
        <v/>
      </c>
      <c r="L1676" s="3">
        <f>'[01_Entry.xlsx]Book'!G1676</f>
        <v/>
      </c>
      <c r="M1676" s="3">
        <f>'[01_Entry.xlsx]Book'!I1676</f>
        <v/>
      </c>
      <c r="N1676" s="2">
        <f>IF($A1676="","",MID($A1676,6,2))</f>
        <v>0</v>
      </c>
      <c r="O1676" s="2">
        <f>IF(OR($C1676="",$C1676&lt;&gt;'Inv'!$D$12),"",N(O$1675)+1)</f>
        <v>0</v>
      </c>
    </row>
    <row r="1677" spans="1:15">
      <c r="A1677" s="2">
        <f>'[01_Entry.xlsx]Book'!A1677</f>
        <v/>
      </c>
      <c r="B1677" s="2">
        <f>'[01_Entry.xlsx]Book'!B1677</f>
        <v/>
      </c>
      <c r="C1677" s="2">
        <f>'[01_Entry.xlsx]Book'!D1677</f>
        <v/>
      </c>
      <c r="D1677" s="2">
        <f>'[01_Entry.xlsx]Book'!E1677</f>
        <v/>
      </c>
      <c r="E1677" s="2">
        <f>'[01_Entry.xlsx]Book'!O1677</f>
        <v/>
      </c>
      <c r="F1677" s="2">
        <f>'[01_Entry.xlsx]Book'!N1677</f>
        <v/>
      </c>
      <c r="G1677" s="3">
        <f>'[01_Entry.xlsx]Book'!L1677</f>
        <v/>
      </c>
      <c r="H1677" s="3">
        <f>'[01_Entry.xlsx]Book'!M1677</f>
        <v/>
      </c>
      <c r="I1677" s="3">
        <f>'[01_Entry.xlsx]Book'!K1677</f>
        <v/>
      </c>
      <c r="J1677" s="3">
        <f>'[01_Entry.xlsx]Book'!P1677</f>
        <v/>
      </c>
      <c r="K1677" s="3">
        <f>'[01_Entry.xlsx]Book'!F1677</f>
        <v/>
      </c>
      <c r="L1677" s="3">
        <f>'[01_Entry.xlsx]Book'!G1677</f>
        <v/>
      </c>
      <c r="M1677" s="3">
        <f>'[01_Entry.xlsx]Book'!I1677</f>
        <v/>
      </c>
      <c r="N1677" s="2">
        <f>IF($A1677="","",MID($A1677,6,2))</f>
        <v>0</v>
      </c>
      <c r="O1677" s="2">
        <f>IF(OR($C1677="",$C1677&lt;&gt;'Inv'!$D$12),"",N(O$1676)+1)</f>
        <v>0</v>
      </c>
    </row>
    <row r="1678" spans="1:15">
      <c r="A1678" s="2">
        <f>'[01_Entry.xlsx]Book'!A1678</f>
        <v/>
      </c>
      <c r="B1678" s="2">
        <f>'[01_Entry.xlsx]Book'!B1678</f>
        <v/>
      </c>
      <c r="C1678" s="2">
        <f>'[01_Entry.xlsx]Book'!D1678</f>
        <v/>
      </c>
      <c r="D1678" s="2">
        <f>'[01_Entry.xlsx]Book'!E1678</f>
        <v/>
      </c>
      <c r="E1678" s="2">
        <f>'[01_Entry.xlsx]Book'!O1678</f>
        <v/>
      </c>
      <c r="F1678" s="2">
        <f>'[01_Entry.xlsx]Book'!N1678</f>
        <v/>
      </c>
      <c r="G1678" s="3">
        <f>'[01_Entry.xlsx]Book'!L1678</f>
        <v/>
      </c>
      <c r="H1678" s="3">
        <f>'[01_Entry.xlsx]Book'!M1678</f>
        <v/>
      </c>
      <c r="I1678" s="3">
        <f>'[01_Entry.xlsx]Book'!K1678</f>
        <v/>
      </c>
      <c r="J1678" s="3">
        <f>'[01_Entry.xlsx]Book'!P1678</f>
        <v/>
      </c>
      <c r="K1678" s="3">
        <f>'[01_Entry.xlsx]Book'!F1678</f>
        <v/>
      </c>
      <c r="L1678" s="3">
        <f>'[01_Entry.xlsx]Book'!G1678</f>
        <v/>
      </c>
      <c r="M1678" s="3">
        <f>'[01_Entry.xlsx]Book'!I1678</f>
        <v/>
      </c>
      <c r="N1678" s="2">
        <f>IF($A1678="","",MID($A1678,6,2))</f>
        <v>0</v>
      </c>
      <c r="O1678" s="2">
        <f>IF(OR($C1678="",$C1678&lt;&gt;'Inv'!$D$12),"",N(O$1677)+1)</f>
        <v>0</v>
      </c>
    </row>
    <row r="1679" spans="1:15">
      <c r="A1679" s="2">
        <f>'[01_Entry.xlsx]Book'!A1679</f>
        <v/>
      </c>
      <c r="B1679" s="2">
        <f>'[01_Entry.xlsx]Book'!B1679</f>
        <v/>
      </c>
      <c r="C1679" s="2">
        <f>'[01_Entry.xlsx]Book'!D1679</f>
        <v/>
      </c>
      <c r="D1679" s="2">
        <f>'[01_Entry.xlsx]Book'!E1679</f>
        <v/>
      </c>
      <c r="E1679" s="2">
        <f>'[01_Entry.xlsx]Book'!O1679</f>
        <v/>
      </c>
      <c r="F1679" s="2">
        <f>'[01_Entry.xlsx]Book'!N1679</f>
        <v/>
      </c>
      <c r="G1679" s="3">
        <f>'[01_Entry.xlsx]Book'!L1679</f>
        <v/>
      </c>
      <c r="H1679" s="3">
        <f>'[01_Entry.xlsx]Book'!M1679</f>
        <v/>
      </c>
      <c r="I1679" s="3">
        <f>'[01_Entry.xlsx]Book'!K1679</f>
        <v/>
      </c>
      <c r="J1679" s="3">
        <f>'[01_Entry.xlsx]Book'!P1679</f>
        <v/>
      </c>
      <c r="K1679" s="3">
        <f>'[01_Entry.xlsx]Book'!F1679</f>
        <v/>
      </c>
      <c r="L1679" s="3">
        <f>'[01_Entry.xlsx]Book'!G1679</f>
        <v/>
      </c>
      <c r="M1679" s="3">
        <f>'[01_Entry.xlsx]Book'!I1679</f>
        <v/>
      </c>
      <c r="N1679" s="2">
        <f>IF($A1679="","",MID($A1679,6,2))</f>
        <v>0</v>
      </c>
      <c r="O1679" s="2">
        <f>IF(OR($C1679="",$C1679&lt;&gt;'Inv'!$D$12),"",N(O$1678)+1)</f>
        <v>0</v>
      </c>
    </row>
    <row r="1680" spans="1:15">
      <c r="A1680" s="2">
        <f>'[01_Entry.xlsx]Book'!A1680</f>
        <v/>
      </c>
      <c r="B1680" s="2">
        <f>'[01_Entry.xlsx]Book'!B1680</f>
        <v/>
      </c>
      <c r="C1680" s="2">
        <f>'[01_Entry.xlsx]Book'!D1680</f>
        <v/>
      </c>
      <c r="D1680" s="2">
        <f>'[01_Entry.xlsx]Book'!E1680</f>
        <v/>
      </c>
      <c r="E1680" s="2">
        <f>'[01_Entry.xlsx]Book'!O1680</f>
        <v/>
      </c>
      <c r="F1680" s="2">
        <f>'[01_Entry.xlsx]Book'!N1680</f>
        <v/>
      </c>
      <c r="G1680" s="3">
        <f>'[01_Entry.xlsx]Book'!L1680</f>
        <v/>
      </c>
      <c r="H1680" s="3">
        <f>'[01_Entry.xlsx]Book'!M1680</f>
        <v/>
      </c>
      <c r="I1680" s="3">
        <f>'[01_Entry.xlsx]Book'!K1680</f>
        <v/>
      </c>
      <c r="J1680" s="3">
        <f>'[01_Entry.xlsx]Book'!P1680</f>
        <v/>
      </c>
      <c r="K1680" s="3">
        <f>'[01_Entry.xlsx]Book'!F1680</f>
        <v/>
      </c>
      <c r="L1680" s="3">
        <f>'[01_Entry.xlsx]Book'!G1680</f>
        <v/>
      </c>
      <c r="M1680" s="3">
        <f>'[01_Entry.xlsx]Book'!I1680</f>
        <v/>
      </c>
      <c r="N1680" s="2">
        <f>IF($A1680="","",MID($A1680,6,2))</f>
        <v>0</v>
      </c>
      <c r="O1680" s="2">
        <f>IF(OR($C1680="",$C1680&lt;&gt;'Inv'!$D$12),"",N(O$1679)+1)</f>
        <v>0</v>
      </c>
    </row>
    <row r="1681" spans="1:15">
      <c r="A1681" s="2">
        <f>'[01_Entry.xlsx]Book'!A1681</f>
        <v/>
      </c>
      <c r="B1681" s="2">
        <f>'[01_Entry.xlsx]Book'!B1681</f>
        <v/>
      </c>
      <c r="C1681" s="2">
        <f>'[01_Entry.xlsx]Book'!D1681</f>
        <v/>
      </c>
      <c r="D1681" s="2">
        <f>'[01_Entry.xlsx]Book'!E1681</f>
        <v/>
      </c>
      <c r="E1681" s="2">
        <f>'[01_Entry.xlsx]Book'!O1681</f>
        <v/>
      </c>
      <c r="F1681" s="2">
        <f>'[01_Entry.xlsx]Book'!N1681</f>
        <v/>
      </c>
      <c r="G1681" s="3">
        <f>'[01_Entry.xlsx]Book'!L1681</f>
        <v/>
      </c>
      <c r="H1681" s="3">
        <f>'[01_Entry.xlsx]Book'!M1681</f>
        <v/>
      </c>
      <c r="I1681" s="3">
        <f>'[01_Entry.xlsx]Book'!K1681</f>
        <v/>
      </c>
      <c r="J1681" s="3">
        <f>'[01_Entry.xlsx]Book'!P1681</f>
        <v/>
      </c>
      <c r="K1681" s="3">
        <f>'[01_Entry.xlsx]Book'!F1681</f>
        <v/>
      </c>
      <c r="L1681" s="3">
        <f>'[01_Entry.xlsx]Book'!G1681</f>
        <v/>
      </c>
      <c r="M1681" s="3">
        <f>'[01_Entry.xlsx]Book'!I1681</f>
        <v/>
      </c>
      <c r="N1681" s="2">
        <f>IF($A1681="","",MID($A1681,6,2))</f>
        <v>0</v>
      </c>
      <c r="O1681" s="2">
        <f>IF(OR($C1681="",$C1681&lt;&gt;'Inv'!$D$12),"",N(O$1680)+1)</f>
        <v>0</v>
      </c>
    </row>
    <row r="1682" spans="1:15">
      <c r="A1682" s="2">
        <f>'[01_Entry.xlsx]Book'!A1682</f>
        <v/>
      </c>
      <c r="B1682" s="2">
        <f>'[01_Entry.xlsx]Book'!B1682</f>
        <v/>
      </c>
      <c r="C1682" s="2">
        <f>'[01_Entry.xlsx]Book'!D1682</f>
        <v/>
      </c>
      <c r="D1682" s="2">
        <f>'[01_Entry.xlsx]Book'!E1682</f>
        <v/>
      </c>
      <c r="E1682" s="2">
        <f>'[01_Entry.xlsx]Book'!O1682</f>
        <v/>
      </c>
      <c r="F1682" s="2">
        <f>'[01_Entry.xlsx]Book'!N1682</f>
        <v/>
      </c>
      <c r="G1682" s="3">
        <f>'[01_Entry.xlsx]Book'!L1682</f>
        <v/>
      </c>
      <c r="H1682" s="3">
        <f>'[01_Entry.xlsx]Book'!M1682</f>
        <v/>
      </c>
      <c r="I1682" s="3">
        <f>'[01_Entry.xlsx]Book'!K1682</f>
        <v/>
      </c>
      <c r="J1682" s="3">
        <f>'[01_Entry.xlsx]Book'!P1682</f>
        <v/>
      </c>
      <c r="K1682" s="3">
        <f>'[01_Entry.xlsx]Book'!F1682</f>
        <v/>
      </c>
      <c r="L1682" s="3">
        <f>'[01_Entry.xlsx]Book'!G1682</f>
        <v/>
      </c>
      <c r="M1682" s="3">
        <f>'[01_Entry.xlsx]Book'!I1682</f>
        <v/>
      </c>
      <c r="N1682" s="2">
        <f>IF($A1682="","",MID($A1682,6,2))</f>
        <v>0</v>
      </c>
      <c r="O1682" s="2">
        <f>IF(OR($C1682="",$C1682&lt;&gt;'Inv'!$D$12),"",N(O$1681)+1)</f>
        <v>0</v>
      </c>
    </row>
    <row r="1683" spans="1:15">
      <c r="A1683" s="2">
        <f>'[01_Entry.xlsx]Book'!A1683</f>
        <v/>
      </c>
      <c r="B1683" s="2">
        <f>'[01_Entry.xlsx]Book'!B1683</f>
        <v/>
      </c>
      <c r="C1683" s="2">
        <f>'[01_Entry.xlsx]Book'!D1683</f>
        <v/>
      </c>
      <c r="D1683" s="2">
        <f>'[01_Entry.xlsx]Book'!E1683</f>
        <v/>
      </c>
      <c r="E1683" s="2">
        <f>'[01_Entry.xlsx]Book'!O1683</f>
        <v/>
      </c>
      <c r="F1683" s="2">
        <f>'[01_Entry.xlsx]Book'!N1683</f>
        <v/>
      </c>
      <c r="G1683" s="3">
        <f>'[01_Entry.xlsx]Book'!L1683</f>
        <v/>
      </c>
      <c r="H1683" s="3">
        <f>'[01_Entry.xlsx]Book'!M1683</f>
        <v/>
      </c>
      <c r="I1683" s="3">
        <f>'[01_Entry.xlsx]Book'!K1683</f>
        <v/>
      </c>
      <c r="J1683" s="3">
        <f>'[01_Entry.xlsx]Book'!P1683</f>
        <v/>
      </c>
      <c r="K1683" s="3">
        <f>'[01_Entry.xlsx]Book'!F1683</f>
        <v/>
      </c>
      <c r="L1683" s="3">
        <f>'[01_Entry.xlsx]Book'!G1683</f>
        <v/>
      </c>
      <c r="M1683" s="3">
        <f>'[01_Entry.xlsx]Book'!I1683</f>
        <v/>
      </c>
      <c r="N1683" s="2">
        <f>IF($A1683="","",MID($A1683,6,2))</f>
        <v>0</v>
      </c>
      <c r="O1683" s="2">
        <f>IF(OR($C1683="",$C1683&lt;&gt;'Inv'!$D$12),"",N(O$1682)+1)</f>
        <v>0</v>
      </c>
    </row>
    <row r="1684" spans="1:15">
      <c r="A1684" s="2">
        <f>'[01_Entry.xlsx]Book'!A1684</f>
        <v/>
      </c>
      <c r="B1684" s="2">
        <f>'[01_Entry.xlsx]Book'!B1684</f>
        <v/>
      </c>
      <c r="C1684" s="2">
        <f>'[01_Entry.xlsx]Book'!D1684</f>
        <v/>
      </c>
      <c r="D1684" s="2">
        <f>'[01_Entry.xlsx]Book'!E1684</f>
        <v/>
      </c>
      <c r="E1684" s="2">
        <f>'[01_Entry.xlsx]Book'!O1684</f>
        <v/>
      </c>
      <c r="F1684" s="2">
        <f>'[01_Entry.xlsx]Book'!N1684</f>
        <v/>
      </c>
      <c r="G1684" s="3">
        <f>'[01_Entry.xlsx]Book'!L1684</f>
        <v/>
      </c>
      <c r="H1684" s="3">
        <f>'[01_Entry.xlsx]Book'!M1684</f>
        <v/>
      </c>
      <c r="I1684" s="3">
        <f>'[01_Entry.xlsx]Book'!K1684</f>
        <v/>
      </c>
      <c r="J1684" s="3">
        <f>'[01_Entry.xlsx]Book'!P1684</f>
        <v/>
      </c>
      <c r="K1684" s="3">
        <f>'[01_Entry.xlsx]Book'!F1684</f>
        <v/>
      </c>
      <c r="L1684" s="3">
        <f>'[01_Entry.xlsx]Book'!G1684</f>
        <v/>
      </c>
      <c r="M1684" s="3">
        <f>'[01_Entry.xlsx]Book'!I1684</f>
        <v/>
      </c>
      <c r="N1684" s="2">
        <f>IF($A1684="","",MID($A1684,6,2))</f>
        <v>0</v>
      </c>
      <c r="O1684" s="2">
        <f>IF(OR($C1684="",$C1684&lt;&gt;'Inv'!$D$12),"",N(O$1683)+1)</f>
        <v>0</v>
      </c>
    </row>
    <row r="1685" spans="1:15">
      <c r="A1685" s="2">
        <f>'[01_Entry.xlsx]Book'!A1685</f>
        <v/>
      </c>
      <c r="B1685" s="2">
        <f>'[01_Entry.xlsx]Book'!B1685</f>
        <v/>
      </c>
      <c r="C1685" s="2">
        <f>'[01_Entry.xlsx]Book'!D1685</f>
        <v/>
      </c>
      <c r="D1685" s="2">
        <f>'[01_Entry.xlsx]Book'!E1685</f>
        <v/>
      </c>
      <c r="E1685" s="2">
        <f>'[01_Entry.xlsx]Book'!O1685</f>
        <v/>
      </c>
      <c r="F1685" s="2">
        <f>'[01_Entry.xlsx]Book'!N1685</f>
        <v/>
      </c>
      <c r="G1685" s="3">
        <f>'[01_Entry.xlsx]Book'!L1685</f>
        <v/>
      </c>
      <c r="H1685" s="3">
        <f>'[01_Entry.xlsx]Book'!M1685</f>
        <v/>
      </c>
      <c r="I1685" s="3">
        <f>'[01_Entry.xlsx]Book'!K1685</f>
        <v/>
      </c>
      <c r="J1685" s="3">
        <f>'[01_Entry.xlsx]Book'!P1685</f>
        <v/>
      </c>
      <c r="K1685" s="3">
        <f>'[01_Entry.xlsx]Book'!F1685</f>
        <v/>
      </c>
      <c r="L1685" s="3">
        <f>'[01_Entry.xlsx]Book'!G1685</f>
        <v/>
      </c>
      <c r="M1685" s="3">
        <f>'[01_Entry.xlsx]Book'!I1685</f>
        <v/>
      </c>
      <c r="N1685" s="2">
        <f>IF($A1685="","",MID($A1685,6,2))</f>
        <v>0</v>
      </c>
      <c r="O1685" s="2">
        <f>IF(OR($C1685="",$C1685&lt;&gt;'Inv'!$D$12),"",N(O$1684)+1)</f>
        <v>0</v>
      </c>
    </row>
    <row r="1686" spans="1:15">
      <c r="A1686" s="2">
        <f>'[01_Entry.xlsx]Book'!A1686</f>
        <v/>
      </c>
      <c r="B1686" s="2">
        <f>'[01_Entry.xlsx]Book'!B1686</f>
        <v/>
      </c>
      <c r="C1686" s="2">
        <f>'[01_Entry.xlsx]Book'!D1686</f>
        <v/>
      </c>
      <c r="D1686" s="2">
        <f>'[01_Entry.xlsx]Book'!E1686</f>
        <v/>
      </c>
      <c r="E1686" s="2">
        <f>'[01_Entry.xlsx]Book'!O1686</f>
        <v/>
      </c>
      <c r="F1686" s="2">
        <f>'[01_Entry.xlsx]Book'!N1686</f>
        <v/>
      </c>
      <c r="G1686" s="3">
        <f>'[01_Entry.xlsx]Book'!L1686</f>
        <v/>
      </c>
      <c r="H1686" s="3">
        <f>'[01_Entry.xlsx]Book'!M1686</f>
        <v/>
      </c>
      <c r="I1686" s="3">
        <f>'[01_Entry.xlsx]Book'!K1686</f>
        <v/>
      </c>
      <c r="J1686" s="3">
        <f>'[01_Entry.xlsx]Book'!P1686</f>
        <v/>
      </c>
      <c r="K1686" s="3">
        <f>'[01_Entry.xlsx]Book'!F1686</f>
        <v/>
      </c>
      <c r="L1686" s="3">
        <f>'[01_Entry.xlsx]Book'!G1686</f>
        <v/>
      </c>
      <c r="M1686" s="3">
        <f>'[01_Entry.xlsx]Book'!I1686</f>
        <v/>
      </c>
      <c r="N1686" s="2">
        <f>IF($A1686="","",MID($A1686,6,2))</f>
        <v>0</v>
      </c>
      <c r="O1686" s="2">
        <f>IF(OR($C1686="",$C1686&lt;&gt;'Inv'!$D$12),"",N(O$1685)+1)</f>
        <v>0</v>
      </c>
    </row>
    <row r="1687" spans="1:15">
      <c r="A1687" s="2">
        <f>'[01_Entry.xlsx]Book'!A1687</f>
        <v/>
      </c>
      <c r="B1687" s="2">
        <f>'[01_Entry.xlsx]Book'!B1687</f>
        <v/>
      </c>
      <c r="C1687" s="2">
        <f>'[01_Entry.xlsx]Book'!D1687</f>
        <v/>
      </c>
      <c r="D1687" s="2">
        <f>'[01_Entry.xlsx]Book'!E1687</f>
        <v/>
      </c>
      <c r="E1687" s="2">
        <f>'[01_Entry.xlsx]Book'!O1687</f>
        <v/>
      </c>
      <c r="F1687" s="2">
        <f>'[01_Entry.xlsx]Book'!N1687</f>
        <v/>
      </c>
      <c r="G1687" s="3">
        <f>'[01_Entry.xlsx]Book'!L1687</f>
        <v/>
      </c>
      <c r="H1687" s="3">
        <f>'[01_Entry.xlsx]Book'!M1687</f>
        <v/>
      </c>
      <c r="I1687" s="3">
        <f>'[01_Entry.xlsx]Book'!K1687</f>
        <v/>
      </c>
      <c r="J1687" s="3">
        <f>'[01_Entry.xlsx]Book'!P1687</f>
        <v/>
      </c>
      <c r="K1687" s="3">
        <f>'[01_Entry.xlsx]Book'!F1687</f>
        <v/>
      </c>
      <c r="L1687" s="3">
        <f>'[01_Entry.xlsx]Book'!G1687</f>
        <v/>
      </c>
      <c r="M1687" s="3">
        <f>'[01_Entry.xlsx]Book'!I1687</f>
        <v/>
      </c>
      <c r="N1687" s="2">
        <f>IF($A1687="","",MID($A1687,6,2))</f>
        <v>0</v>
      </c>
      <c r="O1687" s="2">
        <f>IF(OR($C1687="",$C1687&lt;&gt;'Inv'!$D$12),"",N(O$1686)+1)</f>
        <v>0</v>
      </c>
    </row>
    <row r="1688" spans="1:15">
      <c r="A1688" s="2">
        <f>'[01_Entry.xlsx]Book'!A1688</f>
        <v/>
      </c>
      <c r="B1688" s="2">
        <f>'[01_Entry.xlsx]Book'!B1688</f>
        <v/>
      </c>
      <c r="C1688" s="2">
        <f>'[01_Entry.xlsx]Book'!D1688</f>
        <v/>
      </c>
      <c r="D1688" s="2">
        <f>'[01_Entry.xlsx]Book'!E1688</f>
        <v/>
      </c>
      <c r="E1688" s="2">
        <f>'[01_Entry.xlsx]Book'!O1688</f>
        <v/>
      </c>
      <c r="F1688" s="2">
        <f>'[01_Entry.xlsx]Book'!N1688</f>
        <v/>
      </c>
      <c r="G1688" s="3">
        <f>'[01_Entry.xlsx]Book'!L1688</f>
        <v/>
      </c>
      <c r="H1688" s="3">
        <f>'[01_Entry.xlsx]Book'!M1688</f>
        <v/>
      </c>
      <c r="I1688" s="3">
        <f>'[01_Entry.xlsx]Book'!K1688</f>
        <v/>
      </c>
      <c r="J1688" s="3">
        <f>'[01_Entry.xlsx]Book'!P1688</f>
        <v/>
      </c>
      <c r="K1688" s="3">
        <f>'[01_Entry.xlsx]Book'!F1688</f>
        <v/>
      </c>
      <c r="L1688" s="3">
        <f>'[01_Entry.xlsx]Book'!G1688</f>
        <v/>
      </c>
      <c r="M1688" s="3">
        <f>'[01_Entry.xlsx]Book'!I1688</f>
        <v/>
      </c>
      <c r="N1688" s="2">
        <f>IF($A1688="","",MID($A1688,6,2))</f>
        <v>0</v>
      </c>
      <c r="O1688" s="2">
        <f>IF(OR($C1688="",$C1688&lt;&gt;'Inv'!$D$12),"",N(O$1687)+1)</f>
        <v>0</v>
      </c>
    </row>
    <row r="1689" spans="1:15">
      <c r="A1689" s="2">
        <f>'[01_Entry.xlsx]Book'!A1689</f>
        <v/>
      </c>
      <c r="B1689" s="2">
        <f>'[01_Entry.xlsx]Book'!B1689</f>
        <v/>
      </c>
      <c r="C1689" s="2">
        <f>'[01_Entry.xlsx]Book'!D1689</f>
        <v/>
      </c>
      <c r="D1689" s="2">
        <f>'[01_Entry.xlsx]Book'!E1689</f>
        <v/>
      </c>
      <c r="E1689" s="2">
        <f>'[01_Entry.xlsx]Book'!O1689</f>
        <v/>
      </c>
      <c r="F1689" s="2">
        <f>'[01_Entry.xlsx]Book'!N1689</f>
        <v/>
      </c>
      <c r="G1689" s="3">
        <f>'[01_Entry.xlsx]Book'!L1689</f>
        <v/>
      </c>
      <c r="H1689" s="3">
        <f>'[01_Entry.xlsx]Book'!M1689</f>
        <v/>
      </c>
      <c r="I1689" s="3">
        <f>'[01_Entry.xlsx]Book'!K1689</f>
        <v/>
      </c>
      <c r="J1689" s="3">
        <f>'[01_Entry.xlsx]Book'!P1689</f>
        <v/>
      </c>
      <c r="K1689" s="3">
        <f>'[01_Entry.xlsx]Book'!F1689</f>
        <v/>
      </c>
      <c r="L1689" s="3">
        <f>'[01_Entry.xlsx]Book'!G1689</f>
        <v/>
      </c>
      <c r="M1689" s="3">
        <f>'[01_Entry.xlsx]Book'!I1689</f>
        <v/>
      </c>
      <c r="N1689" s="2">
        <f>IF($A1689="","",MID($A1689,6,2))</f>
        <v>0</v>
      </c>
      <c r="O1689" s="2">
        <f>IF(OR($C1689="",$C1689&lt;&gt;'Inv'!$D$12),"",N(O$1688)+1)</f>
        <v>0</v>
      </c>
    </row>
    <row r="1690" spans="1:15">
      <c r="A1690" s="2">
        <f>'[01_Entry.xlsx]Book'!A1690</f>
        <v/>
      </c>
      <c r="B1690" s="2">
        <f>'[01_Entry.xlsx]Book'!B1690</f>
        <v/>
      </c>
      <c r="C1690" s="2">
        <f>'[01_Entry.xlsx]Book'!D1690</f>
        <v/>
      </c>
      <c r="D1690" s="2">
        <f>'[01_Entry.xlsx]Book'!E1690</f>
        <v/>
      </c>
      <c r="E1690" s="2">
        <f>'[01_Entry.xlsx]Book'!O1690</f>
        <v/>
      </c>
      <c r="F1690" s="2">
        <f>'[01_Entry.xlsx]Book'!N1690</f>
        <v/>
      </c>
      <c r="G1690" s="3">
        <f>'[01_Entry.xlsx]Book'!L1690</f>
        <v/>
      </c>
      <c r="H1690" s="3">
        <f>'[01_Entry.xlsx]Book'!M1690</f>
        <v/>
      </c>
      <c r="I1690" s="3">
        <f>'[01_Entry.xlsx]Book'!K1690</f>
        <v/>
      </c>
      <c r="J1690" s="3">
        <f>'[01_Entry.xlsx]Book'!P1690</f>
        <v/>
      </c>
      <c r="K1690" s="3">
        <f>'[01_Entry.xlsx]Book'!F1690</f>
        <v/>
      </c>
      <c r="L1690" s="3">
        <f>'[01_Entry.xlsx]Book'!G1690</f>
        <v/>
      </c>
      <c r="M1690" s="3">
        <f>'[01_Entry.xlsx]Book'!I1690</f>
        <v/>
      </c>
      <c r="N1690" s="2">
        <f>IF($A1690="","",MID($A1690,6,2))</f>
        <v>0</v>
      </c>
      <c r="O1690" s="2">
        <f>IF(OR($C1690="",$C1690&lt;&gt;'Inv'!$D$12),"",N(O$1689)+1)</f>
        <v>0</v>
      </c>
    </row>
    <row r="1691" spans="1:15">
      <c r="A1691" s="2">
        <f>'[01_Entry.xlsx]Book'!A1691</f>
        <v/>
      </c>
      <c r="B1691" s="2">
        <f>'[01_Entry.xlsx]Book'!B1691</f>
        <v/>
      </c>
      <c r="C1691" s="2">
        <f>'[01_Entry.xlsx]Book'!D1691</f>
        <v/>
      </c>
      <c r="D1691" s="2">
        <f>'[01_Entry.xlsx]Book'!E1691</f>
        <v/>
      </c>
      <c r="E1691" s="2">
        <f>'[01_Entry.xlsx]Book'!O1691</f>
        <v/>
      </c>
      <c r="F1691" s="2">
        <f>'[01_Entry.xlsx]Book'!N1691</f>
        <v/>
      </c>
      <c r="G1691" s="3">
        <f>'[01_Entry.xlsx]Book'!L1691</f>
        <v/>
      </c>
      <c r="H1691" s="3">
        <f>'[01_Entry.xlsx]Book'!M1691</f>
        <v/>
      </c>
      <c r="I1691" s="3">
        <f>'[01_Entry.xlsx]Book'!K1691</f>
        <v/>
      </c>
      <c r="J1691" s="3">
        <f>'[01_Entry.xlsx]Book'!P1691</f>
        <v/>
      </c>
      <c r="K1691" s="3">
        <f>'[01_Entry.xlsx]Book'!F1691</f>
        <v/>
      </c>
      <c r="L1691" s="3">
        <f>'[01_Entry.xlsx]Book'!G1691</f>
        <v/>
      </c>
      <c r="M1691" s="3">
        <f>'[01_Entry.xlsx]Book'!I1691</f>
        <v/>
      </c>
      <c r="N1691" s="2">
        <f>IF($A1691="","",MID($A1691,6,2))</f>
        <v>0</v>
      </c>
      <c r="O1691" s="2">
        <f>IF(OR($C1691="",$C1691&lt;&gt;'Inv'!$D$12),"",N(O$1690)+1)</f>
        <v>0</v>
      </c>
    </row>
    <row r="1692" spans="1:15">
      <c r="A1692" s="2">
        <f>'[01_Entry.xlsx]Book'!A1692</f>
        <v/>
      </c>
      <c r="B1692" s="2">
        <f>'[01_Entry.xlsx]Book'!B1692</f>
        <v/>
      </c>
      <c r="C1692" s="2">
        <f>'[01_Entry.xlsx]Book'!D1692</f>
        <v/>
      </c>
      <c r="D1692" s="2">
        <f>'[01_Entry.xlsx]Book'!E1692</f>
        <v/>
      </c>
      <c r="E1692" s="2">
        <f>'[01_Entry.xlsx]Book'!O1692</f>
        <v/>
      </c>
      <c r="F1692" s="2">
        <f>'[01_Entry.xlsx]Book'!N1692</f>
        <v/>
      </c>
      <c r="G1692" s="3">
        <f>'[01_Entry.xlsx]Book'!L1692</f>
        <v/>
      </c>
      <c r="H1692" s="3">
        <f>'[01_Entry.xlsx]Book'!M1692</f>
        <v/>
      </c>
      <c r="I1692" s="3">
        <f>'[01_Entry.xlsx]Book'!K1692</f>
        <v/>
      </c>
      <c r="J1692" s="3">
        <f>'[01_Entry.xlsx]Book'!P1692</f>
        <v/>
      </c>
      <c r="K1692" s="3">
        <f>'[01_Entry.xlsx]Book'!F1692</f>
        <v/>
      </c>
      <c r="L1692" s="3">
        <f>'[01_Entry.xlsx]Book'!G1692</f>
        <v/>
      </c>
      <c r="M1692" s="3">
        <f>'[01_Entry.xlsx]Book'!I1692</f>
        <v/>
      </c>
      <c r="N1692" s="2">
        <f>IF($A1692="","",MID($A1692,6,2))</f>
        <v>0</v>
      </c>
      <c r="O1692" s="2">
        <f>IF(OR($C1692="",$C1692&lt;&gt;'Inv'!$D$12),"",N(O$1691)+1)</f>
        <v>0</v>
      </c>
    </row>
    <row r="1693" spans="1:15">
      <c r="A1693" s="2">
        <f>'[01_Entry.xlsx]Book'!A1693</f>
        <v/>
      </c>
      <c r="B1693" s="2">
        <f>'[01_Entry.xlsx]Book'!B1693</f>
        <v/>
      </c>
      <c r="C1693" s="2">
        <f>'[01_Entry.xlsx]Book'!D1693</f>
        <v/>
      </c>
      <c r="D1693" s="2">
        <f>'[01_Entry.xlsx]Book'!E1693</f>
        <v/>
      </c>
      <c r="E1693" s="2">
        <f>'[01_Entry.xlsx]Book'!O1693</f>
        <v/>
      </c>
      <c r="F1693" s="2">
        <f>'[01_Entry.xlsx]Book'!N1693</f>
        <v/>
      </c>
      <c r="G1693" s="3">
        <f>'[01_Entry.xlsx]Book'!L1693</f>
        <v/>
      </c>
      <c r="H1693" s="3">
        <f>'[01_Entry.xlsx]Book'!M1693</f>
        <v/>
      </c>
      <c r="I1693" s="3">
        <f>'[01_Entry.xlsx]Book'!K1693</f>
        <v/>
      </c>
      <c r="J1693" s="3">
        <f>'[01_Entry.xlsx]Book'!P1693</f>
        <v/>
      </c>
      <c r="K1693" s="3">
        <f>'[01_Entry.xlsx]Book'!F1693</f>
        <v/>
      </c>
      <c r="L1693" s="3">
        <f>'[01_Entry.xlsx]Book'!G1693</f>
        <v/>
      </c>
      <c r="M1693" s="3">
        <f>'[01_Entry.xlsx]Book'!I1693</f>
        <v/>
      </c>
      <c r="N1693" s="2">
        <f>IF($A1693="","",MID($A1693,6,2))</f>
        <v>0</v>
      </c>
      <c r="O1693" s="2">
        <f>IF(OR($C1693="",$C1693&lt;&gt;'Inv'!$D$12),"",N(O$1692)+1)</f>
        <v>0</v>
      </c>
    </row>
    <row r="1694" spans="1:15">
      <c r="A1694" s="2">
        <f>'[01_Entry.xlsx]Book'!A1694</f>
        <v/>
      </c>
      <c r="B1694" s="2">
        <f>'[01_Entry.xlsx]Book'!B1694</f>
        <v/>
      </c>
      <c r="C1694" s="2">
        <f>'[01_Entry.xlsx]Book'!D1694</f>
        <v/>
      </c>
      <c r="D1694" s="2">
        <f>'[01_Entry.xlsx]Book'!E1694</f>
        <v/>
      </c>
      <c r="E1694" s="2">
        <f>'[01_Entry.xlsx]Book'!O1694</f>
        <v/>
      </c>
      <c r="F1694" s="2">
        <f>'[01_Entry.xlsx]Book'!N1694</f>
        <v/>
      </c>
      <c r="G1694" s="3">
        <f>'[01_Entry.xlsx]Book'!L1694</f>
        <v/>
      </c>
      <c r="H1694" s="3">
        <f>'[01_Entry.xlsx]Book'!M1694</f>
        <v/>
      </c>
      <c r="I1694" s="3">
        <f>'[01_Entry.xlsx]Book'!K1694</f>
        <v/>
      </c>
      <c r="J1694" s="3">
        <f>'[01_Entry.xlsx]Book'!P1694</f>
        <v/>
      </c>
      <c r="K1694" s="3">
        <f>'[01_Entry.xlsx]Book'!F1694</f>
        <v/>
      </c>
      <c r="L1694" s="3">
        <f>'[01_Entry.xlsx]Book'!G1694</f>
        <v/>
      </c>
      <c r="M1694" s="3">
        <f>'[01_Entry.xlsx]Book'!I1694</f>
        <v/>
      </c>
      <c r="N1694" s="2">
        <f>IF($A1694="","",MID($A1694,6,2))</f>
        <v>0</v>
      </c>
      <c r="O1694" s="2">
        <f>IF(OR($C1694="",$C1694&lt;&gt;'Inv'!$D$12),"",N(O$1693)+1)</f>
        <v>0</v>
      </c>
    </row>
    <row r="1695" spans="1:15">
      <c r="A1695" s="2">
        <f>'[01_Entry.xlsx]Book'!A1695</f>
        <v/>
      </c>
      <c r="B1695" s="2">
        <f>'[01_Entry.xlsx]Book'!B1695</f>
        <v/>
      </c>
      <c r="C1695" s="2">
        <f>'[01_Entry.xlsx]Book'!D1695</f>
        <v/>
      </c>
      <c r="D1695" s="2">
        <f>'[01_Entry.xlsx]Book'!E1695</f>
        <v/>
      </c>
      <c r="E1695" s="2">
        <f>'[01_Entry.xlsx]Book'!O1695</f>
        <v/>
      </c>
      <c r="F1695" s="2">
        <f>'[01_Entry.xlsx]Book'!N1695</f>
        <v/>
      </c>
      <c r="G1695" s="3">
        <f>'[01_Entry.xlsx]Book'!L1695</f>
        <v/>
      </c>
      <c r="H1695" s="3">
        <f>'[01_Entry.xlsx]Book'!M1695</f>
        <v/>
      </c>
      <c r="I1695" s="3">
        <f>'[01_Entry.xlsx]Book'!K1695</f>
        <v/>
      </c>
      <c r="J1695" s="3">
        <f>'[01_Entry.xlsx]Book'!P1695</f>
        <v/>
      </c>
      <c r="K1695" s="3">
        <f>'[01_Entry.xlsx]Book'!F1695</f>
        <v/>
      </c>
      <c r="L1695" s="3">
        <f>'[01_Entry.xlsx]Book'!G1695</f>
        <v/>
      </c>
      <c r="M1695" s="3">
        <f>'[01_Entry.xlsx]Book'!I1695</f>
        <v/>
      </c>
      <c r="N1695" s="2">
        <f>IF($A1695="","",MID($A1695,6,2))</f>
        <v>0</v>
      </c>
      <c r="O1695" s="2">
        <f>IF(OR($C1695="",$C1695&lt;&gt;'Inv'!$D$12),"",N(O$1694)+1)</f>
        <v>0</v>
      </c>
    </row>
    <row r="1696" spans="1:15">
      <c r="A1696" s="2">
        <f>'[01_Entry.xlsx]Book'!A1696</f>
        <v/>
      </c>
      <c r="B1696" s="2">
        <f>'[01_Entry.xlsx]Book'!B1696</f>
        <v/>
      </c>
      <c r="C1696" s="2">
        <f>'[01_Entry.xlsx]Book'!D1696</f>
        <v/>
      </c>
      <c r="D1696" s="2">
        <f>'[01_Entry.xlsx]Book'!E1696</f>
        <v/>
      </c>
      <c r="E1696" s="2">
        <f>'[01_Entry.xlsx]Book'!O1696</f>
        <v/>
      </c>
      <c r="F1696" s="2">
        <f>'[01_Entry.xlsx]Book'!N1696</f>
        <v/>
      </c>
      <c r="G1696" s="3">
        <f>'[01_Entry.xlsx]Book'!L1696</f>
        <v/>
      </c>
      <c r="H1696" s="3">
        <f>'[01_Entry.xlsx]Book'!M1696</f>
        <v/>
      </c>
      <c r="I1696" s="3">
        <f>'[01_Entry.xlsx]Book'!K1696</f>
        <v/>
      </c>
      <c r="J1696" s="3">
        <f>'[01_Entry.xlsx]Book'!P1696</f>
        <v/>
      </c>
      <c r="K1696" s="3">
        <f>'[01_Entry.xlsx]Book'!F1696</f>
        <v/>
      </c>
      <c r="L1696" s="3">
        <f>'[01_Entry.xlsx]Book'!G1696</f>
        <v/>
      </c>
      <c r="M1696" s="3">
        <f>'[01_Entry.xlsx]Book'!I1696</f>
        <v/>
      </c>
      <c r="N1696" s="2">
        <f>IF($A1696="","",MID($A1696,6,2))</f>
        <v>0</v>
      </c>
      <c r="O1696" s="2">
        <f>IF(OR($C1696="",$C1696&lt;&gt;'Inv'!$D$12),"",N(O$1695)+1)</f>
        <v>0</v>
      </c>
    </row>
    <row r="1697" spans="1:15">
      <c r="A1697" s="2">
        <f>'[01_Entry.xlsx]Book'!A1697</f>
        <v/>
      </c>
      <c r="B1697" s="2">
        <f>'[01_Entry.xlsx]Book'!B1697</f>
        <v/>
      </c>
      <c r="C1697" s="2">
        <f>'[01_Entry.xlsx]Book'!D1697</f>
        <v/>
      </c>
      <c r="D1697" s="2">
        <f>'[01_Entry.xlsx]Book'!E1697</f>
        <v/>
      </c>
      <c r="E1697" s="2">
        <f>'[01_Entry.xlsx]Book'!O1697</f>
        <v/>
      </c>
      <c r="F1697" s="2">
        <f>'[01_Entry.xlsx]Book'!N1697</f>
        <v/>
      </c>
      <c r="G1697" s="3">
        <f>'[01_Entry.xlsx]Book'!L1697</f>
        <v/>
      </c>
      <c r="H1697" s="3">
        <f>'[01_Entry.xlsx]Book'!M1697</f>
        <v/>
      </c>
      <c r="I1697" s="3">
        <f>'[01_Entry.xlsx]Book'!K1697</f>
        <v/>
      </c>
      <c r="J1697" s="3">
        <f>'[01_Entry.xlsx]Book'!P1697</f>
        <v/>
      </c>
      <c r="K1697" s="3">
        <f>'[01_Entry.xlsx]Book'!F1697</f>
        <v/>
      </c>
      <c r="L1697" s="3">
        <f>'[01_Entry.xlsx]Book'!G1697</f>
        <v/>
      </c>
      <c r="M1697" s="3">
        <f>'[01_Entry.xlsx]Book'!I1697</f>
        <v/>
      </c>
      <c r="N1697" s="2">
        <f>IF($A1697="","",MID($A1697,6,2))</f>
        <v>0</v>
      </c>
      <c r="O1697" s="2">
        <f>IF(OR($C1697="",$C1697&lt;&gt;'Inv'!$D$12),"",N(O$1696)+1)</f>
        <v>0</v>
      </c>
    </row>
    <row r="1698" spans="1:15">
      <c r="A1698" s="2">
        <f>'[01_Entry.xlsx]Book'!A1698</f>
        <v/>
      </c>
      <c r="B1698" s="2">
        <f>'[01_Entry.xlsx]Book'!B1698</f>
        <v/>
      </c>
      <c r="C1698" s="2">
        <f>'[01_Entry.xlsx]Book'!D1698</f>
        <v/>
      </c>
      <c r="D1698" s="2">
        <f>'[01_Entry.xlsx]Book'!E1698</f>
        <v/>
      </c>
      <c r="E1698" s="2">
        <f>'[01_Entry.xlsx]Book'!O1698</f>
        <v/>
      </c>
      <c r="F1698" s="2">
        <f>'[01_Entry.xlsx]Book'!N1698</f>
        <v/>
      </c>
      <c r="G1698" s="3">
        <f>'[01_Entry.xlsx]Book'!L1698</f>
        <v/>
      </c>
      <c r="H1698" s="3">
        <f>'[01_Entry.xlsx]Book'!M1698</f>
        <v/>
      </c>
      <c r="I1698" s="3">
        <f>'[01_Entry.xlsx]Book'!K1698</f>
        <v/>
      </c>
      <c r="J1698" s="3">
        <f>'[01_Entry.xlsx]Book'!P1698</f>
        <v/>
      </c>
      <c r="K1698" s="3">
        <f>'[01_Entry.xlsx]Book'!F1698</f>
        <v/>
      </c>
      <c r="L1698" s="3">
        <f>'[01_Entry.xlsx]Book'!G1698</f>
        <v/>
      </c>
      <c r="M1698" s="3">
        <f>'[01_Entry.xlsx]Book'!I1698</f>
        <v/>
      </c>
      <c r="N1698" s="2">
        <f>IF($A1698="","",MID($A1698,6,2))</f>
        <v>0</v>
      </c>
      <c r="O1698" s="2">
        <f>IF(OR($C1698="",$C1698&lt;&gt;'Inv'!$D$12),"",N(O$1697)+1)</f>
        <v>0</v>
      </c>
    </row>
    <row r="1699" spans="1:15">
      <c r="A1699" s="2">
        <f>'[01_Entry.xlsx]Book'!A1699</f>
        <v/>
      </c>
      <c r="B1699" s="2">
        <f>'[01_Entry.xlsx]Book'!B1699</f>
        <v/>
      </c>
      <c r="C1699" s="2">
        <f>'[01_Entry.xlsx]Book'!D1699</f>
        <v/>
      </c>
      <c r="D1699" s="2">
        <f>'[01_Entry.xlsx]Book'!E1699</f>
        <v/>
      </c>
      <c r="E1699" s="2">
        <f>'[01_Entry.xlsx]Book'!O1699</f>
        <v/>
      </c>
      <c r="F1699" s="2">
        <f>'[01_Entry.xlsx]Book'!N1699</f>
        <v/>
      </c>
      <c r="G1699" s="3">
        <f>'[01_Entry.xlsx]Book'!L1699</f>
        <v/>
      </c>
      <c r="H1699" s="3">
        <f>'[01_Entry.xlsx]Book'!M1699</f>
        <v/>
      </c>
      <c r="I1699" s="3">
        <f>'[01_Entry.xlsx]Book'!K1699</f>
        <v/>
      </c>
      <c r="J1699" s="3">
        <f>'[01_Entry.xlsx]Book'!P1699</f>
        <v/>
      </c>
      <c r="K1699" s="3">
        <f>'[01_Entry.xlsx]Book'!F1699</f>
        <v/>
      </c>
      <c r="L1699" s="3">
        <f>'[01_Entry.xlsx]Book'!G1699</f>
        <v/>
      </c>
      <c r="M1699" s="3">
        <f>'[01_Entry.xlsx]Book'!I1699</f>
        <v/>
      </c>
      <c r="N1699" s="2">
        <f>IF($A1699="","",MID($A1699,6,2))</f>
        <v>0</v>
      </c>
      <c r="O1699" s="2">
        <f>IF(OR($C1699="",$C1699&lt;&gt;'Inv'!$D$12),"",N(O$1698)+1)</f>
        <v>0</v>
      </c>
    </row>
    <row r="1700" spans="1:15">
      <c r="A1700" s="2">
        <f>'[01_Entry.xlsx]Book'!A1700</f>
        <v/>
      </c>
      <c r="B1700" s="2">
        <f>'[01_Entry.xlsx]Book'!B1700</f>
        <v/>
      </c>
      <c r="C1700" s="2">
        <f>'[01_Entry.xlsx]Book'!D1700</f>
        <v/>
      </c>
      <c r="D1700" s="2">
        <f>'[01_Entry.xlsx]Book'!E1700</f>
        <v/>
      </c>
      <c r="E1700" s="2">
        <f>'[01_Entry.xlsx]Book'!O1700</f>
        <v/>
      </c>
      <c r="F1700" s="2">
        <f>'[01_Entry.xlsx]Book'!N1700</f>
        <v/>
      </c>
      <c r="G1700" s="3">
        <f>'[01_Entry.xlsx]Book'!L1700</f>
        <v/>
      </c>
      <c r="H1700" s="3">
        <f>'[01_Entry.xlsx]Book'!M1700</f>
        <v/>
      </c>
      <c r="I1700" s="3">
        <f>'[01_Entry.xlsx]Book'!K1700</f>
        <v/>
      </c>
      <c r="J1700" s="3">
        <f>'[01_Entry.xlsx]Book'!P1700</f>
        <v/>
      </c>
      <c r="K1700" s="3">
        <f>'[01_Entry.xlsx]Book'!F1700</f>
        <v/>
      </c>
      <c r="L1700" s="3">
        <f>'[01_Entry.xlsx]Book'!G1700</f>
        <v/>
      </c>
      <c r="M1700" s="3">
        <f>'[01_Entry.xlsx]Book'!I1700</f>
        <v/>
      </c>
      <c r="N1700" s="2">
        <f>IF($A1700="","",MID($A1700,6,2))</f>
        <v>0</v>
      </c>
      <c r="O1700" s="2">
        <f>IF(OR($C1700="",$C1700&lt;&gt;'Inv'!$D$12),"",N(O$1699)+1)</f>
        <v>0</v>
      </c>
    </row>
    <row r="1701" spans="1:15">
      <c r="A1701" s="2">
        <f>'[01_Entry.xlsx]Book'!A1701</f>
        <v/>
      </c>
      <c r="B1701" s="2">
        <f>'[01_Entry.xlsx]Book'!B1701</f>
        <v/>
      </c>
      <c r="C1701" s="2">
        <f>'[01_Entry.xlsx]Book'!D1701</f>
        <v/>
      </c>
      <c r="D1701" s="2">
        <f>'[01_Entry.xlsx]Book'!E1701</f>
        <v/>
      </c>
      <c r="E1701" s="2">
        <f>'[01_Entry.xlsx]Book'!O1701</f>
        <v/>
      </c>
      <c r="F1701" s="2">
        <f>'[01_Entry.xlsx]Book'!N1701</f>
        <v/>
      </c>
      <c r="G1701" s="3">
        <f>'[01_Entry.xlsx]Book'!L1701</f>
        <v/>
      </c>
      <c r="H1701" s="3">
        <f>'[01_Entry.xlsx]Book'!M1701</f>
        <v/>
      </c>
      <c r="I1701" s="3">
        <f>'[01_Entry.xlsx]Book'!K1701</f>
        <v/>
      </c>
      <c r="J1701" s="3">
        <f>'[01_Entry.xlsx]Book'!P1701</f>
        <v/>
      </c>
      <c r="K1701" s="3">
        <f>'[01_Entry.xlsx]Book'!F1701</f>
        <v/>
      </c>
      <c r="L1701" s="3">
        <f>'[01_Entry.xlsx]Book'!G1701</f>
        <v/>
      </c>
      <c r="M1701" s="3">
        <f>'[01_Entry.xlsx]Book'!I1701</f>
        <v/>
      </c>
      <c r="N1701" s="2">
        <f>IF($A1701="","",MID($A1701,6,2))</f>
        <v>0</v>
      </c>
      <c r="O1701" s="2">
        <f>IF(OR($C1701="",$C1701&lt;&gt;'Inv'!$D$12),"",N(O$1700)+1)</f>
        <v>0</v>
      </c>
    </row>
    <row r="1702" spans="1:15">
      <c r="A1702" s="2">
        <f>'[01_Entry.xlsx]Book'!A1702</f>
        <v/>
      </c>
      <c r="B1702" s="2">
        <f>'[01_Entry.xlsx]Book'!B1702</f>
        <v/>
      </c>
      <c r="C1702" s="2">
        <f>'[01_Entry.xlsx]Book'!D1702</f>
        <v/>
      </c>
      <c r="D1702" s="2">
        <f>'[01_Entry.xlsx]Book'!E1702</f>
        <v/>
      </c>
      <c r="E1702" s="2">
        <f>'[01_Entry.xlsx]Book'!O1702</f>
        <v/>
      </c>
      <c r="F1702" s="2">
        <f>'[01_Entry.xlsx]Book'!N1702</f>
        <v/>
      </c>
      <c r="G1702" s="3">
        <f>'[01_Entry.xlsx]Book'!L1702</f>
        <v/>
      </c>
      <c r="H1702" s="3">
        <f>'[01_Entry.xlsx]Book'!M1702</f>
        <v/>
      </c>
      <c r="I1702" s="3">
        <f>'[01_Entry.xlsx]Book'!K1702</f>
        <v/>
      </c>
      <c r="J1702" s="3">
        <f>'[01_Entry.xlsx]Book'!P1702</f>
        <v/>
      </c>
      <c r="K1702" s="3">
        <f>'[01_Entry.xlsx]Book'!F1702</f>
        <v/>
      </c>
      <c r="L1702" s="3">
        <f>'[01_Entry.xlsx]Book'!G1702</f>
        <v/>
      </c>
      <c r="M1702" s="3">
        <f>'[01_Entry.xlsx]Book'!I1702</f>
        <v/>
      </c>
      <c r="N1702" s="2">
        <f>IF($A1702="","",MID($A1702,6,2))</f>
        <v>0</v>
      </c>
      <c r="O1702" s="2">
        <f>IF(OR($C1702="",$C1702&lt;&gt;'Inv'!$D$12),"",N(O$1701)+1)</f>
        <v>0</v>
      </c>
    </row>
    <row r="1703" spans="1:15">
      <c r="A1703" s="2">
        <f>'[01_Entry.xlsx]Book'!A1703</f>
        <v/>
      </c>
      <c r="B1703" s="2">
        <f>'[01_Entry.xlsx]Book'!B1703</f>
        <v/>
      </c>
      <c r="C1703" s="2">
        <f>'[01_Entry.xlsx]Book'!D1703</f>
        <v/>
      </c>
      <c r="D1703" s="2">
        <f>'[01_Entry.xlsx]Book'!E1703</f>
        <v/>
      </c>
      <c r="E1703" s="2">
        <f>'[01_Entry.xlsx]Book'!O1703</f>
        <v/>
      </c>
      <c r="F1703" s="2">
        <f>'[01_Entry.xlsx]Book'!N1703</f>
        <v/>
      </c>
      <c r="G1703" s="3">
        <f>'[01_Entry.xlsx]Book'!L1703</f>
        <v/>
      </c>
      <c r="H1703" s="3">
        <f>'[01_Entry.xlsx]Book'!M1703</f>
        <v/>
      </c>
      <c r="I1703" s="3">
        <f>'[01_Entry.xlsx]Book'!K1703</f>
        <v/>
      </c>
      <c r="J1703" s="3">
        <f>'[01_Entry.xlsx]Book'!P1703</f>
        <v/>
      </c>
      <c r="K1703" s="3">
        <f>'[01_Entry.xlsx]Book'!F1703</f>
        <v/>
      </c>
      <c r="L1703" s="3">
        <f>'[01_Entry.xlsx]Book'!G1703</f>
        <v/>
      </c>
      <c r="M1703" s="3">
        <f>'[01_Entry.xlsx]Book'!I1703</f>
        <v/>
      </c>
      <c r="N1703" s="2">
        <f>IF($A1703="","",MID($A1703,6,2))</f>
        <v>0</v>
      </c>
      <c r="O1703" s="2">
        <f>IF(OR($C1703="",$C1703&lt;&gt;'Inv'!$D$12),"",N(O$1702)+1)</f>
        <v>0</v>
      </c>
    </row>
    <row r="1704" spans="1:15">
      <c r="A1704" s="2">
        <f>'[01_Entry.xlsx]Book'!A1704</f>
        <v/>
      </c>
      <c r="B1704" s="2">
        <f>'[01_Entry.xlsx]Book'!B1704</f>
        <v/>
      </c>
      <c r="C1704" s="2">
        <f>'[01_Entry.xlsx]Book'!D1704</f>
        <v/>
      </c>
      <c r="D1704" s="2">
        <f>'[01_Entry.xlsx]Book'!E1704</f>
        <v/>
      </c>
      <c r="E1704" s="2">
        <f>'[01_Entry.xlsx]Book'!O1704</f>
        <v/>
      </c>
      <c r="F1704" s="2">
        <f>'[01_Entry.xlsx]Book'!N1704</f>
        <v/>
      </c>
      <c r="G1704" s="3">
        <f>'[01_Entry.xlsx]Book'!L1704</f>
        <v/>
      </c>
      <c r="H1704" s="3">
        <f>'[01_Entry.xlsx]Book'!M1704</f>
        <v/>
      </c>
      <c r="I1704" s="3">
        <f>'[01_Entry.xlsx]Book'!K1704</f>
        <v/>
      </c>
      <c r="J1704" s="3">
        <f>'[01_Entry.xlsx]Book'!P1704</f>
        <v/>
      </c>
      <c r="K1704" s="3">
        <f>'[01_Entry.xlsx]Book'!F1704</f>
        <v/>
      </c>
      <c r="L1704" s="3">
        <f>'[01_Entry.xlsx]Book'!G1704</f>
        <v/>
      </c>
      <c r="M1704" s="3">
        <f>'[01_Entry.xlsx]Book'!I1704</f>
        <v/>
      </c>
      <c r="N1704" s="2">
        <f>IF($A1704="","",MID($A1704,6,2))</f>
        <v>0</v>
      </c>
      <c r="O1704" s="2">
        <f>IF(OR($C1704="",$C1704&lt;&gt;'Inv'!$D$12),"",N(O$1703)+1)</f>
        <v>0</v>
      </c>
    </row>
    <row r="1705" spans="1:15">
      <c r="A1705" s="2">
        <f>'[01_Entry.xlsx]Book'!A1705</f>
        <v/>
      </c>
      <c r="B1705" s="2">
        <f>'[01_Entry.xlsx]Book'!B1705</f>
        <v/>
      </c>
      <c r="C1705" s="2">
        <f>'[01_Entry.xlsx]Book'!D1705</f>
        <v/>
      </c>
      <c r="D1705" s="2">
        <f>'[01_Entry.xlsx]Book'!E1705</f>
        <v/>
      </c>
      <c r="E1705" s="2">
        <f>'[01_Entry.xlsx]Book'!O1705</f>
        <v/>
      </c>
      <c r="F1705" s="2">
        <f>'[01_Entry.xlsx]Book'!N1705</f>
        <v/>
      </c>
      <c r="G1705" s="3">
        <f>'[01_Entry.xlsx]Book'!L1705</f>
        <v/>
      </c>
      <c r="H1705" s="3">
        <f>'[01_Entry.xlsx]Book'!M1705</f>
        <v/>
      </c>
      <c r="I1705" s="3">
        <f>'[01_Entry.xlsx]Book'!K1705</f>
        <v/>
      </c>
      <c r="J1705" s="3">
        <f>'[01_Entry.xlsx]Book'!P1705</f>
        <v/>
      </c>
      <c r="K1705" s="3">
        <f>'[01_Entry.xlsx]Book'!F1705</f>
        <v/>
      </c>
      <c r="L1705" s="3">
        <f>'[01_Entry.xlsx]Book'!G1705</f>
        <v/>
      </c>
      <c r="M1705" s="3">
        <f>'[01_Entry.xlsx]Book'!I1705</f>
        <v/>
      </c>
      <c r="N1705" s="2">
        <f>IF($A1705="","",MID($A1705,6,2))</f>
        <v>0</v>
      </c>
      <c r="O1705" s="2">
        <f>IF(OR($C1705="",$C1705&lt;&gt;'Inv'!$D$12),"",N(O$1704)+1)</f>
        <v>0</v>
      </c>
    </row>
    <row r="1706" spans="1:15">
      <c r="A1706" s="2">
        <f>'[01_Entry.xlsx]Book'!A1706</f>
        <v/>
      </c>
      <c r="B1706" s="2">
        <f>'[01_Entry.xlsx]Book'!B1706</f>
        <v/>
      </c>
      <c r="C1706" s="2">
        <f>'[01_Entry.xlsx]Book'!D1706</f>
        <v/>
      </c>
      <c r="D1706" s="2">
        <f>'[01_Entry.xlsx]Book'!E1706</f>
        <v/>
      </c>
      <c r="E1706" s="2">
        <f>'[01_Entry.xlsx]Book'!O1706</f>
        <v/>
      </c>
      <c r="F1706" s="2">
        <f>'[01_Entry.xlsx]Book'!N1706</f>
        <v/>
      </c>
      <c r="G1706" s="3">
        <f>'[01_Entry.xlsx]Book'!L1706</f>
        <v/>
      </c>
      <c r="H1706" s="3">
        <f>'[01_Entry.xlsx]Book'!M1706</f>
        <v/>
      </c>
      <c r="I1706" s="3">
        <f>'[01_Entry.xlsx]Book'!K1706</f>
        <v/>
      </c>
      <c r="J1706" s="3">
        <f>'[01_Entry.xlsx]Book'!P1706</f>
        <v/>
      </c>
      <c r="K1706" s="3">
        <f>'[01_Entry.xlsx]Book'!F1706</f>
        <v/>
      </c>
      <c r="L1706" s="3">
        <f>'[01_Entry.xlsx]Book'!G1706</f>
        <v/>
      </c>
      <c r="M1706" s="3">
        <f>'[01_Entry.xlsx]Book'!I1706</f>
        <v/>
      </c>
      <c r="N1706" s="2">
        <f>IF($A1706="","",MID($A1706,6,2))</f>
        <v>0</v>
      </c>
      <c r="O1706" s="2">
        <f>IF(OR($C1706="",$C1706&lt;&gt;'Inv'!$D$12),"",N(O$1705)+1)</f>
        <v>0</v>
      </c>
    </row>
    <row r="1707" spans="1:15">
      <c r="A1707" s="2">
        <f>'[01_Entry.xlsx]Book'!A1707</f>
        <v/>
      </c>
      <c r="B1707" s="2">
        <f>'[01_Entry.xlsx]Book'!B1707</f>
        <v/>
      </c>
      <c r="C1707" s="2">
        <f>'[01_Entry.xlsx]Book'!D1707</f>
        <v/>
      </c>
      <c r="D1707" s="2">
        <f>'[01_Entry.xlsx]Book'!E1707</f>
        <v/>
      </c>
      <c r="E1707" s="2">
        <f>'[01_Entry.xlsx]Book'!O1707</f>
        <v/>
      </c>
      <c r="F1707" s="2">
        <f>'[01_Entry.xlsx]Book'!N1707</f>
        <v/>
      </c>
      <c r="G1707" s="3">
        <f>'[01_Entry.xlsx]Book'!L1707</f>
        <v/>
      </c>
      <c r="H1707" s="3">
        <f>'[01_Entry.xlsx]Book'!M1707</f>
        <v/>
      </c>
      <c r="I1707" s="3">
        <f>'[01_Entry.xlsx]Book'!K1707</f>
        <v/>
      </c>
      <c r="J1707" s="3">
        <f>'[01_Entry.xlsx]Book'!P1707</f>
        <v/>
      </c>
      <c r="K1707" s="3">
        <f>'[01_Entry.xlsx]Book'!F1707</f>
        <v/>
      </c>
      <c r="L1707" s="3">
        <f>'[01_Entry.xlsx]Book'!G1707</f>
        <v/>
      </c>
      <c r="M1707" s="3">
        <f>'[01_Entry.xlsx]Book'!I1707</f>
        <v/>
      </c>
      <c r="N1707" s="2">
        <f>IF($A1707="","",MID($A1707,6,2))</f>
        <v>0</v>
      </c>
      <c r="O1707" s="2">
        <f>IF(OR($C1707="",$C1707&lt;&gt;'Inv'!$D$12),"",N(O$1706)+1)</f>
        <v>0</v>
      </c>
    </row>
    <row r="1708" spans="1:15">
      <c r="A1708" s="2">
        <f>'[01_Entry.xlsx]Book'!A1708</f>
        <v/>
      </c>
      <c r="B1708" s="2">
        <f>'[01_Entry.xlsx]Book'!B1708</f>
        <v/>
      </c>
      <c r="C1708" s="2">
        <f>'[01_Entry.xlsx]Book'!D1708</f>
        <v/>
      </c>
      <c r="D1708" s="2">
        <f>'[01_Entry.xlsx]Book'!E1708</f>
        <v/>
      </c>
      <c r="E1708" s="2">
        <f>'[01_Entry.xlsx]Book'!O1708</f>
        <v/>
      </c>
      <c r="F1708" s="2">
        <f>'[01_Entry.xlsx]Book'!N1708</f>
        <v/>
      </c>
      <c r="G1708" s="3">
        <f>'[01_Entry.xlsx]Book'!L1708</f>
        <v/>
      </c>
      <c r="H1708" s="3">
        <f>'[01_Entry.xlsx]Book'!M1708</f>
        <v/>
      </c>
      <c r="I1708" s="3">
        <f>'[01_Entry.xlsx]Book'!K1708</f>
        <v/>
      </c>
      <c r="J1708" s="3">
        <f>'[01_Entry.xlsx]Book'!P1708</f>
        <v/>
      </c>
      <c r="K1708" s="3">
        <f>'[01_Entry.xlsx]Book'!F1708</f>
        <v/>
      </c>
      <c r="L1708" s="3">
        <f>'[01_Entry.xlsx]Book'!G1708</f>
        <v/>
      </c>
      <c r="M1708" s="3">
        <f>'[01_Entry.xlsx]Book'!I1708</f>
        <v/>
      </c>
      <c r="N1708" s="2">
        <f>IF($A1708="","",MID($A1708,6,2))</f>
        <v>0</v>
      </c>
      <c r="O1708" s="2">
        <f>IF(OR($C1708="",$C1708&lt;&gt;'Inv'!$D$12),"",N(O$1707)+1)</f>
        <v>0</v>
      </c>
    </row>
    <row r="1709" spans="1:15">
      <c r="A1709" s="2">
        <f>'[01_Entry.xlsx]Book'!A1709</f>
        <v/>
      </c>
      <c r="B1709" s="2">
        <f>'[01_Entry.xlsx]Book'!B1709</f>
        <v/>
      </c>
      <c r="C1709" s="2">
        <f>'[01_Entry.xlsx]Book'!D1709</f>
        <v/>
      </c>
      <c r="D1709" s="2">
        <f>'[01_Entry.xlsx]Book'!E1709</f>
        <v/>
      </c>
      <c r="E1709" s="2">
        <f>'[01_Entry.xlsx]Book'!O1709</f>
        <v/>
      </c>
      <c r="F1709" s="2">
        <f>'[01_Entry.xlsx]Book'!N1709</f>
        <v/>
      </c>
      <c r="G1709" s="3">
        <f>'[01_Entry.xlsx]Book'!L1709</f>
        <v/>
      </c>
      <c r="H1709" s="3">
        <f>'[01_Entry.xlsx]Book'!M1709</f>
        <v/>
      </c>
      <c r="I1709" s="3">
        <f>'[01_Entry.xlsx]Book'!K1709</f>
        <v/>
      </c>
      <c r="J1709" s="3">
        <f>'[01_Entry.xlsx]Book'!P1709</f>
        <v/>
      </c>
      <c r="K1709" s="3">
        <f>'[01_Entry.xlsx]Book'!F1709</f>
        <v/>
      </c>
      <c r="L1709" s="3">
        <f>'[01_Entry.xlsx]Book'!G1709</f>
        <v/>
      </c>
      <c r="M1709" s="3">
        <f>'[01_Entry.xlsx]Book'!I1709</f>
        <v/>
      </c>
      <c r="N1709" s="2">
        <f>IF($A1709="","",MID($A1709,6,2))</f>
        <v>0</v>
      </c>
      <c r="O1709" s="2">
        <f>IF(OR($C1709="",$C1709&lt;&gt;'Inv'!$D$12),"",N(O$1708)+1)</f>
        <v>0</v>
      </c>
    </row>
    <row r="1710" spans="1:15">
      <c r="A1710" s="2">
        <f>'[01_Entry.xlsx]Book'!A1710</f>
        <v/>
      </c>
      <c r="B1710" s="2">
        <f>'[01_Entry.xlsx]Book'!B1710</f>
        <v/>
      </c>
      <c r="C1710" s="2">
        <f>'[01_Entry.xlsx]Book'!D1710</f>
        <v/>
      </c>
      <c r="D1710" s="2">
        <f>'[01_Entry.xlsx]Book'!E1710</f>
        <v/>
      </c>
      <c r="E1710" s="2">
        <f>'[01_Entry.xlsx]Book'!O1710</f>
        <v/>
      </c>
      <c r="F1710" s="2">
        <f>'[01_Entry.xlsx]Book'!N1710</f>
        <v/>
      </c>
      <c r="G1710" s="3">
        <f>'[01_Entry.xlsx]Book'!L1710</f>
        <v/>
      </c>
      <c r="H1710" s="3">
        <f>'[01_Entry.xlsx]Book'!M1710</f>
        <v/>
      </c>
      <c r="I1710" s="3">
        <f>'[01_Entry.xlsx]Book'!K1710</f>
        <v/>
      </c>
      <c r="J1710" s="3">
        <f>'[01_Entry.xlsx]Book'!P1710</f>
        <v/>
      </c>
      <c r="K1710" s="3">
        <f>'[01_Entry.xlsx]Book'!F1710</f>
        <v/>
      </c>
      <c r="L1710" s="3">
        <f>'[01_Entry.xlsx]Book'!G1710</f>
        <v/>
      </c>
      <c r="M1710" s="3">
        <f>'[01_Entry.xlsx]Book'!I1710</f>
        <v/>
      </c>
      <c r="N1710" s="2">
        <f>IF($A1710="","",MID($A1710,6,2))</f>
        <v>0</v>
      </c>
      <c r="O1710" s="2">
        <f>IF(OR($C1710="",$C1710&lt;&gt;'Inv'!$D$12),"",N(O$1709)+1)</f>
        <v>0</v>
      </c>
    </row>
    <row r="1711" spans="1:15">
      <c r="A1711" s="2">
        <f>'[01_Entry.xlsx]Book'!A1711</f>
        <v/>
      </c>
      <c r="B1711" s="2">
        <f>'[01_Entry.xlsx]Book'!B1711</f>
        <v/>
      </c>
      <c r="C1711" s="2">
        <f>'[01_Entry.xlsx]Book'!D1711</f>
        <v/>
      </c>
      <c r="D1711" s="2">
        <f>'[01_Entry.xlsx]Book'!E1711</f>
        <v/>
      </c>
      <c r="E1711" s="2">
        <f>'[01_Entry.xlsx]Book'!O1711</f>
        <v/>
      </c>
      <c r="F1711" s="2">
        <f>'[01_Entry.xlsx]Book'!N1711</f>
        <v/>
      </c>
      <c r="G1711" s="3">
        <f>'[01_Entry.xlsx]Book'!L1711</f>
        <v/>
      </c>
      <c r="H1711" s="3">
        <f>'[01_Entry.xlsx]Book'!M1711</f>
        <v/>
      </c>
      <c r="I1711" s="3">
        <f>'[01_Entry.xlsx]Book'!K1711</f>
        <v/>
      </c>
      <c r="J1711" s="3">
        <f>'[01_Entry.xlsx]Book'!P1711</f>
        <v/>
      </c>
      <c r="K1711" s="3">
        <f>'[01_Entry.xlsx]Book'!F1711</f>
        <v/>
      </c>
      <c r="L1711" s="3">
        <f>'[01_Entry.xlsx]Book'!G1711</f>
        <v/>
      </c>
      <c r="M1711" s="3">
        <f>'[01_Entry.xlsx]Book'!I1711</f>
        <v/>
      </c>
      <c r="N1711" s="2">
        <f>IF($A1711="","",MID($A1711,6,2))</f>
        <v>0</v>
      </c>
      <c r="O1711" s="2">
        <f>IF(OR($C1711="",$C1711&lt;&gt;'Inv'!$D$12),"",N(O$1710)+1)</f>
        <v>0</v>
      </c>
    </row>
    <row r="1712" spans="1:15">
      <c r="A1712" s="2">
        <f>'[01_Entry.xlsx]Book'!A1712</f>
        <v/>
      </c>
      <c r="B1712" s="2">
        <f>'[01_Entry.xlsx]Book'!B1712</f>
        <v/>
      </c>
      <c r="C1712" s="2">
        <f>'[01_Entry.xlsx]Book'!D1712</f>
        <v/>
      </c>
      <c r="D1712" s="2">
        <f>'[01_Entry.xlsx]Book'!E1712</f>
        <v/>
      </c>
      <c r="E1712" s="2">
        <f>'[01_Entry.xlsx]Book'!O1712</f>
        <v/>
      </c>
      <c r="F1712" s="2">
        <f>'[01_Entry.xlsx]Book'!N1712</f>
        <v/>
      </c>
      <c r="G1712" s="3">
        <f>'[01_Entry.xlsx]Book'!L1712</f>
        <v/>
      </c>
      <c r="H1712" s="3">
        <f>'[01_Entry.xlsx]Book'!M1712</f>
        <v/>
      </c>
      <c r="I1712" s="3">
        <f>'[01_Entry.xlsx]Book'!K1712</f>
        <v/>
      </c>
      <c r="J1712" s="3">
        <f>'[01_Entry.xlsx]Book'!P1712</f>
        <v/>
      </c>
      <c r="K1712" s="3">
        <f>'[01_Entry.xlsx]Book'!F1712</f>
        <v/>
      </c>
      <c r="L1712" s="3">
        <f>'[01_Entry.xlsx]Book'!G1712</f>
        <v/>
      </c>
      <c r="M1712" s="3">
        <f>'[01_Entry.xlsx]Book'!I1712</f>
        <v/>
      </c>
      <c r="N1712" s="2">
        <f>IF($A1712="","",MID($A1712,6,2))</f>
        <v>0</v>
      </c>
      <c r="O1712" s="2">
        <f>IF(OR($C1712="",$C1712&lt;&gt;'Inv'!$D$12),"",N(O$1711)+1)</f>
        <v>0</v>
      </c>
    </row>
    <row r="1713" spans="1:15">
      <c r="A1713" s="2">
        <f>'[01_Entry.xlsx]Book'!A1713</f>
        <v/>
      </c>
      <c r="B1713" s="2">
        <f>'[01_Entry.xlsx]Book'!B1713</f>
        <v/>
      </c>
      <c r="C1713" s="2">
        <f>'[01_Entry.xlsx]Book'!D1713</f>
        <v/>
      </c>
      <c r="D1713" s="2">
        <f>'[01_Entry.xlsx]Book'!E1713</f>
        <v/>
      </c>
      <c r="E1713" s="2">
        <f>'[01_Entry.xlsx]Book'!O1713</f>
        <v/>
      </c>
      <c r="F1713" s="2">
        <f>'[01_Entry.xlsx]Book'!N1713</f>
        <v/>
      </c>
      <c r="G1713" s="3">
        <f>'[01_Entry.xlsx]Book'!L1713</f>
        <v/>
      </c>
      <c r="H1713" s="3">
        <f>'[01_Entry.xlsx]Book'!M1713</f>
        <v/>
      </c>
      <c r="I1713" s="3">
        <f>'[01_Entry.xlsx]Book'!K1713</f>
        <v/>
      </c>
      <c r="J1713" s="3">
        <f>'[01_Entry.xlsx]Book'!P1713</f>
        <v/>
      </c>
      <c r="K1713" s="3">
        <f>'[01_Entry.xlsx]Book'!F1713</f>
        <v/>
      </c>
      <c r="L1713" s="3">
        <f>'[01_Entry.xlsx]Book'!G1713</f>
        <v/>
      </c>
      <c r="M1713" s="3">
        <f>'[01_Entry.xlsx]Book'!I1713</f>
        <v/>
      </c>
      <c r="N1713" s="2">
        <f>IF($A1713="","",MID($A1713,6,2))</f>
        <v>0</v>
      </c>
      <c r="O1713" s="2">
        <f>IF(OR($C1713="",$C1713&lt;&gt;'Inv'!$D$12),"",N(O$1712)+1)</f>
        <v>0</v>
      </c>
    </row>
    <row r="1714" spans="1:15">
      <c r="A1714" s="2">
        <f>'[01_Entry.xlsx]Book'!A1714</f>
        <v/>
      </c>
      <c r="B1714" s="2">
        <f>'[01_Entry.xlsx]Book'!B1714</f>
        <v/>
      </c>
      <c r="C1714" s="2">
        <f>'[01_Entry.xlsx]Book'!D1714</f>
        <v/>
      </c>
      <c r="D1714" s="2">
        <f>'[01_Entry.xlsx]Book'!E1714</f>
        <v/>
      </c>
      <c r="E1714" s="2">
        <f>'[01_Entry.xlsx]Book'!O1714</f>
        <v/>
      </c>
      <c r="F1714" s="2">
        <f>'[01_Entry.xlsx]Book'!N1714</f>
        <v/>
      </c>
      <c r="G1714" s="3">
        <f>'[01_Entry.xlsx]Book'!L1714</f>
        <v/>
      </c>
      <c r="H1714" s="3">
        <f>'[01_Entry.xlsx]Book'!M1714</f>
        <v/>
      </c>
      <c r="I1714" s="3">
        <f>'[01_Entry.xlsx]Book'!K1714</f>
        <v/>
      </c>
      <c r="J1714" s="3">
        <f>'[01_Entry.xlsx]Book'!P1714</f>
        <v/>
      </c>
      <c r="K1714" s="3">
        <f>'[01_Entry.xlsx]Book'!F1714</f>
        <v/>
      </c>
      <c r="L1714" s="3">
        <f>'[01_Entry.xlsx]Book'!G1714</f>
        <v/>
      </c>
      <c r="M1714" s="3">
        <f>'[01_Entry.xlsx]Book'!I1714</f>
        <v/>
      </c>
      <c r="N1714" s="2">
        <f>IF($A1714="","",MID($A1714,6,2))</f>
        <v>0</v>
      </c>
      <c r="O1714" s="2">
        <f>IF(OR($C1714="",$C1714&lt;&gt;'Inv'!$D$12),"",N(O$1713)+1)</f>
        <v>0</v>
      </c>
    </row>
    <row r="1715" spans="1:15">
      <c r="A1715" s="2">
        <f>'[01_Entry.xlsx]Book'!A1715</f>
        <v/>
      </c>
      <c r="B1715" s="2">
        <f>'[01_Entry.xlsx]Book'!B1715</f>
        <v/>
      </c>
      <c r="C1715" s="2">
        <f>'[01_Entry.xlsx]Book'!D1715</f>
        <v/>
      </c>
      <c r="D1715" s="2">
        <f>'[01_Entry.xlsx]Book'!E1715</f>
        <v/>
      </c>
      <c r="E1715" s="2">
        <f>'[01_Entry.xlsx]Book'!O1715</f>
        <v/>
      </c>
      <c r="F1715" s="2">
        <f>'[01_Entry.xlsx]Book'!N1715</f>
        <v/>
      </c>
      <c r="G1715" s="3">
        <f>'[01_Entry.xlsx]Book'!L1715</f>
        <v/>
      </c>
      <c r="H1715" s="3">
        <f>'[01_Entry.xlsx]Book'!M1715</f>
        <v/>
      </c>
      <c r="I1715" s="3">
        <f>'[01_Entry.xlsx]Book'!K1715</f>
        <v/>
      </c>
      <c r="J1715" s="3">
        <f>'[01_Entry.xlsx]Book'!P1715</f>
        <v/>
      </c>
      <c r="K1715" s="3">
        <f>'[01_Entry.xlsx]Book'!F1715</f>
        <v/>
      </c>
      <c r="L1715" s="3">
        <f>'[01_Entry.xlsx]Book'!G1715</f>
        <v/>
      </c>
      <c r="M1715" s="3">
        <f>'[01_Entry.xlsx]Book'!I1715</f>
        <v/>
      </c>
      <c r="N1715" s="2">
        <f>IF($A1715="","",MID($A1715,6,2))</f>
        <v>0</v>
      </c>
      <c r="O1715" s="2">
        <f>IF(OR($C1715="",$C1715&lt;&gt;'Inv'!$D$12),"",N(O$1714)+1)</f>
        <v>0</v>
      </c>
    </row>
    <row r="1716" spans="1:15">
      <c r="A1716" s="2">
        <f>'[01_Entry.xlsx]Book'!A1716</f>
        <v/>
      </c>
      <c r="B1716" s="2">
        <f>'[01_Entry.xlsx]Book'!B1716</f>
        <v/>
      </c>
      <c r="C1716" s="2">
        <f>'[01_Entry.xlsx]Book'!D1716</f>
        <v/>
      </c>
      <c r="D1716" s="2">
        <f>'[01_Entry.xlsx]Book'!E1716</f>
        <v/>
      </c>
      <c r="E1716" s="2">
        <f>'[01_Entry.xlsx]Book'!O1716</f>
        <v/>
      </c>
      <c r="F1716" s="2">
        <f>'[01_Entry.xlsx]Book'!N1716</f>
        <v/>
      </c>
      <c r="G1716" s="3">
        <f>'[01_Entry.xlsx]Book'!L1716</f>
        <v/>
      </c>
      <c r="H1716" s="3">
        <f>'[01_Entry.xlsx]Book'!M1716</f>
        <v/>
      </c>
      <c r="I1716" s="3">
        <f>'[01_Entry.xlsx]Book'!K1716</f>
        <v/>
      </c>
      <c r="J1716" s="3">
        <f>'[01_Entry.xlsx]Book'!P1716</f>
        <v/>
      </c>
      <c r="K1716" s="3">
        <f>'[01_Entry.xlsx]Book'!F1716</f>
        <v/>
      </c>
      <c r="L1716" s="3">
        <f>'[01_Entry.xlsx]Book'!G1716</f>
        <v/>
      </c>
      <c r="M1716" s="3">
        <f>'[01_Entry.xlsx]Book'!I1716</f>
        <v/>
      </c>
      <c r="N1716" s="2">
        <f>IF($A1716="","",MID($A1716,6,2))</f>
        <v>0</v>
      </c>
      <c r="O1716" s="2">
        <f>IF(OR($C1716="",$C1716&lt;&gt;'Inv'!$D$12),"",N(O$1715)+1)</f>
        <v>0</v>
      </c>
    </row>
    <row r="1717" spans="1:15">
      <c r="A1717" s="2">
        <f>'[01_Entry.xlsx]Book'!A1717</f>
        <v/>
      </c>
      <c r="B1717" s="2">
        <f>'[01_Entry.xlsx]Book'!B1717</f>
        <v/>
      </c>
      <c r="C1717" s="2">
        <f>'[01_Entry.xlsx]Book'!D1717</f>
        <v/>
      </c>
      <c r="D1717" s="2">
        <f>'[01_Entry.xlsx]Book'!E1717</f>
        <v/>
      </c>
      <c r="E1717" s="2">
        <f>'[01_Entry.xlsx]Book'!O1717</f>
        <v/>
      </c>
      <c r="F1717" s="2">
        <f>'[01_Entry.xlsx]Book'!N1717</f>
        <v/>
      </c>
      <c r="G1717" s="3">
        <f>'[01_Entry.xlsx]Book'!L1717</f>
        <v/>
      </c>
      <c r="H1717" s="3">
        <f>'[01_Entry.xlsx]Book'!M1717</f>
        <v/>
      </c>
      <c r="I1717" s="3">
        <f>'[01_Entry.xlsx]Book'!K1717</f>
        <v/>
      </c>
      <c r="J1717" s="3">
        <f>'[01_Entry.xlsx]Book'!P1717</f>
        <v/>
      </c>
      <c r="K1717" s="3">
        <f>'[01_Entry.xlsx]Book'!F1717</f>
        <v/>
      </c>
      <c r="L1717" s="3">
        <f>'[01_Entry.xlsx]Book'!G1717</f>
        <v/>
      </c>
      <c r="M1717" s="3">
        <f>'[01_Entry.xlsx]Book'!I1717</f>
        <v/>
      </c>
      <c r="N1717" s="2">
        <f>IF($A1717="","",MID($A1717,6,2))</f>
        <v>0</v>
      </c>
      <c r="O1717" s="2">
        <f>IF(OR($C1717="",$C1717&lt;&gt;'Inv'!$D$12),"",N(O$1716)+1)</f>
        <v>0</v>
      </c>
    </row>
    <row r="1718" spans="1:15">
      <c r="A1718" s="2">
        <f>'[01_Entry.xlsx]Book'!A1718</f>
        <v/>
      </c>
      <c r="B1718" s="2">
        <f>'[01_Entry.xlsx]Book'!B1718</f>
        <v/>
      </c>
      <c r="C1718" s="2">
        <f>'[01_Entry.xlsx]Book'!D1718</f>
        <v/>
      </c>
      <c r="D1718" s="2">
        <f>'[01_Entry.xlsx]Book'!E1718</f>
        <v/>
      </c>
      <c r="E1718" s="2">
        <f>'[01_Entry.xlsx]Book'!O1718</f>
        <v/>
      </c>
      <c r="F1718" s="2">
        <f>'[01_Entry.xlsx]Book'!N1718</f>
        <v/>
      </c>
      <c r="G1718" s="3">
        <f>'[01_Entry.xlsx]Book'!L1718</f>
        <v/>
      </c>
      <c r="H1718" s="3">
        <f>'[01_Entry.xlsx]Book'!M1718</f>
        <v/>
      </c>
      <c r="I1718" s="3">
        <f>'[01_Entry.xlsx]Book'!K1718</f>
        <v/>
      </c>
      <c r="J1718" s="3">
        <f>'[01_Entry.xlsx]Book'!P1718</f>
        <v/>
      </c>
      <c r="K1718" s="3">
        <f>'[01_Entry.xlsx]Book'!F1718</f>
        <v/>
      </c>
      <c r="L1718" s="3">
        <f>'[01_Entry.xlsx]Book'!G1718</f>
        <v/>
      </c>
      <c r="M1718" s="3">
        <f>'[01_Entry.xlsx]Book'!I1718</f>
        <v/>
      </c>
      <c r="N1718" s="2">
        <f>IF($A1718="","",MID($A1718,6,2))</f>
        <v>0</v>
      </c>
      <c r="O1718" s="2">
        <f>IF(OR($C1718="",$C1718&lt;&gt;'Inv'!$D$12),"",N(O$1717)+1)</f>
        <v>0</v>
      </c>
    </row>
    <row r="1719" spans="1:15">
      <c r="A1719" s="2">
        <f>'[01_Entry.xlsx]Book'!A1719</f>
        <v/>
      </c>
      <c r="B1719" s="2">
        <f>'[01_Entry.xlsx]Book'!B1719</f>
        <v/>
      </c>
      <c r="C1719" s="2">
        <f>'[01_Entry.xlsx]Book'!D1719</f>
        <v/>
      </c>
      <c r="D1719" s="2">
        <f>'[01_Entry.xlsx]Book'!E1719</f>
        <v/>
      </c>
      <c r="E1719" s="2">
        <f>'[01_Entry.xlsx]Book'!O1719</f>
        <v/>
      </c>
      <c r="F1719" s="2">
        <f>'[01_Entry.xlsx]Book'!N1719</f>
        <v/>
      </c>
      <c r="G1719" s="3">
        <f>'[01_Entry.xlsx]Book'!L1719</f>
        <v/>
      </c>
      <c r="H1719" s="3">
        <f>'[01_Entry.xlsx]Book'!M1719</f>
        <v/>
      </c>
      <c r="I1719" s="3">
        <f>'[01_Entry.xlsx]Book'!K1719</f>
        <v/>
      </c>
      <c r="J1719" s="3">
        <f>'[01_Entry.xlsx]Book'!P1719</f>
        <v/>
      </c>
      <c r="K1719" s="3">
        <f>'[01_Entry.xlsx]Book'!F1719</f>
        <v/>
      </c>
      <c r="L1719" s="3">
        <f>'[01_Entry.xlsx]Book'!G1719</f>
        <v/>
      </c>
      <c r="M1719" s="3">
        <f>'[01_Entry.xlsx]Book'!I1719</f>
        <v/>
      </c>
      <c r="N1719" s="2">
        <f>IF($A1719="","",MID($A1719,6,2))</f>
        <v>0</v>
      </c>
      <c r="O1719" s="2">
        <f>IF(OR($C1719="",$C1719&lt;&gt;'Inv'!$D$12),"",N(O$1718)+1)</f>
        <v>0</v>
      </c>
    </row>
    <row r="1720" spans="1:15">
      <c r="A1720" s="2">
        <f>'[01_Entry.xlsx]Book'!A1720</f>
        <v/>
      </c>
      <c r="B1720" s="2">
        <f>'[01_Entry.xlsx]Book'!B1720</f>
        <v/>
      </c>
      <c r="C1720" s="2">
        <f>'[01_Entry.xlsx]Book'!D1720</f>
        <v/>
      </c>
      <c r="D1720" s="2">
        <f>'[01_Entry.xlsx]Book'!E1720</f>
        <v/>
      </c>
      <c r="E1720" s="2">
        <f>'[01_Entry.xlsx]Book'!O1720</f>
        <v/>
      </c>
      <c r="F1720" s="2">
        <f>'[01_Entry.xlsx]Book'!N1720</f>
        <v/>
      </c>
      <c r="G1720" s="3">
        <f>'[01_Entry.xlsx]Book'!L1720</f>
        <v/>
      </c>
      <c r="H1720" s="3">
        <f>'[01_Entry.xlsx]Book'!M1720</f>
        <v/>
      </c>
      <c r="I1720" s="3">
        <f>'[01_Entry.xlsx]Book'!K1720</f>
        <v/>
      </c>
      <c r="J1720" s="3">
        <f>'[01_Entry.xlsx]Book'!P1720</f>
        <v/>
      </c>
      <c r="K1720" s="3">
        <f>'[01_Entry.xlsx]Book'!F1720</f>
        <v/>
      </c>
      <c r="L1720" s="3">
        <f>'[01_Entry.xlsx]Book'!G1720</f>
        <v/>
      </c>
      <c r="M1720" s="3">
        <f>'[01_Entry.xlsx]Book'!I1720</f>
        <v/>
      </c>
      <c r="N1720" s="2">
        <f>IF($A1720="","",MID($A1720,6,2))</f>
        <v>0</v>
      </c>
      <c r="O1720" s="2">
        <f>IF(OR($C1720="",$C1720&lt;&gt;'Inv'!$D$12),"",N(O$1719)+1)</f>
        <v>0</v>
      </c>
    </row>
    <row r="1721" spans="1:15">
      <c r="A1721" s="2">
        <f>'[01_Entry.xlsx]Book'!A1721</f>
        <v/>
      </c>
      <c r="B1721" s="2">
        <f>'[01_Entry.xlsx]Book'!B1721</f>
        <v/>
      </c>
      <c r="C1721" s="2">
        <f>'[01_Entry.xlsx]Book'!D1721</f>
        <v/>
      </c>
      <c r="D1721" s="2">
        <f>'[01_Entry.xlsx]Book'!E1721</f>
        <v/>
      </c>
      <c r="E1721" s="2">
        <f>'[01_Entry.xlsx]Book'!O1721</f>
        <v/>
      </c>
      <c r="F1721" s="2">
        <f>'[01_Entry.xlsx]Book'!N1721</f>
        <v/>
      </c>
      <c r="G1721" s="3">
        <f>'[01_Entry.xlsx]Book'!L1721</f>
        <v/>
      </c>
      <c r="H1721" s="3">
        <f>'[01_Entry.xlsx]Book'!M1721</f>
        <v/>
      </c>
      <c r="I1721" s="3">
        <f>'[01_Entry.xlsx]Book'!K1721</f>
        <v/>
      </c>
      <c r="J1721" s="3">
        <f>'[01_Entry.xlsx]Book'!P1721</f>
        <v/>
      </c>
      <c r="K1721" s="3">
        <f>'[01_Entry.xlsx]Book'!F1721</f>
        <v/>
      </c>
      <c r="L1721" s="3">
        <f>'[01_Entry.xlsx]Book'!G1721</f>
        <v/>
      </c>
      <c r="M1721" s="3">
        <f>'[01_Entry.xlsx]Book'!I1721</f>
        <v/>
      </c>
      <c r="N1721" s="2">
        <f>IF($A1721="","",MID($A1721,6,2))</f>
        <v>0</v>
      </c>
      <c r="O1721" s="2">
        <f>IF(OR($C1721="",$C1721&lt;&gt;'Inv'!$D$12),"",N(O$1720)+1)</f>
        <v>0</v>
      </c>
    </row>
    <row r="1722" spans="1:15">
      <c r="A1722" s="2">
        <f>'[01_Entry.xlsx]Book'!A1722</f>
        <v/>
      </c>
      <c r="B1722" s="2">
        <f>'[01_Entry.xlsx]Book'!B1722</f>
        <v/>
      </c>
      <c r="C1722" s="2">
        <f>'[01_Entry.xlsx]Book'!D1722</f>
        <v/>
      </c>
      <c r="D1722" s="2">
        <f>'[01_Entry.xlsx]Book'!E1722</f>
        <v/>
      </c>
      <c r="E1722" s="2">
        <f>'[01_Entry.xlsx]Book'!O1722</f>
        <v/>
      </c>
      <c r="F1722" s="2">
        <f>'[01_Entry.xlsx]Book'!N1722</f>
        <v/>
      </c>
      <c r="G1722" s="3">
        <f>'[01_Entry.xlsx]Book'!L1722</f>
        <v/>
      </c>
      <c r="H1722" s="3">
        <f>'[01_Entry.xlsx]Book'!M1722</f>
        <v/>
      </c>
      <c r="I1722" s="3">
        <f>'[01_Entry.xlsx]Book'!K1722</f>
        <v/>
      </c>
      <c r="J1722" s="3">
        <f>'[01_Entry.xlsx]Book'!P1722</f>
        <v/>
      </c>
      <c r="K1722" s="3">
        <f>'[01_Entry.xlsx]Book'!F1722</f>
        <v/>
      </c>
      <c r="L1722" s="3">
        <f>'[01_Entry.xlsx]Book'!G1722</f>
        <v/>
      </c>
      <c r="M1722" s="3">
        <f>'[01_Entry.xlsx]Book'!I1722</f>
        <v/>
      </c>
      <c r="N1722" s="2">
        <f>IF($A1722="","",MID($A1722,6,2))</f>
        <v>0</v>
      </c>
      <c r="O1722" s="2">
        <f>IF(OR($C1722="",$C1722&lt;&gt;'Inv'!$D$12),"",N(O$1721)+1)</f>
        <v>0</v>
      </c>
    </row>
    <row r="1723" spans="1:15">
      <c r="A1723" s="2">
        <f>'[01_Entry.xlsx]Book'!A1723</f>
        <v/>
      </c>
      <c r="B1723" s="2">
        <f>'[01_Entry.xlsx]Book'!B1723</f>
        <v/>
      </c>
      <c r="C1723" s="2">
        <f>'[01_Entry.xlsx]Book'!D1723</f>
        <v/>
      </c>
      <c r="D1723" s="2">
        <f>'[01_Entry.xlsx]Book'!E1723</f>
        <v/>
      </c>
      <c r="E1723" s="2">
        <f>'[01_Entry.xlsx]Book'!O1723</f>
        <v/>
      </c>
      <c r="F1723" s="2">
        <f>'[01_Entry.xlsx]Book'!N1723</f>
        <v/>
      </c>
      <c r="G1723" s="3">
        <f>'[01_Entry.xlsx]Book'!L1723</f>
        <v/>
      </c>
      <c r="H1723" s="3">
        <f>'[01_Entry.xlsx]Book'!M1723</f>
        <v/>
      </c>
      <c r="I1723" s="3">
        <f>'[01_Entry.xlsx]Book'!K1723</f>
        <v/>
      </c>
      <c r="J1723" s="3">
        <f>'[01_Entry.xlsx]Book'!P1723</f>
        <v/>
      </c>
      <c r="K1723" s="3">
        <f>'[01_Entry.xlsx]Book'!F1723</f>
        <v/>
      </c>
      <c r="L1723" s="3">
        <f>'[01_Entry.xlsx]Book'!G1723</f>
        <v/>
      </c>
      <c r="M1723" s="3">
        <f>'[01_Entry.xlsx]Book'!I1723</f>
        <v/>
      </c>
      <c r="N1723" s="2">
        <f>IF($A1723="","",MID($A1723,6,2))</f>
        <v>0</v>
      </c>
      <c r="O1723" s="2">
        <f>IF(OR($C1723="",$C1723&lt;&gt;'Inv'!$D$12),"",N(O$1722)+1)</f>
        <v>0</v>
      </c>
    </row>
    <row r="1724" spans="1:15">
      <c r="A1724" s="2">
        <f>'[01_Entry.xlsx]Book'!A1724</f>
        <v/>
      </c>
      <c r="B1724" s="2">
        <f>'[01_Entry.xlsx]Book'!B1724</f>
        <v/>
      </c>
      <c r="C1724" s="2">
        <f>'[01_Entry.xlsx]Book'!D1724</f>
        <v/>
      </c>
      <c r="D1724" s="2">
        <f>'[01_Entry.xlsx]Book'!E1724</f>
        <v/>
      </c>
      <c r="E1724" s="2">
        <f>'[01_Entry.xlsx]Book'!O1724</f>
        <v/>
      </c>
      <c r="F1724" s="2">
        <f>'[01_Entry.xlsx]Book'!N1724</f>
        <v/>
      </c>
      <c r="G1724" s="3">
        <f>'[01_Entry.xlsx]Book'!L1724</f>
        <v/>
      </c>
      <c r="H1724" s="3">
        <f>'[01_Entry.xlsx]Book'!M1724</f>
        <v/>
      </c>
      <c r="I1724" s="3">
        <f>'[01_Entry.xlsx]Book'!K1724</f>
        <v/>
      </c>
      <c r="J1724" s="3">
        <f>'[01_Entry.xlsx]Book'!P1724</f>
        <v/>
      </c>
      <c r="K1724" s="3">
        <f>'[01_Entry.xlsx]Book'!F1724</f>
        <v/>
      </c>
      <c r="L1724" s="3">
        <f>'[01_Entry.xlsx]Book'!G1724</f>
        <v/>
      </c>
      <c r="M1724" s="3">
        <f>'[01_Entry.xlsx]Book'!I1724</f>
        <v/>
      </c>
      <c r="N1724" s="2">
        <f>IF($A1724="","",MID($A1724,6,2))</f>
        <v>0</v>
      </c>
      <c r="O1724" s="2">
        <f>IF(OR($C1724="",$C1724&lt;&gt;'Inv'!$D$12),"",N(O$1723)+1)</f>
        <v>0</v>
      </c>
    </row>
    <row r="1725" spans="1:15">
      <c r="A1725" s="2">
        <f>'[01_Entry.xlsx]Book'!A1725</f>
        <v/>
      </c>
      <c r="B1725" s="2">
        <f>'[01_Entry.xlsx]Book'!B1725</f>
        <v/>
      </c>
      <c r="C1725" s="2">
        <f>'[01_Entry.xlsx]Book'!D1725</f>
        <v/>
      </c>
      <c r="D1725" s="2">
        <f>'[01_Entry.xlsx]Book'!E1725</f>
        <v/>
      </c>
      <c r="E1725" s="2">
        <f>'[01_Entry.xlsx]Book'!O1725</f>
        <v/>
      </c>
      <c r="F1725" s="2">
        <f>'[01_Entry.xlsx]Book'!N1725</f>
        <v/>
      </c>
      <c r="G1725" s="3">
        <f>'[01_Entry.xlsx]Book'!L1725</f>
        <v/>
      </c>
      <c r="H1725" s="3">
        <f>'[01_Entry.xlsx]Book'!M1725</f>
        <v/>
      </c>
      <c r="I1725" s="3">
        <f>'[01_Entry.xlsx]Book'!K1725</f>
        <v/>
      </c>
      <c r="J1725" s="3">
        <f>'[01_Entry.xlsx]Book'!P1725</f>
        <v/>
      </c>
      <c r="K1725" s="3">
        <f>'[01_Entry.xlsx]Book'!F1725</f>
        <v/>
      </c>
      <c r="L1725" s="3">
        <f>'[01_Entry.xlsx]Book'!G1725</f>
        <v/>
      </c>
      <c r="M1725" s="3">
        <f>'[01_Entry.xlsx]Book'!I1725</f>
        <v/>
      </c>
      <c r="N1725" s="2">
        <f>IF($A1725="","",MID($A1725,6,2))</f>
        <v>0</v>
      </c>
      <c r="O1725" s="2">
        <f>IF(OR($C1725="",$C1725&lt;&gt;'Inv'!$D$12),"",N(O$1724)+1)</f>
        <v>0</v>
      </c>
    </row>
    <row r="1726" spans="1:15">
      <c r="A1726" s="2">
        <f>'[01_Entry.xlsx]Book'!A1726</f>
        <v/>
      </c>
      <c r="B1726" s="2">
        <f>'[01_Entry.xlsx]Book'!B1726</f>
        <v/>
      </c>
      <c r="C1726" s="2">
        <f>'[01_Entry.xlsx]Book'!D1726</f>
        <v/>
      </c>
      <c r="D1726" s="2">
        <f>'[01_Entry.xlsx]Book'!E1726</f>
        <v/>
      </c>
      <c r="E1726" s="2">
        <f>'[01_Entry.xlsx]Book'!O1726</f>
        <v/>
      </c>
      <c r="F1726" s="2">
        <f>'[01_Entry.xlsx]Book'!N1726</f>
        <v/>
      </c>
      <c r="G1726" s="3">
        <f>'[01_Entry.xlsx]Book'!L1726</f>
        <v/>
      </c>
      <c r="H1726" s="3">
        <f>'[01_Entry.xlsx]Book'!M1726</f>
        <v/>
      </c>
      <c r="I1726" s="3">
        <f>'[01_Entry.xlsx]Book'!K1726</f>
        <v/>
      </c>
      <c r="J1726" s="3">
        <f>'[01_Entry.xlsx]Book'!P1726</f>
        <v/>
      </c>
      <c r="K1726" s="3">
        <f>'[01_Entry.xlsx]Book'!F1726</f>
        <v/>
      </c>
      <c r="L1726" s="3">
        <f>'[01_Entry.xlsx]Book'!G1726</f>
        <v/>
      </c>
      <c r="M1726" s="3">
        <f>'[01_Entry.xlsx]Book'!I1726</f>
        <v/>
      </c>
      <c r="N1726" s="2">
        <f>IF($A1726="","",MID($A1726,6,2))</f>
        <v>0</v>
      </c>
      <c r="O1726" s="2">
        <f>IF(OR($C1726="",$C1726&lt;&gt;'Inv'!$D$12),"",N(O$1725)+1)</f>
        <v>0</v>
      </c>
    </row>
    <row r="1727" spans="1:15">
      <c r="A1727" s="2">
        <f>'[01_Entry.xlsx]Book'!A1727</f>
        <v/>
      </c>
      <c r="B1727" s="2">
        <f>'[01_Entry.xlsx]Book'!B1727</f>
        <v/>
      </c>
      <c r="C1727" s="2">
        <f>'[01_Entry.xlsx]Book'!D1727</f>
        <v/>
      </c>
      <c r="D1727" s="2">
        <f>'[01_Entry.xlsx]Book'!E1727</f>
        <v/>
      </c>
      <c r="E1727" s="2">
        <f>'[01_Entry.xlsx]Book'!O1727</f>
        <v/>
      </c>
      <c r="F1727" s="2">
        <f>'[01_Entry.xlsx]Book'!N1727</f>
        <v/>
      </c>
      <c r="G1727" s="3">
        <f>'[01_Entry.xlsx]Book'!L1727</f>
        <v/>
      </c>
      <c r="H1727" s="3">
        <f>'[01_Entry.xlsx]Book'!M1727</f>
        <v/>
      </c>
      <c r="I1727" s="3">
        <f>'[01_Entry.xlsx]Book'!K1727</f>
        <v/>
      </c>
      <c r="J1727" s="3">
        <f>'[01_Entry.xlsx]Book'!P1727</f>
        <v/>
      </c>
      <c r="K1727" s="3">
        <f>'[01_Entry.xlsx]Book'!F1727</f>
        <v/>
      </c>
      <c r="L1727" s="3">
        <f>'[01_Entry.xlsx]Book'!G1727</f>
        <v/>
      </c>
      <c r="M1727" s="3">
        <f>'[01_Entry.xlsx]Book'!I1727</f>
        <v/>
      </c>
      <c r="N1727" s="2">
        <f>IF($A1727="","",MID($A1727,6,2))</f>
        <v>0</v>
      </c>
      <c r="O1727" s="2">
        <f>IF(OR($C1727="",$C1727&lt;&gt;'Inv'!$D$12),"",N(O$1726)+1)</f>
        <v>0</v>
      </c>
    </row>
    <row r="1728" spans="1:15">
      <c r="A1728" s="2">
        <f>'[01_Entry.xlsx]Book'!A1728</f>
        <v/>
      </c>
      <c r="B1728" s="2">
        <f>'[01_Entry.xlsx]Book'!B1728</f>
        <v/>
      </c>
      <c r="C1728" s="2">
        <f>'[01_Entry.xlsx]Book'!D1728</f>
        <v/>
      </c>
      <c r="D1728" s="2">
        <f>'[01_Entry.xlsx]Book'!E1728</f>
        <v/>
      </c>
      <c r="E1728" s="2">
        <f>'[01_Entry.xlsx]Book'!O1728</f>
        <v/>
      </c>
      <c r="F1728" s="2">
        <f>'[01_Entry.xlsx]Book'!N1728</f>
        <v/>
      </c>
      <c r="G1728" s="3">
        <f>'[01_Entry.xlsx]Book'!L1728</f>
        <v/>
      </c>
      <c r="H1728" s="3">
        <f>'[01_Entry.xlsx]Book'!M1728</f>
        <v/>
      </c>
      <c r="I1728" s="3">
        <f>'[01_Entry.xlsx]Book'!K1728</f>
        <v/>
      </c>
      <c r="J1728" s="3">
        <f>'[01_Entry.xlsx]Book'!P1728</f>
        <v/>
      </c>
      <c r="K1728" s="3">
        <f>'[01_Entry.xlsx]Book'!F1728</f>
        <v/>
      </c>
      <c r="L1728" s="3">
        <f>'[01_Entry.xlsx]Book'!G1728</f>
        <v/>
      </c>
      <c r="M1728" s="3">
        <f>'[01_Entry.xlsx]Book'!I1728</f>
        <v/>
      </c>
      <c r="N1728" s="2">
        <f>IF($A1728="","",MID($A1728,6,2))</f>
        <v>0</v>
      </c>
      <c r="O1728" s="2">
        <f>IF(OR($C1728="",$C1728&lt;&gt;'Inv'!$D$12),"",N(O$1727)+1)</f>
        <v>0</v>
      </c>
    </row>
    <row r="1729" spans="1:15">
      <c r="A1729" s="2">
        <f>'[01_Entry.xlsx]Book'!A1729</f>
        <v/>
      </c>
      <c r="B1729" s="2">
        <f>'[01_Entry.xlsx]Book'!B1729</f>
        <v/>
      </c>
      <c r="C1729" s="2">
        <f>'[01_Entry.xlsx]Book'!D1729</f>
        <v/>
      </c>
      <c r="D1729" s="2">
        <f>'[01_Entry.xlsx]Book'!E1729</f>
        <v/>
      </c>
      <c r="E1729" s="2">
        <f>'[01_Entry.xlsx]Book'!O1729</f>
        <v/>
      </c>
      <c r="F1729" s="2">
        <f>'[01_Entry.xlsx]Book'!N1729</f>
        <v/>
      </c>
      <c r="G1729" s="3">
        <f>'[01_Entry.xlsx]Book'!L1729</f>
        <v/>
      </c>
      <c r="H1729" s="3">
        <f>'[01_Entry.xlsx]Book'!M1729</f>
        <v/>
      </c>
      <c r="I1729" s="3">
        <f>'[01_Entry.xlsx]Book'!K1729</f>
        <v/>
      </c>
      <c r="J1729" s="3">
        <f>'[01_Entry.xlsx]Book'!P1729</f>
        <v/>
      </c>
      <c r="K1729" s="3">
        <f>'[01_Entry.xlsx]Book'!F1729</f>
        <v/>
      </c>
      <c r="L1729" s="3">
        <f>'[01_Entry.xlsx]Book'!G1729</f>
        <v/>
      </c>
      <c r="M1729" s="3">
        <f>'[01_Entry.xlsx]Book'!I1729</f>
        <v/>
      </c>
      <c r="N1729" s="2">
        <f>IF($A1729="","",MID($A1729,6,2))</f>
        <v>0</v>
      </c>
      <c r="O1729" s="2">
        <f>IF(OR($C1729="",$C1729&lt;&gt;'Inv'!$D$12),"",N(O$1728)+1)</f>
        <v>0</v>
      </c>
    </row>
    <row r="1730" spans="1:15">
      <c r="A1730" s="2">
        <f>'[01_Entry.xlsx]Book'!A1730</f>
        <v/>
      </c>
      <c r="B1730" s="2">
        <f>'[01_Entry.xlsx]Book'!B1730</f>
        <v/>
      </c>
      <c r="C1730" s="2">
        <f>'[01_Entry.xlsx]Book'!D1730</f>
        <v/>
      </c>
      <c r="D1730" s="2">
        <f>'[01_Entry.xlsx]Book'!E1730</f>
        <v/>
      </c>
      <c r="E1730" s="2">
        <f>'[01_Entry.xlsx]Book'!O1730</f>
        <v/>
      </c>
      <c r="F1730" s="2">
        <f>'[01_Entry.xlsx]Book'!N1730</f>
        <v/>
      </c>
      <c r="G1730" s="3">
        <f>'[01_Entry.xlsx]Book'!L1730</f>
        <v/>
      </c>
      <c r="H1730" s="3">
        <f>'[01_Entry.xlsx]Book'!M1730</f>
        <v/>
      </c>
      <c r="I1730" s="3">
        <f>'[01_Entry.xlsx]Book'!K1730</f>
        <v/>
      </c>
      <c r="J1730" s="3">
        <f>'[01_Entry.xlsx]Book'!P1730</f>
        <v/>
      </c>
      <c r="K1730" s="3">
        <f>'[01_Entry.xlsx]Book'!F1730</f>
        <v/>
      </c>
      <c r="L1730" s="3">
        <f>'[01_Entry.xlsx]Book'!G1730</f>
        <v/>
      </c>
      <c r="M1730" s="3">
        <f>'[01_Entry.xlsx]Book'!I1730</f>
        <v/>
      </c>
      <c r="N1730" s="2">
        <f>IF($A1730="","",MID($A1730,6,2))</f>
        <v>0</v>
      </c>
      <c r="O1730" s="2">
        <f>IF(OR($C1730="",$C1730&lt;&gt;'Inv'!$D$12),"",N(O$1729)+1)</f>
        <v>0</v>
      </c>
    </row>
    <row r="1731" spans="1:15">
      <c r="A1731" s="2">
        <f>'[01_Entry.xlsx]Book'!A1731</f>
        <v/>
      </c>
      <c r="B1731" s="2">
        <f>'[01_Entry.xlsx]Book'!B1731</f>
        <v/>
      </c>
      <c r="C1731" s="2">
        <f>'[01_Entry.xlsx]Book'!D1731</f>
        <v/>
      </c>
      <c r="D1731" s="2">
        <f>'[01_Entry.xlsx]Book'!E1731</f>
        <v/>
      </c>
      <c r="E1731" s="2">
        <f>'[01_Entry.xlsx]Book'!O1731</f>
        <v/>
      </c>
      <c r="F1731" s="2">
        <f>'[01_Entry.xlsx]Book'!N1731</f>
        <v/>
      </c>
      <c r="G1731" s="3">
        <f>'[01_Entry.xlsx]Book'!L1731</f>
        <v/>
      </c>
      <c r="H1731" s="3">
        <f>'[01_Entry.xlsx]Book'!M1731</f>
        <v/>
      </c>
      <c r="I1731" s="3">
        <f>'[01_Entry.xlsx]Book'!K1731</f>
        <v/>
      </c>
      <c r="J1731" s="3">
        <f>'[01_Entry.xlsx]Book'!P1731</f>
        <v/>
      </c>
      <c r="K1731" s="3">
        <f>'[01_Entry.xlsx]Book'!F1731</f>
        <v/>
      </c>
      <c r="L1731" s="3">
        <f>'[01_Entry.xlsx]Book'!G1731</f>
        <v/>
      </c>
      <c r="M1731" s="3">
        <f>'[01_Entry.xlsx]Book'!I1731</f>
        <v/>
      </c>
      <c r="N1731" s="2">
        <f>IF($A1731="","",MID($A1731,6,2))</f>
        <v>0</v>
      </c>
      <c r="O1731" s="2">
        <f>IF(OR($C1731="",$C1731&lt;&gt;'Inv'!$D$12),"",N(O$1730)+1)</f>
        <v>0</v>
      </c>
    </row>
    <row r="1732" spans="1:15">
      <c r="A1732" s="2">
        <f>'[01_Entry.xlsx]Book'!A1732</f>
        <v/>
      </c>
      <c r="B1732" s="2">
        <f>'[01_Entry.xlsx]Book'!B1732</f>
        <v/>
      </c>
      <c r="C1732" s="2">
        <f>'[01_Entry.xlsx]Book'!D1732</f>
        <v/>
      </c>
      <c r="D1732" s="2">
        <f>'[01_Entry.xlsx]Book'!E1732</f>
        <v/>
      </c>
      <c r="E1732" s="2">
        <f>'[01_Entry.xlsx]Book'!O1732</f>
        <v/>
      </c>
      <c r="F1732" s="2">
        <f>'[01_Entry.xlsx]Book'!N1732</f>
        <v/>
      </c>
      <c r="G1732" s="3">
        <f>'[01_Entry.xlsx]Book'!L1732</f>
        <v/>
      </c>
      <c r="H1732" s="3">
        <f>'[01_Entry.xlsx]Book'!M1732</f>
        <v/>
      </c>
      <c r="I1732" s="3">
        <f>'[01_Entry.xlsx]Book'!K1732</f>
        <v/>
      </c>
      <c r="J1732" s="3">
        <f>'[01_Entry.xlsx]Book'!P1732</f>
        <v/>
      </c>
      <c r="K1732" s="3">
        <f>'[01_Entry.xlsx]Book'!F1732</f>
        <v/>
      </c>
      <c r="L1732" s="3">
        <f>'[01_Entry.xlsx]Book'!G1732</f>
        <v/>
      </c>
      <c r="M1732" s="3">
        <f>'[01_Entry.xlsx]Book'!I1732</f>
        <v/>
      </c>
      <c r="N1732" s="2">
        <f>IF($A1732="","",MID($A1732,6,2))</f>
        <v>0</v>
      </c>
      <c r="O1732" s="2">
        <f>IF(OR($C1732="",$C1732&lt;&gt;'Inv'!$D$12),"",N(O$1731)+1)</f>
        <v>0</v>
      </c>
    </row>
    <row r="1733" spans="1:15">
      <c r="A1733" s="2">
        <f>'[01_Entry.xlsx]Book'!A1733</f>
        <v/>
      </c>
      <c r="B1733" s="2">
        <f>'[01_Entry.xlsx]Book'!B1733</f>
        <v/>
      </c>
      <c r="C1733" s="2">
        <f>'[01_Entry.xlsx]Book'!D1733</f>
        <v/>
      </c>
      <c r="D1733" s="2">
        <f>'[01_Entry.xlsx]Book'!E1733</f>
        <v/>
      </c>
      <c r="E1733" s="2">
        <f>'[01_Entry.xlsx]Book'!O1733</f>
        <v/>
      </c>
      <c r="F1733" s="2">
        <f>'[01_Entry.xlsx]Book'!N1733</f>
        <v/>
      </c>
      <c r="G1733" s="3">
        <f>'[01_Entry.xlsx]Book'!L1733</f>
        <v/>
      </c>
      <c r="H1733" s="3">
        <f>'[01_Entry.xlsx]Book'!M1733</f>
        <v/>
      </c>
      <c r="I1733" s="3">
        <f>'[01_Entry.xlsx]Book'!K1733</f>
        <v/>
      </c>
      <c r="J1733" s="3">
        <f>'[01_Entry.xlsx]Book'!P1733</f>
        <v/>
      </c>
      <c r="K1733" s="3">
        <f>'[01_Entry.xlsx]Book'!F1733</f>
        <v/>
      </c>
      <c r="L1733" s="3">
        <f>'[01_Entry.xlsx]Book'!G1733</f>
        <v/>
      </c>
      <c r="M1733" s="3">
        <f>'[01_Entry.xlsx]Book'!I1733</f>
        <v/>
      </c>
      <c r="N1733" s="2">
        <f>IF($A1733="","",MID($A1733,6,2))</f>
        <v>0</v>
      </c>
      <c r="O1733" s="2">
        <f>IF(OR($C1733="",$C1733&lt;&gt;'Inv'!$D$12),"",N(O$1732)+1)</f>
        <v>0</v>
      </c>
    </row>
    <row r="1734" spans="1:15">
      <c r="A1734" s="2">
        <f>'[01_Entry.xlsx]Book'!A1734</f>
        <v/>
      </c>
      <c r="B1734" s="2">
        <f>'[01_Entry.xlsx]Book'!B1734</f>
        <v/>
      </c>
      <c r="C1734" s="2">
        <f>'[01_Entry.xlsx]Book'!D1734</f>
        <v/>
      </c>
      <c r="D1734" s="2">
        <f>'[01_Entry.xlsx]Book'!E1734</f>
        <v/>
      </c>
      <c r="E1734" s="2">
        <f>'[01_Entry.xlsx]Book'!O1734</f>
        <v/>
      </c>
      <c r="F1734" s="2">
        <f>'[01_Entry.xlsx]Book'!N1734</f>
        <v/>
      </c>
      <c r="G1734" s="3">
        <f>'[01_Entry.xlsx]Book'!L1734</f>
        <v/>
      </c>
      <c r="H1734" s="3">
        <f>'[01_Entry.xlsx]Book'!M1734</f>
        <v/>
      </c>
      <c r="I1734" s="3">
        <f>'[01_Entry.xlsx]Book'!K1734</f>
        <v/>
      </c>
      <c r="J1734" s="3">
        <f>'[01_Entry.xlsx]Book'!P1734</f>
        <v/>
      </c>
      <c r="K1734" s="3">
        <f>'[01_Entry.xlsx]Book'!F1734</f>
        <v/>
      </c>
      <c r="L1734" s="3">
        <f>'[01_Entry.xlsx]Book'!G1734</f>
        <v/>
      </c>
      <c r="M1734" s="3">
        <f>'[01_Entry.xlsx]Book'!I1734</f>
        <v/>
      </c>
      <c r="N1734" s="2">
        <f>IF($A1734="","",MID($A1734,6,2))</f>
        <v>0</v>
      </c>
      <c r="O1734" s="2">
        <f>IF(OR($C1734="",$C1734&lt;&gt;'Inv'!$D$12),"",N(O$1733)+1)</f>
        <v>0</v>
      </c>
    </row>
    <row r="1735" spans="1:15">
      <c r="A1735" s="2">
        <f>'[01_Entry.xlsx]Book'!A1735</f>
        <v/>
      </c>
      <c r="B1735" s="2">
        <f>'[01_Entry.xlsx]Book'!B1735</f>
        <v/>
      </c>
      <c r="C1735" s="2">
        <f>'[01_Entry.xlsx]Book'!D1735</f>
        <v/>
      </c>
      <c r="D1735" s="2">
        <f>'[01_Entry.xlsx]Book'!E1735</f>
        <v/>
      </c>
      <c r="E1735" s="2">
        <f>'[01_Entry.xlsx]Book'!O1735</f>
        <v/>
      </c>
      <c r="F1735" s="2">
        <f>'[01_Entry.xlsx]Book'!N1735</f>
        <v/>
      </c>
      <c r="G1735" s="3">
        <f>'[01_Entry.xlsx]Book'!L1735</f>
        <v/>
      </c>
      <c r="H1735" s="3">
        <f>'[01_Entry.xlsx]Book'!M1735</f>
        <v/>
      </c>
      <c r="I1735" s="3">
        <f>'[01_Entry.xlsx]Book'!K1735</f>
        <v/>
      </c>
      <c r="J1735" s="3">
        <f>'[01_Entry.xlsx]Book'!P1735</f>
        <v/>
      </c>
      <c r="K1735" s="3">
        <f>'[01_Entry.xlsx]Book'!F1735</f>
        <v/>
      </c>
      <c r="L1735" s="3">
        <f>'[01_Entry.xlsx]Book'!G1735</f>
        <v/>
      </c>
      <c r="M1735" s="3">
        <f>'[01_Entry.xlsx]Book'!I1735</f>
        <v/>
      </c>
      <c r="N1735" s="2">
        <f>IF($A1735="","",MID($A1735,6,2))</f>
        <v>0</v>
      </c>
      <c r="O1735" s="2">
        <f>IF(OR($C1735="",$C1735&lt;&gt;'Inv'!$D$12),"",N(O$1734)+1)</f>
        <v>0</v>
      </c>
    </row>
    <row r="1736" spans="1:15">
      <c r="A1736" s="2">
        <f>'[01_Entry.xlsx]Book'!A1736</f>
        <v/>
      </c>
      <c r="B1736" s="2">
        <f>'[01_Entry.xlsx]Book'!B1736</f>
        <v/>
      </c>
      <c r="C1736" s="2">
        <f>'[01_Entry.xlsx]Book'!D1736</f>
        <v/>
      </c>
      <c r="D1736" s="2">
        <f>'[01_Entry.xlsx]Book'!E1736</f>
        <v/>
      </c>
      <c r="E1736" s="2">
        <f>'[01_Entry.xlsx]Book'!O1736</f>
        <v/>
      </c>
      <c r="F1736" s="2">
        <f>'[01_Entry.xlsx]Book'!N1736</f>
        <v/>
      </c>
      <c r="G1736" s="3">
        <f>'[01_Entry.xlsx]Book'!L1736</f>
        <v/>
      </c>
      <c r="H1736" s="3">
        <f>'[01_Entry.xlsx]Book'!M1736</f>
        <v/>
      </c>
      <c r="I1736" s="3">
        <f>'[01_Entry.xlsx]Book'!K1736</f>
        <v/>
      </c>
      <c r="J1736" s="3">
        <f>'[01_Entry.xlsx]Book'!P1736</f>
        <v/>
      </c>
      <c r="K1736" s="3">
        <f>'[01_Entry.xlsx]Book'!F1736</f>
        <v/>
      </c>
      <c r="L1736" s="3">
        <f>'[01_Entry.xlsx]Book'!G1736</f>
        <v/>
      </c>
      <c r="M1736" s="3">
        <f>'[01_Entry.xlsx]Book'!I1736</f>
        <v/>
      </c>
      <c r="N1736" s="2">
        <f>IF($A1736="","",MID($A1736,6,2))</f>
        <v>0</v>
      </c>
      <c r="O1736" s="2">
        <f>IF(OR($C1736="",$C1736&lt;&gt;'Inv'!$D$12),"",N(O$1735)+1)</f>
        <v>0</v>
      </c>
    </row>
    <row r="1737" spans="1:15">
      <c r="A1737" s="2">
        <f>'[01_Entry.xlsx]Book'!A1737</f>
        <v/>
      </c>
      <c r="B1737" s="2">
        <f>'[01_Entry.xlsx]Book'!B1737</f>
        <v/>
      </c>
      <c r="C1737" s="2">
        <f>'[01_Entry.xlsx]Book'!D1737</f>
        <v/>
      </c>
      <c r="D1737" s="2">
        <f>'[01_Entry.xlsx]Book'!E1737</f>
        <v/>
      </c>
      <c r="E1737" s="2">
        <f>'[01_Entry.xlsx]Book'!O1737</f>
        <v/>
      </c>
      <c r="F1737" s="2">
        <f>'[01_Entry.xlsx]Book'!N1737</f>
        <v/>
      </c>
      <c r="G1737" s="3">
        <f>'[01_Entry.xlsx]Book'!L1737</f>
        <v/>
      </c>
      <c r="H1737" s="3">
        <f>'[01_Entry.xlsx]Book'!M1737</f>
        <v/>
      </c>
      <c r="I1737" s="3">
        <f>'[01_Entry.xlsx]Book'!K1737</f>
        <v/>
      </c>
      <c r="J1737" s="3">
        <f>'[01_Entry.xlsx]Book'!P1737</f>
        <v/>
      </c>
      <c r="K1737" s="3">
        <f>'[01_Entry.xlsx]Book'!F1737</f>
        <v/>
      </c>
      <c r="L1737" s="3">
        <f>'[01_Entry.xlsx]Book'!G1737</f>
        <v/>
      </c>
      <c r="M1737" s="3">
        <f>'[01_Entry.xlsx]Book'!I1737</f>
        <v/>
      </c>
      <c r="N1737" s="2">
        <f>IF($A1737="","",MID($A1737,6,2))</f>
        <v>0</v>
      </c>
      <c r="O1737" s="2">
        <f>IF(OR($C1737="",$C1737&lt;&gt;'Inv'!$D$12),"",N(O$1736)+1)</f>
        <v>0</v>
      </c>
    </row>
    <row r="1738" spans="1:15">
      <c r="A1738" s="2">
        <f>'[01_Entry.xlsx]Book'!A1738</f>
        <v/>
      </c>
      <c r="B1738" s="2">
        <f>'[01_Entry.xlsx]Book'!B1738</f>
        <v/>
      </c>
      <c r="C1738" s="2">
        <f>'[01_Entry.xlsx]Book'!D1738</f>
        <v/>
      </c>
      <c r="D1738" s="2">
        <f>'[01_Entry.xlsx]Book'!E1738</f>
        <v/>
      </c>
      <c r="E1738" s="2">
        <f>'[01_Entry.xlsx]Book'!O1738</f>
        <v/>
      </c>
      <c r="F1738" s="2">
        <f>'[01_Entry.xlsx]Book'!N1738</f>
        <v/>
      </c>
      <c r="G1738" s="3">
        <f>'[01_Entry.xlsx]Book'!L1738</f>
        <v/>
      </c>
      <c r="H1738" s="3">
        <f>'[01_Entry.xlsx]Book'!M1738</f>
        <v/>
      </c>
      <c r="I1738" s="3">
        <f>'[01_Entry.xlsx]Book'!K1738</f>
        <v/>
      </c>
      <c r="J1738" s="3">
        <f>'[01_Entry.xlsx]Book'!P1738</f>
        <v/>
      </c>
      <c r="K1738" s="3">
        <f>'[01_Entry.xlsx]Book'!F1738</f>
        <v/>
      </c>
      <c r="L1738" s="3">
        <f>'[01_Entry.xlsx]Book'!G1738</f>
        <v/>
      </c>
      <c r="M1738" s="3">
        <f>'[01_Entry.xlsx]Book'!I1738</f>
        <v/>
      </c>
      <c r="N1738" s="2">
        <f>IF($A1738="","",MID($A1738,6,2))</f>
        <v>0</v>
      </c>
      <c r="O1738" s="2">
        <f>IF(OR($C1738="",$C1738&lt;&gt;'Inv'!$D$12),"",N(O$1737)+1)</f>
        <v>0</v>
      </c>
    </row>
    <row r="1739" spans="1:15">
      <c r="A1739" s="2">
        <f>'[01_Entry.xlsx]Book'!A1739</f>
        <v/>
      </c>
      <c r="B1739" s="2">
        <f>'[01_Entry.xlsx]Book'!B1739</f>
        <v/>
      </c>
      <c r="C1739" s="2">
        <f>'[01_Entry.xlsx]Book'!D1739</f>
        <v/>
      </c>
      <c r="D1739" s="2">
        <f>'[01_Entry.xlsx]Book'!E1739</f>
        <v/>
      </c>
      <c r="E1739" s="2">
        <f>'[01_Entry.xlsx]Book'!O1739</f>
        <v/>
      </c>
      <c r="F1739" s="2">
        <f>'[01_Entry.xlsx]Book'!N1739</f>
        <v/>
      </c>
      <c r="G1739" s="3">
        <f>'[01_Entry.xlsx]Book'!L1739</f>
        <v/>
      </c>
      <c r="H1739" s="3">
        <f>'[01_Entry.xlsx]Book'!M1739</f>
        <v/>
      </c>
      <c r="I1739" s="3">
        <f>'[01_Entry.xlsx]Book'!K1739</f>
        <v/>
      </c>
      <c r="J1739" s="3">
        <f>'[01_Entry.xlsx]Book'!P1739</f>
        <v/>
      </c>
      <c r="K1739" s="3">
        <f>'[01_Entry.xlsx]Book'!F1739</f>
        <v/>
      </c>
      <c r="L1739" s="3">
        <f>'[01_Entry.xlsx]Book'!G1739</f>
        <v/>
      </c>
      <c r="M1739" s="3">
        <f>'[01_Entry.xlsx]Book'!I1739</f>
        <v/>
      </c>
      <c r="N1739" s="2">
        <f>IF($A1739="","",MID($A1739,6,2))</f>
        <v>0</v>
      </c>
      <c r="O1739" s="2">
        <f>IF(OR($C1739="",$C1739&lt;&gt;'Inv'!$D$12),"",N(O$1738)+1)</f>
        <v>0</v>
      </c>
    </row>
    <row r="1740" spans="1:15">
      <c r="A1740" s="2">
        <f>'[01_Entry.xlsx]Book'!A1740</f>
        <v/>
      </c>
      <c r="B1740" s="2">
        <f>'[01_Entry.xlsx]Book'!B1740</f>
        <v/>
      </c>
      <c r="C1740" s="2">
        <f>'[01_Entry.xlsx]Book'!D1740</f>
        <v/>
      </c>
      <c r="D1740" s="2">
        <f>'[01_Entry.xlsx]Book'!E1740</f>
        <v/>
      </c>
      <c r="E1740" s="2">
        <f>'[01_Entry.xlsx]Book'!O1740</f>
        <v/>
      </c>
      <c r="F1740" s="2">
        <f>'[01_Entry.xlsx]Book'!N1740</f>
        <v/>
      </c>
      <c r="G1740" s="3">
        <f>'[01_Entry.xlsx]Book'!L1740</f>
        <v/>
      </c>
      <c r="H1740" s="3">
        <f>'[01_Entry.xlsx]Book'!M1740</f>
        <v/>
      </c>
      <c r="I1740" s="3">
        <f>'[01_Entry.xlsx]Book'!K1740</f>
        <v/>
      </c>
      <c r="J1740" s="3">
        <f>'[01_Entry.xlsx]Book'!P1740</f>
        <v/>
      </c>
      <c r="K1740" s="3">
        <f>'[01_Entry.xlsx]Book'!F1740</f>
        <v/>
      </c>
      <c r="L1740" s="3">
        <f>'[01_Entry.xlsx]Book'!G1740</f>
        <v/>
      </c>
      <c r="M1740" s="3">
        <f>'[01_Entry.xlsx]Book'!I1740</f>
        <v/>
      </c>
      <c r="N1740" s="2">
        <f>IF($A1740="","",MID($A1740,6,2))</f>
        <v>0</v>
      </c>
      <c r="O1740" s="2">
        <f>IF(OR($C1740="",$C1740&lt;&gt;'Inv'!$D$12),"",N(O$1739)+1)</f>
        <v>0</v>
      </c>
    </row>
    <row r="1741" spans="1:15">
      <c r="A1741" s="2">
        <f>'[01_Entry.xlsx]Book'!A1741</f>
        <v/>
      </c>
      <c r="B1741" s="2">
        <f>'[01_Entry.xlsx]Book'!B1741</f>
        <v/>
      </c>
      <c r="C1741" s="2">
        <f>'[01_Entry.xlsx]Book'!D1741</f>
        <v/>
      </c>
      <c r="D1741" s="2">
        <f>'[01_Entry.xlsx]Book'!E1741</f>
        <v/>
      </c>
      <c r="E1741" s="2">
        <f>'[01_Entry.xlsx]Book'!O1741</f>
        <v/>
      </c>
      <c r="F1741" s="2">
        <f>'[01_Entry.xlsx]Book'!N1741</f>
        <v/>
      </c>
      <c r="G1741" s="3">
        <f>'[01_Entry.xlsx]Book'!L1741</f>
        <v/>
      </c>
      <c r="H1741" s="3">
        <f>'[01_Entry.xlsx]Book'!M1741</f>
        <v/>
      </c>
      <c r="I1741" s="3">
        <f>'[01_Entry.xlsx]Book'!K1741</f>
        <v/>
      </c>
      <c r="J1741" s="3">
        <f>'[01_Entry.xlsx]Book'!P1741</f>
        <v/>
      </c>
      <c r="K1741" s="3">
        <f>'[01_Entry.xlsx]Book'!F1741</f>
        <v/>
      </c>
      <c r="L1741" s="3">
        <f>'[01_Entry.xlsx]Book'!G1741</f>
        <v/>
      </c>
      <c r="M1741" s="3">
        <f>'[01_Entry.xlsx]Book'!I1741</f>
        <v/>
      </c>
      <c r="N1741" s="2">
        <f>IF($A1741="","",MID($A1741,6,2))</f>
        <v>0</v>
      </c>
      <c r="O1741" s="2">
        <f>IF(OR($C1741="",$C1741&lt;&gt;'Inv'!$D$12),"",N(O$1740)+1)</f>
        <v>0</v>
      </c>
    </row>
    <row r="1742" spans="1:15">
      <c r="A1742" s="2">
        <f>'[01_Entry.xlsx]Book'!A1742</f>
        <v/>
      </c>
      <c r="B1742" s="2">
        <f>'[01_Entry.xlsx]Book'!B1742</f>
        <v/>
      </c>
      <c r="C1742" s="2">
        <f>'[01_Entry.xlsx]Book'!D1742</f>
        <v/>
      </c>
      <c r="D1742" s="2">
        <f>'[01_Entry.xlsx]Book'!E1742</f>
        <v/>
      </c>
      <c r="E1742" s="2">
        <f>'[01_Entry.xlsx]Book'!O1742</f>
        <v/>
      </c>
      <c r="F1742" s="2">
        <f>'[01_Entry.xlsx]Book'!N1742</f>
        <v/>
      </c>
      <c r="G1742" s="3">
        <f>'[01_Entry.xlsx]Book'!L1742</f>
        <v/>
      </c>
      <c r="H1742" s="3">
        <f>'[01_Entry.xlsx]Book'!M1742</f>
        <v/>
      </c>
      <c r="I1742" s="3">
        <f>'[01_Entry.xlsx]Book'!K1742</f>
        <v/>
      </c>
      <c r="J1742" s="3">
        <f>'[01_Entry.xlsx]Book'!P1742</f>
        <v/>
      </c>
      <c r="K1742" s="3">
        <f>'[01_Entry.xlsx]Book'!F1742</f>
        <v/>
      </c>
      <c r="L1742" s="3">
        <f>'[01_Entry.xlsx]Book'!G1742</f>
        <v/>
      </c>
      <c r="M1742" s="3">
        <f>'[01_Entry.xlsx]Book'!I1742</f>
        <v/>
      </c>
      <c r="N1742" s="2">
        <f>IF($A1742="","",MID($A1742,6,2))</f>
        <v>0</v>
      </c>
      <c r="O1742" s="2">
        <f>IF(OR($C1742="",$C1742&lt;&gt;'Inv'!$D$12),"",N(O$1741)+1)</f>
        <v>0</v>
      </c>
    </row>
    <row r="1743" spans="1:15">
      <c r="A1743" s="2">
        <f>'[01_Entry.xlsx]Book'!A1743</f>
        <v/>
      </c>
      <c r="B1743" s="2">
        <f>'[01_Entry.xlsx]Book'!B1743</f>
        <v/>
      </c>
      <c r="C1743" s="2">
        <f>'[01_Entry.xlsx]Book'!D1743</f>
        <v/>
      </c>
      <c r="D1743" s="2">
        <f>'[01_Entry.xlsx]Book'!E1743</f>
        <v/>
      </c>
      <c r="E1743" s="2">
        <f>'[01_Entry.xlsx]Book'!O1743</f>
        <v/>
      </c>
      <c r="F1743" s="2">
        <f>'[01_Entry.xlsx]Book'!N1743</f>
        <v/>
      </c>
      <c r="G1743" s="3">
        <f>'[01_Entry.xlsx]Book'!L1743</f>
        <v/>
      </c>
      <c r="H1743" s="3">
        <f>'[01_Entry.xlsx]Book'!M1743</f>
        <v/>
      </c>
      <c r="I1743" s="3">
        <f>'[01_Entry.xlsx]Book'!K1743</f>
        <v/>
      </c>
      <c r="J1743" s="3">
        <f>'[01_Entry.xlsx]Book'!P1743</f>
        <v/>
      </c>
      <c r="K1743" s="3">
        <f>'[01_Entry.xlsx]Book'!F1743</f>
        <v/>
      </c>
      <c r="L1743" s="3">
        <f>'[01_Entry.xlsx]Book'!G1743</f>
        <v/>
      </c>
      <c r="M1743" s="3">
        <f>'[01_Entry.xlsx]Book'!I1743</f>
        <v/>
      </c>
      <c r="N1743" s="2">
        <f>IF($A1743="","",MID($A1743,6,2))</f>
        <v>0</v>
      </c>
      <c r="O1743" s="2">
        <f>IF(OR($C1743="",$C1743&lt;&gt;'Inv'!$D$12),"",N(O$1742)+1)</f>
        <v>0</v>
      </c>
    </row>
    <row r="1744" spans="1:15">
      <c r="A1744" s="2">
        <f>'[01_Entry.xlsx]Book'!A1744</f>
        <v/>
      </c>
      <c r="B1744" s="2">
        <f>'[01_Entry.xlsx]Book'!B1744</f>
        <v/>
      </c>
      <c r="C1744" s="2">
        <f>'[01_Entry.xlsx]Book'!D1744</f>
        <v/>
      </c>
      <c r="D1744" s="2">
        <f>'[01_Entry.xlsx]Book'!E1744</f>
        <v/>
      </c>
      <c r="E1744" s="2">
        <f>'[01_Entry.xlsx]Book'!O1744</f>
        <v/>
      </c>
      <c r="F1744" s="2">
        <f>'[01_Entry.xlsx]Book'!N1744</f>
        <v/>
      </c>
      <c r="G1744" s="3">
        <f>'[01_Entry.xlsx]Book'!L1744</f>
        <v/>
      </c>
      <c r="H1744" s="3">
        <f>'[01_Entry.xlsx]Book'!M1744</f>
        <v/>
      </c>
      <c r="I1744" s="3">
        <f>'[01_Entry.xlsx]Book'!K1744</f>
        <v/>
      </c>
      <c r="J1744" s="3">
        <f>'[01_Entry.xlsx]Book'!P1744</f>
        <v/>
      </c>
      <c r="K1744" s="3">
        <f>'[01_Entry.xlsx]Book'!F1744</f>
        <v/>
      </c>
      <c r="L1744" s="3">
        <f>'[01_Entry.xlsx]Book'!G1744</f>
        <v/>
      </c>
      <c r="M1744" s="3">
        <f>'[01_Entry.xlsx]Book'!I1744</f>
        <v/>
      </c>
      <c r="N1744" s="2">
        <f>IF($A1744="","",MID($A1744,6,2))</f>
        <v>0</v>
      </c>
      <c r="O1744" s="2">
        <f>IF(OR($C1744="",$C1744&lt;&gt;'Inv'!$D$12),"",N(O$1743)+1)</f>
        <v>0</v>
      </c>
    </row>
    <row r="1745" spans="1:15">
      <c r="A1745" s="2">
        <f>'[01_Entry.xlsx]Book'!A1745</f>
        <v/>
      </c>
      <c r="B1745" s="2">
        <f>'[01_Entry.xlsx]Book'!B1745</f>
        <v/>
      </c>
      <c r="C1745" s="2">
        <f>'[01_Entry.xlsx]Book'!D1745</f>
        <v/>
      </c>
      <c r="D1745" s="2">
        <f>'[01_Entry.xlsx]Book'!E1745</f>
        <v/>
      </c>
      <c r="E1745" s="2">
        <f>'[01_Entry.xlsx]Book'!O1745</f>
        <v/>
      </c>
      <c r="F1745" s="2">
        <f>'[01_Entry.xlsx]Book'!N1745</f>
        <v/>
      </c>
      <c r="G1745" s="3">
        <f>'[01_Entry.xlsx]Book'!L1745</f>
        <v/>
      </c>
      <c r="H1745" s="3">
        <f>'[01_Entry.xlsx]Book'!M1745</f>
        <v/>
      </c>
      <c r="I1745" s="3">
        <f>'[01_Entry.xlsx]Book'!K1745</f>
        <v/>
      </c>
      <c r="J1745" s="3">
        <f>'[01_Entry.xlsx]Book'!P1745</f>
        <v/>
      </c>
      <c r="K1745" s="3">
        <f>'[01_Entry.xlsx]Book'!F1745</f>
        <v/>
      </c>
      <c r="L1745" s="3">
        <f>'[01_Entry.xlsx]Book'!G1745</f>
        <v/>
      </c>
      <c r="M1745" s="3">
        <f>'[01_Entry.xlsx]Book'!I1745</f>
        <v/>
      </c>
      <c r="N1745" s="2">
        <f>IF($A1745="","",MID($A1745,6,2))</f>
        <v>0</v>
      </c>
      <c r="O1745" s="2">
        <f>IF(OR($C1745="",$C1745&lt;&gt;'Inv'!$D$12),"",N(O$1744)+1)</f>
        <v>0</v>
      </c>
    </row>
    <row r="1746" spans="1:15">
      <c r="A1746" s="2">
        <f>'[01_Entry.xlsx]Book'!A1746</f>
        <v/>
      </c>
      <c r="B1746" s="2">
        <f>'[01_Entry.xlsx]Book'!B1746</f>
        <v/>
      </c>
      <c r="C1746" s="2">
        <f>'[01_Entry.xlsx]Book'!D1746</f>
        <v/>
      </c>
      <c r="D1746" s="2">
        <f>'[01_Entry.xlsx]Book'!E1746</f>
        <v/>
      </c>
      <c r="E1746" s="2">
        <f>'[01_Entry.xlsx]Book'!O1746</f>
        <v/>
      </c>
      <c r="F1746" s="2">
        <f>'[01_Entry.xlsx]Book'!N1746</f>
        <v/>
      </c>
      <c r="G1746" s="3">
        <f>'[01_Entry.xlsx]Book'!L1746</f>
        <v/>
      </c>
      <c r="H1746" s="3">
        <f>'[01_Entry.xlsx]Book'!M1746</f>
        <v/>
      </c>
      <c r="I1746" s="3">
        <f>'[01_Entry.xlsx]Book'!K1746</f>
        <v/>
      </c>
      <c r="J1746" s="3">
        <f>'[01_Entry.xlsx]Book'!P1746</f>
        <v/>
      </c>
      <c r="K1746" s="3">
        <f>'[01_Entry.xlsx]Book'!F1746</f>
        <v/>
      </c>
      <c r="L1746" s="3">
        <f>'[01_Entry.xlsx]Book'!G1746</f>
        <v/>
      </c>
      <c r="M1746" s="3">
        <f>'[01_Entry.xlsx]Book'!I1746</f>
        <v/>
      </c>
      <c r="N1746" s="2">
        <f>IF($A1746="","",MID($A1746,6,2))</f>
        <v>0</v>
      </c>
      <c r="O1746" s="2">
        <f>IF(OR($C1746="",$C1746&lt;&gt;'Inv'!$D$12),"",N(O$1745)+1)</f>
        <v>0</v>
      </c>
    </row>
    <row r="1747" spans="1:15">
      <c r="A1747" s="2">
        <f>'[01_Entry.xlsx]Book'!A1747</f>
        <v/>
      </c>
      <c r="B1747" s="2">
        <f>'[01_Entry.xlsx]Book'!B1747</f>
        <v/>
      </c>
      <c r="C1747" s="2">
        <f>'[01_Entry.xlsx]Book'!D1747</f>
        <v/>
      </c>
      <c r="D1747" s="2">
        <f>'[01_Entry.xlsx]Book'!E1747</f>
        <v/>
      </c>
      <c r="E1747" s="2">
        <f>'[01_Entry.xlsx]Book'!O1747</f>
        <v/>
      </c>
      <c r="F1747" s="2">
        <f>'[01_Entry.xlsx]Book'!N1747</f>
        <v/>
      </c>
      <c r="G1747" s="3">
        <f>'[01_Entry.xlsx]Book'!L1747</f>
        <v/>
      </c>
      <c r="H1747" s="3">
        <f>'[01_Entry.xlsx]Book'!M1747</f>
        <v/>
      </c>
      <c r="I1747" s="3">
        <f>'[01_Entry.xlsx]Book'!K1747</f>
        <v/>
      </c>
      <c r="J1747" s="3">
        <f>'[01_Entry.xlsx]Book'!P1747</f>
        <v/>
      </c>
      <c r="K1747" s="3">
        <f>'[01_Entry.xlsx]Book'!F1747</f>
        <v/>
      </c>
      <c r="L1747" s="3">
        <f>'[01_Entry.xlsx]Book'!G1747</f>
        <v/>
      </c>
      <c r="M1747" s="3">
        <f>'[01_Entry.xlsx]Book'!I1747</f>
        <v/>
      </c>
      <c r="N1747" s="2">
        <f>IF($A1747="","",MID($A1747,6,2))</f>
        <v>0</v>
      </c>
      <c r="O1747" s="2">
        <f>IF(OR($C1747="",$C1747&lt;&gt;'Inv'!$D$12),"",N(O$1746)+1)</f>
        <v>0</v>
      </c>
    </row>
    <row r="1748" spans="1:15">
      <c r="A1748" s="2">
        <f>'[01_Entry.xlsx]Book'!A1748</f>
        <v/>
      </c>
      <c r="B1748" s="2">
        <f>'[01_Entry.xlsx]Book'!B1748</f>
        <v/>
      </c>
      <c r="C1748" s="2">
        <f>'[01_Entry.xlsx]Book'!D1748</f>
        <v/>
      </c>
      <c r="D1748" s="2">
        <f>'[01_Entry.xlsx]Book'!E1748</f>
        <v/>
      </c>
      <c r="E1748" s="2">
        <f>'[01_Entry.xlsx]Book'!O1748</f>
        <v/>
      </c>
      <c r="F1748" s="2">
        <f>'[01_Entry.xlsx]Book'!N1748</f>
        <v/>
      </c>
      <c r="G1748" s="3">
        <f>'[01_Entry.xlsx]Book'!L1748</f>
        <v/>
      </c>
      <c r="H1748" s="3">
        <f>'[01_Entry.xlsx]Book'!M1748</f>
        <v/>
      </c>
      <c r="I1748" s="3">
        <f>'[01_Entry.xlsx]Book'!K1748</f>
        <v/>
      </c>
      <c r="J1748" s="3">
        <f>'[01_Entry.xlsx]Book'!P1748</f>
        <v/>
      </c>
      <c r="K1748" s="3">
        <f>'[01_Entry.xlsx]Book'!F1748</f>
        <v/>
      </c>
      <c r="L1748" s="3">
        <f>'[01_Entry.xlsx]Book'!G1748</f>
        <v/>
      </c>
      <c r="M1748" s="3">
        <f>'[01_Entry.xlsx]Book'!I1748</f>
        <v/>
      </c>
      <c r="N1748" s="2">
        <f>IF($A1748="","",MID($A1748,6,2))</f>
        <v>0</v>
      </c>
      <c r="O1748" s="2">
        <f>IF(OR($C1748="",$C1748&lt;&gt;'Inv'!$D$12),"",N(O$1747)+1)</f>
        <v>0</v>
      </c>
    </row>
    <row r="1749" spans="1:15">
      <c r="A1749" s="2">
        <f>'[01_Entry.xlsx]Book'!A1749</f>
        <v/>
      </c>
      <c r="B1749" s="2">
        <f>'[01_Entry.xlsx]Book'!B1749</f>
        <v/>
      </c>
      <c r="C1749" s="2">
        <f>'[01_Entry.xlsx]Book'!D1749</f>
        <v/>
      </c>
      <c r="D1749" s="2">
        <f>'[01_Entry.xlsx]Book'!E1749</f>
        <v/>
      </c>
      <c r="E1749" s="2">
        <f>'[01_Entry.xlsx]Book'!O1749</f>
        <v/>
      </c>
      <c r="F1749" s="2">
        <f>'[01_Entry.xlsx]Book'!N1749</f>
        <v/>
      </c>
      <c r="G1749" s="3">
        <f>'[01_Entry.xlsx]Book'!L1749</f>
        <v/>
      </c>
      <c r="H1749" s="3">
        <f>'[01_Entry.xlsx]Book'!M1749</f>
        <v/>
      </c>
      <c r="I1749" s="3">
        <f>'[01_Entry.xlsx]Book'!K1749</f>
        <v/>
      </c>
      <c r="J1749" s="3">
        <f>'[01_Entry.xlsx]Book'!P1749</f>
        <v/>
      </c>
      <c r="K1749" s="3">
        <f>'[01_Entry.xlsx]Book'!F1749</f>
        <v/>
      </c>
      <c r="L1749" s="3">
        <f>'[01_Entry.xlsx]Book'!G1749</f>
        <v/>
      </c>
      <c r="M1749" s="3">
        <f>'[01_Entry.xlsx]Book'!I1749</f>
        <v/>
      </c>
      <c r="N1749" s="2">
        <f>IF($A1749="","",MID($A1749,6,2))</f>
        <v>0</v>
      </c>
      <c r="O1749" s="2">
        <f>IF(OR($C1749="",$C1749&lt;&gt;'Inv'!$D$12),"",N(O$1748)+1)</f>
        <v>0</v>
      </c>
    </row>
    <row r="1750" spans="1:15">
      <c r="A1750" s="2">
        <f>'[01_Entry.xlsx]Book'!A1750</f>
        <v/>
      </c>
      <c r="B1750" s="2">
        <f>'[01_Entry.xlsx]Book'!B1750</f>
        <v/>
      </c>
      <c r="C1750" s="2">
        <f>'[01_Entry.xlsx]Book'!D1750</f>
        <v/>
      </c>
      <c r="D1750" s="2">
        <f>'[01_Entry.xlsx]Book'!E1750</f>
        <v/>
      </c>
      <c r="E1750" s="2">
        <f>'[01_Entry.xlsx]Book'!O1750</f>
        <v/>
      </c>
      <c r="F1750" s="2">
        <f>'[01_Entry.xlsx]Book'!N1750</f>
        <v/>
      </c>
      <c r="G1750" s="3">
        <f>'[01_Entry.xlsx]Book'!L1750</f>
        <v/>
      </c>
      <c r="H1750" s="3">
        <f>'[01_Entry.xlsx]Book'!M1750</f>
        <v/>
      </c>
      <c r="I1750" s="3">
        <f>'[01_Entry.xlsx]Book'!K1750</f>
        <v/>
      </c>
      <c r="J1750" s="3">
        <f>'[01_Entry.xlsx]Book'!P1750</f>
        <v/>
      </c>
      <c r="K1750" s="3">
        <f>'[01_Entry.xlsx]Book'!F1750</f>
        <v/>
      </c>
      <c r="L1750" s="3">
        <f>'[01_Entry.xlsx]Book'!G1750</f>
        <v/>
      </c>
      <c r="M1750" s="3">
        <f>'[01_Entry.xlsx]Book'!I1750</f>
        <v/>
      </c>
      <c r="N1750" s="2">
        <f>IF($A1750="","",MID($A1750,6,2))</f>
        <v>0</v>
      </c>
      <c r="O1750" s="2">
        <f>IF(OR($C1750="",$C1750&lt;&gt;'Inv'!$D$12),"",N(O$1749)+1)</f>
        <v>0</v>
      </c>
    </row>
    <row r="1751" spans="1:15">
      <c r="A1751" s="2">
        <f>'[01_Entry.xlsx]Book'!A1751</f>
        <v/>
      </c>
      <c r="B1751" s="2">
        <f>'[01_Entry.xlsx]Book'!B1751</f>
        <v/>
      </c>
      <c r="C1751" s="2">
        <f>'[01_Entry.xlsx]Book'!D1751</f>
        <v/>
      </c>
      <c r="D1751" s="2">
        <f>'[01_Entry.xlsx]Book'!E1751</f>
        <v/>
      </c>
      <c r="E1751" s="2">
        <f>'[01_Entry.xlsx]Book'!O1751</f>
        <v/>
      </c>
      <c r="F1751" s="2">
        <f>'[01_Entry.xlsx]Book'!N1751</f>
        <v/>
      </c>
      <c r="G1751" s="3">
        <f>'[01_Entry.xlsx]Book'!L1751</f>
        <v/>
      </c>
      <c r="H1751" s="3">
        <f>'[01_Entry.xlsx]Book'!M1751</f>
        <v/>
      </c>
      <c r="I1751" s="3">
        <f>'[01_Entry.xlsx]Book'!K1751</f>
        <v/>
      </c>
      <c r="J1751" s="3">
        <f>'[01_Entry.xlsx]Book'!P1751</f>
        <v/>
      </c>
      <c r="K1751" s="3">
        <f>'[01_Entry.xlsx]Book'!F1751</f>
        <v/>
      </c>
      <c r="L1751" s="3">
        <f>'[01_Entry.xlsx]Book'!G1751</f>
        <v/>
      </c>
      <c r="M1751" s="3">
        <f>'[01_Entry.xlsx]Book'!I1751</f>
        <v/>
      </c>
      <c r="N1751" s="2">
        <f>IF($A1751="","",MID($A1751,6,2))</f>
        <v>0</v>
      </c>
      <c r="O1751" s="2">
        <f>IF(OR($C1751="",$C1751&lt;&gt;'Inv'!$D$12),"",N(O$1750)+1)</f>
        <v>0</v>
      </c>
    </row>
    <row r="1752" spans="1:15">
      <c r="A1752" s="2">
        <f>'[01_Entry.xlsx]Book'!A1752</f>
        <v/>
      </c>
      <c r="B1752" s="2">
        <f>'[01_Entry.xlsx]Book'!B1752</f>
        <v/>
      </c>
      <c r="C1752" s="2">
        <f>'[01_Entry.xlsx]Book'!D1752</f>
        <v/>
      </c>
      <c r="D1752" s="2">
        <f>'[01_Entry.xlsx]Book'!E1752</f>
        <v/>
      </c>
      <c r="E1752" s="2">
        <f>'[01_Entry.xlsx]Book'!O1752</f>
        <v/>
      </c>
      <c r="F1752" s="2">
        <f>'[01_Entry.xlsx]Book'!N1752</f>
        <v/>
      </c>
      <c r="G1752" s="3">
        <f>'[01_Entry.xlsx]Book'!L1752</f>
        <v/>
      </c>
      <c r="H1752" s="3">
        <f>'[01_Entry.xlsx]Book'!M1752</f>
        <v/>
      </c>
      <c r="I1752" s="3">
        <f>'[01_Entry.xlsx]Book'!K1752</f>
        <v/>
      </c>
      <c r="J1752" s="3">
        <f>'[01_Entry.xlsx]Book'!P1752</f>
        <v/>
      </c>
      <c r="K1752" s="3">
        <f>'[01_Entry.xlsx]Book'!F1752</f>
        <v/>
      </c>
      <c r="L1752" s="3">
        <f>'[01_Entry.xlsx]Book'!G1752</f>
        <v/>
      </c>
      <c r="M1752" s="3">
        <f>'[01_Entry.xlsx]Book'!I1752</f>
        <v/>
      </c>
      <c r="N1752" s="2">
        <f>IF($A1752="","",MID($A1752,6,2))</f>
        <v>0</v>
      </c>
      <c r="O1752" s="2">
        <f>IF(OR($C1752="",$C1752&lt;&gt;'Inv'!$D$12),"",N(O$1751)+1)</f>
        <v>0</v>
      </c>
    </row>
    <row r="1753" spans="1:15">
      <c r="A1753" s="2">
        <f>'[01_Entry.xlsx]Book'!A1753</f>
        <v/>
      </c>
      <c r="B1753" s="2">
        <f>'[01_Entry.xlsx]Book'!B1753</f>
        <v/>
      </c>
      <c r="C1753" s="2">
        <f>'[01_Entry.xlsx]Book'!D1753</f>
        <v/>
      </c>
      <c r="D1753" s="2">
        <f>'[01_Entry.xlsx]Book'!E1753</f>
        <v/>
      </c>
      <c r="E1753" s="2">
        <f>'[01_Entry.xlsx]Book'!O1753</f>
        <v/>
      </c>
      <c r="F1753" s="2">
        <f>'[01_Entry.xlsx]Book'!N1753</f>
        <v/>
      </c>
      <c r="G1753" s="3">
        <f>'[01_Entry.xlsx]Book'!L1753</f>
        <v/>
      </c>
      <c r="H1753" s="3">
        <f>'[01_Entry.xlsx]Book'!M1753</f>
        <v/>
      </c>
      <c r="I1753" s="3">
        <f>'[01_Entry.xlsx]Book'!K1753</f>
        <v/>
      </c>
      <c r="J1753" s="3">
        <f>'[01_Entry.xlsx]Book'!P1753</f>
        <v/>
      </c>
      <c r="K1753" s="3">
        <f>'[01_Entry.xlsx]Book'!F1753</f>
        <v/>
      </c>
      <c r="L1753" s="3">
        <f>'[01_Entry.xlsx]Book'!G1753</f>
        <v/>
      </c>
      <c r="M1753" s="3">
        <f>'[01_Entry.xlsx]Book'!I1753</f>
        <v/>
      </c>
      <c r="N1753" s="2">
        <f>IF($A1753="","",MID($A1753,6,2))</f>
        <v>0</v>
      </c>
      <c r="O1753" s="2">
        <f>IF(OR($C1753="",$C1753&lt;&gt;'Inv'!$D$12),"",N(O$1752)+1)</f>
        <v>0</v>
      </c>
    </row>
    <row r="1754" spans="1:15">
      <c r="A1754" s="2">
        <f>'[01_Entry.xlsx]Book'!A1754</f>
        <v/>
      </c>
      <c r="B1754" s="2">
        <f>'[01_Entry.xlsx]Book'!B1754</f>
        <v/>
      </c>
      <c r="C1754" s="2">
        <f>'[01_Entry.xlsx]Book'!D1754</f>
        <v/>
      </c>
      <c r="D1754" s="2">
        <f>'[01_Entry.xlsx]Book'!E1754</f>
        <v/>
      </c>
      <c r="E1754" s="2">
        <f>'[01_Entry.xlsx]Book'!O1754</f>
        <v/>
      </c>
      <c r="F1754" s="2">
        <f>'[01_Entry.xlsx]Book'!N1754</f>
        <v/>
      </c>
      <c r="G1754" s="3">
        <f>'[01_Entry.xlsx]Book'!L1754</f>
        <v/>
      </c>
      <c r="H1754" s="3">
        <f>'[01_Entry.xlsx]Book'!M1754</f>
        <v/>
      </c>
      <c r="I1754" s="3">
        <f>'[01_Entry.xlsx]Book'!K1754</f>
        <v/>
      </c>
      <c r="J1754" s="3">
        <f>'[01_Entry.xlsx]Book'!P1754</f>
        <v/>
      </c>
      <c r="K1754" s="3">
        <f>'[01_Entry.xlsx]Book'!F1754</f>
        <v/>
      </c>
      <c r="L1754" s="3">
        <f>'[01_Entry.xlsx]Book'!G1754</f>
        <v/>
      </c>
      <c r="M1754" s="3">
        <f>'[01_Entry.xlsx]Book'!I1754</f>
        <v/>
      </c>
      <c r="N1754" s="2">
        <f>IF($A1754="","",MID($A1754,6,2))</f>
        <v>0</v>
      </c>
      <c r="O1754" s="2">
        <f>IF(OR($C1754="",$C1754&lt;&gt;'Inv'!$D$12),"",N(O$1753)+1)</f>
        <v>0</v>
      </c>
    </row>
    <row r="1755" spans="1:15">
      <c r="A1755" s="2">
        <f>'[01_Entry.xlsx]Book'!A1755</f>
        <v/>
      </c>
      <c r="B1755" s="2">
        <f>'[01_Entry.xlsx]Book'!B1755</f>
        <v/>
      </c>
      <c r="C1755" s="2">
        <f>'[01_Entry.xlsx]Book'!D1755</f>
        <v/>
      </c>
      <c r="D1755" s="2">
        <f>'[01_Entry.xlsx]Book'!E1755</f>
        <v/>
      </c>
      <c r="E1755" s="2">
        <f>'[01_Entry.xlsx]Book'!O1755</f>
        <v/>
      </c>
      <c r="F1755" s="2">
        <f>'[01_Entry.xlsx]Book'!N1755</f>
        <v/>
      </c>
      <c r="G1755" s="3">
        <f>'[01_Entry.xlsx]Book'!L1755</f>
        <v/>
      </c>
      <c r="H1755" s="3">
        <f>'[01_Entry.xlsx]Book'!M1755</f>
        <v/>
      </c>
      <c r="I1755" s="3">
        <f>'[01_Entry.xlsx]Book'!K1755</f>
        <v/>
      </c>
      <c r="J1755" s="3">
        <f>'[01_Entry.xlsx]Book'!P1755</f>
        <v/>
      </c>
      <c r="K1755" s="3">
        <f>'[01_Entry.xlsx]Book'!F1755</f>
        <v/>
      </c>
      <c r="L1755" s="3">
        <f>'[01_Entry.xlsx]Book'!G1755</f>
        <v/>
      </c>
      <c r="M1755" s="3">
        <f>'[01_Entry.xlsx]Book'!I1755</f>
        <v/>
      </c>
      <c r="N1755" s="2">
        <f>IF($A1755="","",MID($A1755,6,2))</f>
        <v>0</v>
      </c>
      <c r="O1755" s="2">
        <f>IF(OR($C1755="",$C1755&lt;&gt;'Inv'!$D$12),"",N(O$1754)+1)</f>
        <v>0</v>
      </c>
    </row>
    <row r="1756" spans="1:15">
      <c r="A1756" s="2">
        <f>'[01_Entry.xlsx]Book'!A1756</f>
        <v/>
      </c>
      <c r="B1756" s="2">
        <f>'[01_Entry.xlsx]Book'!B1756</f>
        <v/>
      </c>
      <c r="C1756" s="2">
        <f>'[01_Entry.xlsx]Book'!D1756</f>
        <v/>
      </c>
      <c r="D1756" s="2">
        <f>'[01_Entry.xlsx]Book'!E1756</f>
        <v/>
      </c>
      <c r="E1756" s="2">
        <f>'[01_Entry.xlsx]Book'!O1756</f>
        <v/>
      </c>
      <c r="F1756" s="2">
        <f>'[01_Entry.xlsx]Book'!N1756</f>
        <v/>
      </c>
      <c r="G1756" s="3">
        <f>'[01_Entry.xlsx]Book'!L1756</f>
        <v/>
      </c>
      <c r="H1756" s="3">
        <f>'[01_Entry.xlsx]Book'!M1756</f>
        <v/>
      </c>
      <c r="I1756" s="3">
        <f>'[01_Entry.xlsx]Book'!K1756</f>
        <v/>
      </c>
      <c r="J1756" s="3">
        <f>'[01_Entry.xlsx]Book'!P1756</f>
        <v/>
      </c>
      <c r="K1756" s="3">
        <f>'[01_Entry.xlsx]Book'!F1756</f>
        <v/>
      </c>
      <c r="L1756" s="3">
        <f>'[01_Entry.xlsx]Book'!G1756</f>
        <v/>
      </c>
      <c r="M1756" s="3">
        <f>'[01_Entry.xlsx]Book'!I1756</f>
        <v/>
      </c>
      <c r="N1756" s="2">
        <f>IF($A1756="","",MID($A1756,6,2))</f>
        <v>0</v>
      </c>
      <c r="O1756" s="2">
        <f>IF(OR($C1756="",$C1756&lt;&gt;'Inv'!$D$12),"",N(O$1755)+1)</f>
        <v>0</v>
      </c>
    </row>
    <row r="1757" spans="1:15">
      <c r="A1757" s="2">
        <f>'[01_Entry.xlsx]Book'!A1757</f>
        <v/>
      </c>
      <c r="B1757" s="2">
        <f>'[01_Entry.xlsx]Book'!B1757</f>
        <v/>
      </c>
      <c r="C1757" s="2">
        <f>'[01_Entry.xlsx]Book'!D1757</f>
        <v/>
      </c>
      <c r="D1757" s="2">
        <f>'[01_Entry.xlsx]Book'!E1757</f>
        <v/>
      </c>
      <c r="E1757" s="2">
        <f>'[01_Entry.xlsx]Book'!O1757</f>
        <v/>
      </c>
      <c r="F1757" s="2">
        <f>'[01_Entry.xlsx]Book'!N1757</f>
        <v/>
      </c>
      <c r="G1757" s="3">
        <f>'[01_Entry.xlsx]Book'!L1757</f>
        <v/>
      </c>
      <c r="H1757" s="3">
        <f>'[01_Entry.xlsx]Book'!M1757</f>
        <v/>
      </c>
      <c r="I1757" s="3">
        <f>'[01_Entry.xlsx]Book'!K1757</f>
        <v/>
      </c>
      <c r="J1757" s="3">
        <f>'[01_Entry.xlsx]Book'!P1757</f>
        <v/>
      </c>
      <c r="K1757" s="3">
        <f>'[01_Entry.xlsx]Book'!F1757</f>
        <v/>
      </c>
      <c r="L1757" s="3">
        <f>'[01_Entry.xlsx]Book'!G1757</f>
        <v/>
      </c>
      <c r="M1757" s="3">
        <f>'[01_Entry.xlsx]Book'!I1757</f>
        <v/>
      </c>
      <c r="N1757" s="2">
        <f>IF($A1757="","",MID($A1757,6,2))</f>
        <v>0</v>
      </c>
      <c r="O1757" s="2">
        <f>IF(OR($C1757="",$C1757&lt;&gt;'Inv'!$D$12),"",N(O$1756)+1)</f>
        <v>0</v>
      </c>
    </row>
    <row r="1758" spans="1:15">
      <c r="A1758" s="2">
        <f>'[01_Entry.xlsx]Book'!A1758</f>
        <v/>
      </c>
      <c r="B1758" s="2">
        <f>'[01_Entry.xlsx]Book'!B1758</f>
        <v/>
      </c>
      <c r="C1758" s="2">
        <f>'[01_Entry.xlsx]Book'!D1758</f>
        <v/>
      </c>
      <c r="D1758" s="2">
        <f>'[01_Entry.xlsx]Book'!E1758</f>
        <v/>
      </c>
      <c r="E1758" s="2">
        <f>'[01_Entry.xlsx]Book'!O1758</f>
        <v/>
      </c>
      <c r="F1758" s="2">
        <f>'[01_Entry.xlsx]Book'!N1758</f>
        <v/>
      </c>
      <c r="G1758" s="3">
        <f>'[01_Entry.xlsx]Book'!L1758</f>
        <v/>
      </c>
      <c r="H1758" s="3">
        <f>'[01_Entry.xlsx]Book'!M1758</f>
        <v/>
      </c>
      <c r="I1758" s="3">
        <f>'[01_Entry.xlsx]Book'!K1758</f>
        <v/>
      </c>
      <c r="J1758" s="3">
        <f>'[01_Entry.xlsx]Book'!P1758</f>
        <v/>
      </c>
      <c r="K1758" s="3">
        <f>'[01_Entry.xlsx]Book'!F1758</f>
        <v/>
      </c>
      <c r="L1758" s="3">
        <f>'[01_Entry.xlsx]Book'!G1758</f>
        <v/>
      </c>
      <c r="M1758" s="3">
        <f>'[01_Entry.xlsx]Book'!I1758</f>
        <v/>
      </c>
      <c r="N1758" s="2">
        <f>IF($A1758="","",MID($A1758,6,2))</f>
        <v>0</v>
      </c>
      <c r="O1758" s="2">
        <f>IF(OR($C1758="",$C1758&lt;&gt;'Inv'!$D$12),"",N(O$1757)+1)</f>
        <v>0</v>
      </c>
    </row>
    <row r="1759" spans="1:15">
      <c r="A1759" s="2">
        <f>'[01_Entry.xlsx]Book'!A1759</f>
        <v/>
      </c>
      <c r="B1759" s="2">
        <f>'[01_Entry.xlsx]Book'!B1759</f>
        <v/>
      </c>
      <c r="C1759" s="2">
        <f>'[01_Entry.xlsx]Book'!D1759</f>
        <v/>
      </c>
      <c r="D1759" s="2">
        <f>'[01_Entry.xlsx]Book'!E1759</f>
        <v/>
      </c>
      <c r="E1759" s="2">
        <f>'[01_Entry.xlsx]Book'!O1759</f>
        <v/>
      </c>
      <c r="F1759" s="2">
        <f>'[01_Entry.xlsx]Book'!N1759</f>
        <v/>
      </c>
      <c r="G1759" s="3">
        <f>'[01_Entry.xlsx]Book'!L1759</f>
        <v/>
      </c>
      <c r="H1759" s="3">
        <f>'[01_Entry.xlsx]Book'!M1759</f>
        <v/>
      </c>
      <c r="I1759" s="3">
        <f>'[01_Entry.xlsx]Book'!K1759</f>
        <v/>
      </c>
      <c r="J1759" s="3">
        <f>'[01_Entry.xlsx]Book'!P1759</f>
        <v/>
      </c>
      <c r="K1759" s="3">
        <f>'[01_Entry.xlsx]Book'!F1759</f>
        <v/>
      </c>
      <c r="L1759" s="3">
        <f>'[01_Entry.xlsx]Book'!G1759</f>
        <v/>
      </c>
      <c r="M1759" s="3">
        <f>'[01_Entry.xlsx]Book'!I1759</f>
        <v/>
      </c>
      <c r="N1759" s="2">
        <f>IF($A1759="","",MID($A1759,6,2))</f>
        <v>0</v>
      </c>
      <c r="O1759" s="2">
        <f>IF(OR($C1759="",$C1759&lt;&gt;'Inv'!$D$12),"",N(O$1758)+1)</f>
        <v>0</v>
      </c>
    </row>
    <row r="1760" spans="1:15">
      <c r="A1760" s="2">
        <f>'[01_Entry.xlsx]Book'!A1760</f>
        <v/>
      </c>
      <c r="B1760" s="2">
        <f>'[01_Entry.xlsx]Book'!B1760</f>
        <v/>
      </c>
      <c r="C1760" s="2">
        <f>'[01_Entry.xlsx]Book'!D1760</f>
        <v/>
      </c>
      <c r="D1760" s="2">
        <f>'[01_Entry.xlsx]Book'!E1760</f>
        <v/>
      </c>
      <c r="E1760" s="2">
        <f>'[01_Entry.xlsx]Book'!O1760</f>
        <v/>
      </c>
      <c r="F1760" s="2">
        <f>'[01_Entry.xlsx]Book'!N1760</f>
        <v/>
      </c>
      <c r="G1760" s="3">
        <f>'[01_Entry.xlsx]Book'!L1760</f>
        <v/>
      </c>
      <c r="H1760" s="3">
        <f>'[01_Entry.xlsx]Book'!M1760</f>
        <v/>
      </c>
      <c r="I1760" s="3">
        <f>'[01_Entry.xlsx]Book'!K1760</f>
        <v/>
      </c>
      <c r="J1760" s="3">
        <f>'[01_Entry.xlsx]Book'!P1760</f>
        <v/>
      </c>
      <c r="K1760" s="3">
        <f>'[01_Entry.xlsx]Book'!F1760</f>
        <v/>
      </c>
      <c r="L1760" s="3">
        <f>'[01_Entry.xlsx]Book'!G1760</f>
        <v/>
      </c>
      <c r="M1760" s="3">
        <f>'[01_Entry.xlsx]Book'!I1760</f>
        <v/>
      </c>
      <c r="N1760" s="2">
        <f>IF($A1760="","",MID($A1760,6,2))</f>
        <v>0</v>
      </c>
      <c r="O1760" s="2">
        <f>IF(OR($C1760="",$C1760&lt;&gt;'Inv'!$D$12),"",N(O$1759)+1)</f>
        <v>0</v>
      </c>
    </row>
    <row r="1761" spans="1:15">
      <c r="A1761" s="2">
        <f>'[01_Entry.xlsx]Book'!A1761</f>
        <v/>
      </c>
      <c r="B1761" s="2">
        <f>'[01_Entry.xlsx]Book'!B1761</f>
        <v/>
      </c>
      <c r="C1761" s="2">
        <f>'[01_Entry.xlsx]Book'!D1761</f>
        <v/>
      </c>
      <c r="D1761" s="2">
        <f>'[01_Entry.xlsx]Book'!E1761</f>
        <v/>
      </c>
      <c r="E1761" s="2">
        <f>'[01_Entry.xlsx]Book'!O1761</f>
        <v/>
      </c>
      <c r="F1761" s="2">
        <f>'[01_Entry.xlsx]Book'!N1761</f>
        <v/>
      </c>
      <c r="G1761" s="3">
        <f>'[01_Entry.xlsx]Book'!L1761</f>
        <v/>
      </c>
      <c r="H1761" s="3">
        <f>'[01_Entry.xlsx]Book'!M1761</f>
        <v/>
      </c>
      <c r="I1761" s="3">
        <f>'[01_Entry.xlsx]Book'!K1761</f>
        <v/>
      </c>
      <c r="J1761" s="3">
        <f>'[01_Entry.xlsx]Book'!P1761</f>
        <v/>
      </c>
      <c r="K1761" s="3">
        <f>'[01_Entry.xlsx]Book'!F1761</f>
        <v/>
      </c>
      <c r="L1761" s="3">
        <f>'[01_Entry.xlsx]Book'!G1761</f>
        <v/>
      </c>
      <c r="M1761" s="3">
        <f>'[01_Entry.xlsx]Book'!I1761</f>
        <v/>
      </c>
      <c r="N1761" s="2">
        <f>IF($A1761="","",MID($A1761,6,2))</f>
        <v>0</v>
      </c>
      <c r="O1761" s="2">
        <f>IF(OR($C1761="",$C1761&lt;&gt;'Inv'!$D$12),"",N(O$1760)+1)</f>
        <v>0</v>
      </c>
    </row>
    <row r="1762" spans="1:15">
      <c r="A1762" s="2">
        <f>'[01_Entry.xlsx]Book'!A1762</f>
        <v/>
      </c>
      <c r="B1762" s="2">
        <f>'[01_Entry.xlsx]Book'!B1762</f>
        <v/>
      </c>
      <c r="C1762" s="2">
        <f>'[01_Entry.xlsx]Book'!D1762</f>
        <v/>
      </c>
      <c r="D1762" s="2">
        <f>'[01_Entry.xlsx]Book'!E1762</f>
        <v/>
      </c>
      <c r="E1762" s="2">
        <f>'[01_Entry.xlsx]Book'!O1762</f>
        <v/>
      </c>
      <c r="F1762" s="2">
        <f>'[01_Entry.xlsx]Book'!N1762</f>
        <v/>
      </c>
      <c r="G1762" s="3">
        <f>'[01_Entry.xlsx]Book'!L1762</f>
        <v/>
      </c>
      <c r="H1762" s="3">
        <f>'[01_Entry.xlsx]Book'!M1762</f>
        <v/>
      </c>
      <c r="I1762" s="3">
        <f>'[01_Entry.xlsx]Book'!K1762</f>
        <v/>
      </c>
      <c r="J1762" s="3">
        <f>'[01_Entry.xlsx]Book'!P1762</f>
        <v/>
      </c>
      <c r="K1762" s="3">
        <f>'[01_Entry.xlsx]Book'!F1762</f>
        <v/>
      </c>
      <c r="L1762" s="3">
        <f>'[01_Entry.xlsx]Book'!G1762</f>
        <v/>
      </c>
      <c r="M1762" s="3">
        <f>'[01_Entry.xlsx]Book'!I1762</f>
        <v/>
      </c>
      <c r="N1762" s="2">
        <f>IF($A1762="","",MID($A1762,6,2))</f>
        <v>0</v>
      </c>
      <c r="O1762" s="2">
        <f>IF(OR($C1762="",$C1762&lt;&gt;'Inv'!$D$12),"",N(O$1761)+1)</f>
        <v>0</v>
      </c>
    </row>
    <row r="1763" spans="1:15">
      <c r="A1763" s="2">
        <f>'[01_Entry.xlsx]Book'!A1763</f>
        <v/>
      </c>
      <c r="B1763" s="2">
        <f>'[01_Entry.xlsx]Book'!B1763</f>
        <v/>
      </c>
      <c r="C1763" s="2">
        <f>'[01_Entry.xlsx]Book'!D1763</f>
        <v/>
      </c>
      <c r="D1763" s="2">
        <f>'[01_Entry.xlsx]Book'!E1763</f>
        <v/>
      </c>
      <c r="E1763" s="2">
        <f>'[01_Entry.xlsx]Book'!O1763</f>
        <v/>
      </c>
      <c r="F1763" s="2">
        <f>'[01_Entry.xlsx]Book'!N1763</f>
        <v/>
      </c>
      <c r="G1763" s="3">
        <f>'[01_Entry.xlsx]Book'!L1763</f>
        <v/>
      </c>
      <c r="H1763" s="3">
        <f>'[01_Entry.xlsx]Book'!M1763</f>
        <v/>
      </c>
      <c r="I1763" s="3">
        <f>'[01_Entry.xlsx]Book'!K1763</f>
        <v/>
      </c>
      <c r="J1763" s="3">
        <f>'[01_Entry.xlsx]Book'!P1763</f>
        <v/>
      </c>
      <c r="K1763" s="3">
        <f>'[01_Entry.xlsx]Book'!F1763</f>
        <v/>
      </c>
      <c r="L1763" s="3">
        <f>'[01_Entry.xlsx]Book'!G1763</f>
        <v/>
      </c>
      <c r="M1763" s="3">
        <f>'[01_Entry.xlsx]Book'!I1763</f>
        <v/>
      </c>
      <c r="N1763" s="2">
        <f>IF($A1763="","",MID($A1763,6,2))</f>
        <v>0</v>
      </c>
      <c r="O1763" s="2">
        <f>IF(OR($C1763="",$C1763&lt;&gt;'Inv'!$D$12),"",N(O$1762)+1)</f>
        <v>0</v>
      </c>
    </row>
    <row r="1764" spans="1:15">
      <c r="A1764" s="2">
        <f>'[01_Entry.xlsx]Book'!A1764</f>
        <v/>
      </c>
      <c r="B1764" s="2">
        <f>'[01_Entry.xlsx]Book'!B1764</f>
        <v/>
      </c>
      <c r="C1764" s="2">
        <f>'[01_Entry.xlsx]Book'!D1764</f>
        <v/>
      </c>
      <c r="D1764" s="2">
        <f>'[01_Entry.xlsx]Book'!E1764</f>
        <v/>
      </c>
      <c r="E1764" s="2">
        <f>'[01_Entry.xlsx]Book'!O1764</f>
        <v/>
      </c>
      <c r="F1764" s="2">
        <f>'[01_Entry.xlsx]Book'!N1764</f>
        <v/>
      </c>
      <c r="G1764" s="3">
        <f>'[01_Entry.xlsx]Book'!L1764</f>
        <v/>
      </c>
      <c r="H1764" s="3">
        <f>'[01_Entry.xlsx]Book'!M1764</f>
        <v/>
      </c>
      <c r="I1764" s="3">
        <f>'[01_Entry.xlsx]Book'!K1764</f>
        <v/>
      </c>
      <c r="J1764" s="3">
        <f>'[01_Entry.xlsx]Book'!P1764</f>
        <v/>
      </c>
      <c r="K1764" s="3">
        <f>'[01_Entry.xlsx]Book'!F1764</f>
        <v/>
      </c>
      <c r="L1764" s="3">
        <f>'[01_Entry.xlsx]Book'!G1764</f>
        <v/>
      </c>
      <c r="M1764" s="3">
        <f>'[01_Entry.xlsx]Book'!I1764</f>
        <v/>
      </c>
      <c r="N1764" s="2">
        <f>IF($A1764="","",MID($A1764,6,2))</f>
        <v>0</v>
      </c>
      <c r="O1764" s="2">
        <f>IF(OR($C1764="",$C1764&lt;&gt;'Inv'!$D$12),"",N(O$1763)+1)</f>
        <v>0</v>
      </c>
    </row>
    <row r="1765" spans="1:15">
      <c r="A1765" s="2">
        <f>'[01_Entry.xlsx]Book'!A1765</f>
        <v/>
      </c>
      <c r="B1765" s="2">
        <f>'[01_Entry.xlsx]Book'!B1765</f>
        <v/>
      </c>
      <c r="C1765" s="2">
        <f>'[01_Entry.xlsx]Book'!D1765</f>
        <v/>
      </c>
      <c r="D1765" s="2">
        <f>'[01_Entry.xlsx]Book'!E1765</f>
        <v/>
      </c>
      <c r="E1765" s="2">
        <f>'[01_Entry.xlsx]Book'!O1765</f>
        <v/>
      </c>
      <c r="F1765" s="2">
        <f>'[01_Entry.xlsx]Book'!N1765</f>
        <v/>
      </c>
      <c r="G1765" s="3">
        <f>'[01_Entry.xlsx]Book'!L1765</f>
        <v/>
      </c>
      <c r="H1765" s="3">
        <f>'[01_Entry.xlsx]Book'!M1765</f>
        <v/>
      </c>
      <c r="I1765" s="3">
        <f>'[01_Entry.xlsx]Book'!K1765</f>
        <v/>
      </c>
      <c r="J1765" s="3">
        <f>'[01_Entry.xlsx]Book'!P1765</f>
        <v/>
      </c>
      <c r="K1765" s="3">
        <f>'[01_Entry.xlsx]Book'!F1765</f>
        <v/>
      </c>
      <c r="L1765" s="3">
        <f>'[01_Entry.xlsx]Book'!G1765</f>
        <v/>
      </c>
      <c r="M1765" s="3">
        <f>'[01_Entry.xlsx]Book'!I1765</f>
        <v/>
      </c>
      <c r="N1765" s="2">
        <f>IF($A1765="","",MID($A1765,6,2))</f>
        <v>0</v>
      </c>
      <c r="O1765" s="2">
        <f>IF(OR($C1765="",$C1765&lt;&gt;'Inv'!$D$12),"",N(O$1764)+1)</f>
        <v>0</v>
      </c>
    </row>
    <row r="1766" spans="1:15">
      <c r="A1766" s="2">
        <f>'[01_Entry.xlsx]Book'!A1766</f>
        <v/>
      </c>
      <c r="B1766" s="2">
        <f>'[01_Entry.xlsx]Book'!B1766</f>
        <v/>
      </c>
      <c r="C1766" s="2">
        <f>'[01_Entry.xlsx]Book'!D1766</f>
        <v/>
      </c>
      <c r="D1766" s="2">
        <f>'[01_Entry.xlsx]Book'!E1766</f>
        <v/>
      </c>
      <c r="E1766" s="2">
        <f>'[01_Entry.xlsx]Book'!O1766</f>
        <v/>
      </c>
      <c r="F1766" s="2">
        <f>'[01_Entry.xlsx]Book'!N1766</f>
        <v/>
      </c>
      <c r="G1766" s="3">
        <f>'[01_Entry.xlsx]Book'!L1766</f>
        <v/>
      </c>
      <c r="H1766" s="3">
        <f>'[01_Entry.xlsx]Book'!M1766</f>
        <v/>
      </c>
      <c r="I1766" s="3">
        <f>'[01_Entry.xlsx]Book'!K1766</f>
        <v/>
      </c>
      <c r="J1766" s="3">
        <f>'[01_Entry.xlsx]Book'!P1766</f>
        <v/>
      </c>
      <c r="K1766" s="3">
        <f>'[01_Entry.xlsx]Book'!F1766</f>
        <v/>
      </c>
      <c r="L1766" s="3">
        <f>'[01_Entry.xlsx]Book'!G1766</f>
        <v/>
      </c>
      <c r="M1766" s="3">
        <f>'[01_Entry.xlsx]Book'!I1766</f>
        <v/>
      </c>
      <c r="N1766" s="2">
        <f>IF($A1766="","",MID($A1766,6,2))</f>
        <v>0</v>
      </c>
      <c r="O1766" s="2">
        <f>IF(OR($C1766="",$C1766&lt;&gt;'Inv'!$D$12),"",N(O$1765)+1)</f>
        <v>0</v>
      </c>
    </row>
    <row r="1767" spans="1:15">
      <c r="A1767" s="2">
        <f>'[01_Entry.xlsx]Book'!A1767</f>
        <v/>
      </c>
      <c r="B1767" s="2">
        <f>'[01_Entry.xlsx]Book'!B1767</f>
        <v/>
      </c>
      <c r="C1767" s="2">
        <f>'[01_Entry.xlsx]Book'!D1767</f>
        <v/>
      </c>
      <c r="D1767" s="2">
        <f>'[01_Entry.xlsx]Book'!E1767</f>
        <v/>
      </c>
      <c r="E1767" s="2">
        <f>'[01_Entry.xlsx]Book'!O1767</f>
        <v/>
      </c>
      <c r="F1767" s="2">
        <f>'[01_Entry.xlsx]Book'!N1767</f>
        <v/>
      </c>
      <c r="G1767" s="3">
        <f>'[01_Entry.xlsx]Book'!L1767</f>
        <v/>
      </c>
      <c r="H1767" s="3">
        <f>'[01_Entry.xlsx]Book'!M1767</f>
        <v/>
      </c>
      <c r="I1767" s="3">
        <f>'[01_Entry.xlsx]Book'!K1767</f>
        <v/>
      </c>
      <c r="J1767" s="3">
        <f>'[01_Entry.xlsx]Book'!P1767</f>
        <v/>
      </c>
      <c r="K1767" s="3">
        <f>'[01_Entry.xlsx]Book'!F1767</f>
        <v/>
      </c>
      <c r="L1767" s="3">
        <f>'[01_Entry.xlsx]Book'!G1767</f>
        <v/>
      </c>
      <c r="M1767" s="3">
        <f>'[01_Entry.xlsx]Book'!I1767</f>
        <v/>
      </c>
      <c r="N1767" s="2">
        <f>IF($A1767="","",MID($A1767,6,2))</f>
        <v>0</v>
      </c>
      <c r="O1767" s="2">
        <f>IF(OR($C1767="",$C1767&lt;&gt;'Inv'!$D$12),"",N(O$1766)+1)</f>
        <v>0</v>
      </c>
    </row>
    <row r="1768" spans="1:15">
      <c r="A1768" s="2">
        <f>'[01_Entry.xlsx]Book'!A1768</f>
        <v/>
      </c>
      <c r="B1768" s="2">
        <f>'[01_Entry.xlsx]Book'!B1768</f>
        <v/>
      </c>
      <c r="C1768" s="2">
        <f>'[01_Entry.xlsx]Book'!D1768</f>
        <v/>
      </c>
      <c r="D1768" s="2">
        <f>'[01_Entry.xlsx]Book'!E1768</f>
        <v/>
      </c>
      <c r="E1768" s="2">
        <f>'[01_Entry.xlsx]Book'!O1768</f>
        <v/>
      </c>
      <c r="F1768" s="2">
        <f>'[01_Entry.xlsx]Book'!N1768</f>
        <v/>
      </c>
      <c r="G1768" s="3">
        <f>'[01_Entry.xlsx]Book'!L1768</f>
        <v/>
      </c>
      <c r="H1768" s="3">
        <f>'[01_Entry.xlsx]Book'!M1768</f>
        <v/>
      </c>
      <c r="I1768" s="3">
        <f>'[01_Entry.xlsx]Book'!K1768</f>
        <v/>
      </c>
      <c r="J1768" s="3">
        <f>'[01_Entry.xlsx]Book'!P1768</f>
        <v/>
      </c>
      <c r="K1768" s="3">
        <f>'[01_Entry.xlsx]Book'!F1768</f>
        <v/>
      </c>
      <c r="L1768" s="3">
        <f>'[01_Entry.xlsx]Book'!G1768</f>
        <v/>
      </c>
      <c r="M1768" s="3">
        <f>'[01_Entry.xlsx]Book'!I1768</f>
        <v/>
      </c>
      <c r="N1768" s="2">
        <f>IF($A1768="","",MID($A1768,6,2))</f>
        <v>0</v>
      </c>
      <c r="O1768" s="2">
        <f>IF(OR($C1768="",$C1768&lt;&gt;'Inv'!$D$12),"",N(O$1767)+1)</f>
        <v>0</v>
      </c>
    </row>
    <row r="1769" spans="1:15">
      <c r="A1769" s="2">
        <f>'[01_Entry.xlsx]Book'!A1769</f>
        <v/>
      </c>
      <c r="B1769" s="2">
        <f>'[01_Entry.xlsx]Book'!B1769</f>
        <v/>
      </c>
      <c r="C1769" s="2">
        <f>'[01_Entry.xlsx]Book'!D1769</f>
        <v/>
      </c>
      <c r="D1769" s="2">
        <f>'[01_Entry.xlsx]Book'!E1769</f>
        <v/>
      </c>
      <c r="E1769" s="2">
        <f>'[01_Entry.xlsx]Book'!O1769</f>
        <v/>
      </c>
      <c r="F1769" s="2">
        <f>'[01_Entry.xlsx]Book'!N1769</f>
        <v/>
      </c>
      <c r="G1769" s="3">
        <f>'[01_Entry.xlsx]Book'!L1769</f>
        <v/>
      </c>
      <c r="H1769" s="3">
        <f>'[01_Entry.xlsx]Book'!M1769</f>
        <v/>
      </c>
      <c r="I1769" s="3">
        <f>'[01_Entry.xlsx]Book'!K1769</f>
        <v/>
      </c>
      <c r="J1769" s="3">
        <f>'[01_Entry.xlsx]Book'!P1769</f>
        <v/>
      </c>
      <c r="K1769" s="3">
        <f>'[01_Entry.xlsx]Book'!F1769</f>
        <v/>
      </c>
      <c r="L1769" s="3">
        <f>'[01_Entry.xlsx]Book'!G1769</f>
        <v/>
      </c>
      <c r="M1769" s="3">
        <f>'[01_Entry.xlsx]Book'!I1769</f>
        <v/>
      </c>
      <c r="N1769" s="2">
        <f>IF($A1769="","",MID($A1769,6,2))</f>
        <v>0</v>
      </c>
      <c r="O1769" s="2">
        <f>IF(OR($C1769="",$C1769&lt;&gt;'Inv'!$D$12),"",N(O$1768)+1)</f>
        <v>0</v>
      </c>
    </row>
    <row r="1770" spans="1:15">
      <c r="A1770" s="2">
        <f>'[01_Entry.xlsx]Book'!A1770</f>
        <v/>
      </c>
      <c r="B1770" s="2">
        <f>'[01_Entry.xlsx]Book'!B1770</f>
        <v/>
      </c>
      <c r="C1770" s="2">
        <f>'[01_Entry.xlsx]Book'!D1770</f>
        <v/>
      </c>
      <c r="D1770" s="2">
        <f>'[01_Entry.xlsx]Book'!E1770</f>
        <v/>
      </c>
      <c r="E1770" s="2">
        <f>'[01_Entry.xlsx]Book'!O1770</f>
        <v/>
      </c>
      <c r="F1770" s="2">
        <f>'[01_Entry.xlsx]Book'!N1770</f>
        <v/>
      </c>
      <c r="G1770" s="3">
        <f>'[01_Entry.xlsx]Book'!L1770</f>
        <v/>
      </c>
      <c r="H1770" s="3">
        <f>'[01_Entry.xlsx]Book'!M1770</f>
        <v/>
      </c>
      <c r="I1770" s="3">
        <f>'[01_Entry.xlsx]Book'!K1770</f>
        <v/>
      </c>
      <c r="J1770" s="3">
        <f>'[01_Entry.xlsx]Book'!P1770</f>
        <v/>
      </c>
      <c r="K1770" s="3">
        <f>'[01_Entry.xlsx]Book'!F1770</f>
        <v/>
      </c>
      <c r="L1770" s="3">
        <f>'[01_Entry.xlsx]Book'!G1770</f>
        <v/>
      </c>
      <c r="M1770" s="3">
        <f>'[01_Entry.xlsx]Book'!I1770</f>
        <v/>
      </c>
      <c r="N1770" s="2">
        <f>IF($A1770="","",MID($A1770,6,2))</f>
        <v>0</v>
      </c>
      <c r="O1770" s="2">
        <f>IF(OR($C1770="",$C1770&lt;&gt;'Inv'!$D$12),"",N(O$1769)+1)</f>
        <v>0</v>
      </c>
    </row>
    <row r="1771" spans="1:15">
      <c r="A1771" s="2">
        <f>'[01_Entry.xlsx]Book'!A1771</f>
        <v/>
      </c>
      <c r="B1771" s="2">
        <f>'[01_Entry.xlsx]Book'!B1771</f>
        <v/>
      </c>
      <c r="C1771" s="2">
        <f>'[01_Entry.xlsx]Book'!D1771</f>
        <v/>
      </c>
      <c r="D1771" s="2">
        <f>'[01_Entry.xlsx]Book'!E1771</f>
        <v/>
      </c>
      <c r="E1771" s="2">
        <f>'[01_Entry.xlsx]Book'!O1771</f>
        <v/>
      </c>
      <c r="F1771" s="2">
        <f>'[01_Entry.xlsx]Book'!N1771</f>
        <v/>
      </c>
      <c r="G1771" s="3">
        <f>'[01_Entry.xlsx]Book'!L1771</f>
        <v/>
      </c>
      <c r="H1771" s="3">
        <f>'[01_Entry.xlsx]Book'!M1771</f>
        <v/>
      </c>
      <c r="I1771" s="3">
        <f>'[01_Entry.xlsx]Book'!K1771</f>
        <v/>
      </c>
      <c r="J1771" s="3">
        <f>'[01_Entry.xlsx]Book'!P1771</f>
        <v/>
      </c>
      <c r="K1771" s="3">
        <f>'[01_Entry.xlsx]Book'!F1771</f>
        <v/>
      </c>
      <c r="L1771" s="3">
        <f>'[01_Entry.xlsx]Book'!G1771</f>
        <v/>
      </c>
      <c r="M1771" s="3">
        <f>'[01_Entry.xlsx]Book'!I1771</f>
        <v/>
      </c>
      <c r="N1771" s="2">
        <f>IF($A1771="","",MID($A1771,6,2))</f>
        <v>0</v>
      </c>
      <c r="O1771" s="2">
        <f>IF(OR($C1771="",$C1771&lt;&gt;'Inv'!$D$12),"",N(O$1770)+1)</f>
        <v>0</v>
      </c>
    </row>
    <row r="1772" spans="1:15">
      <c r="A1772" s="2">
        <f>'[01_Entry.xlsx]Book'!A1772</f>
        <v/>
      </c>
      <c r="B1772" s="2">
        <f>'[01_Entry.xlsx]Book'!B1772</f>
        <v/>
      </c>
      <c r="C1772" s="2">
        <f>'[01_Entry.xlsx]Book'!D1772</f>
        <v/>
      </c>
      <c r="D1772" s="2">
        <f>'[01_Entry.xlsx]Book'!E1772</f>
        <v/>
      </c>
      <c r="E1772" s="2">
        <f>'[01_Entry.xlsx]Book'!O1772</f>
        <v/>
      </c>
      <c r="F1772" s="2">
        <f>'[01_Entry.xlsx]Book'!N1772</f>
        <v/>
      </c>
      <c r="G1772" s="3">
        <f>'[01_Entry.xlsx]Book'!L1772</f>
        <v/>
      </c>
      <c r="H1772" s="3">
        <f>'[01_Entry.xlsx]Book'!M1772</f>
        <v/>
      </c>
      <c r="I1772" s="3">
        <f>'[01_Entry.xlsx]Book'!K1772</f>
        <v/>
      </c>
      <c r="J1772" s="3">
        <f>'[01_Entry.xlsx]Book'!P1772</f>
        <v/>
      </c>
      <c r="K1772" s="3">
        <f>'[01_Entry.xlsx]Book'!F1772</f>
        <v/>
      </c>
      <c r="L1772" s="3">
        <f>'[01_Entry.xlsx]Book'!G1772</f>
        <v/>
      </c>
      <c r="M1772" s="3">
        <f>'[01_Entry.xlsx]Book'!I1772</f>
        <v/>
      </c>
      <c r="N1772" s="2">
        <f>IF($A1772="","",MID($A1772,6,2))</f>
        <v>0</v>
      </c>
      <c r="O1772" s="2">
        <f>IF(OR($C1772="",$C1772&lt;&gt;'Inv'!$D$12),"",N(O$1771)+1)</f>
        <v>0</v>
      </c>
    </row>
    <row r="1773" spans="1:15">
      <c r="A1773" s="2">
        <f>'[01_Entry.xlsx]Book'!A1773</f>
        <v/>
      </c>
      <c r="B1773" s="2">
        <f>'[01_Entry.xlsx]Book'!B1773</f>
        <v/>
      </c>
      <c r="C1773" s="2">
        <f>'[01_Entry.xlsx]Book'!D1773</f>
        <v/>
      </c>
      <c r="D1773" s="2">
        <f>'[01_Entry.xlsx]Book'!E1773</f>
        <v/>
      </c>
      <c r="E1773" s="2">
        <f>'[01_Entry.xlsx]Book'!O1773</f>
        <v/>
      </c>
      <c r="F1773" s="2">
        <f>'[01_Entry.xlsx]Book'!N1773</f>
        <v/>
      </c>
      <c r="G1773" s="3">
        <f>'[01_Entry.xlsx]Book'!L1773</f>
        <v/>
      </c>
      <c r="H1773" s="3">
        <f>'[01_Entry.xlsx]Book'!M1773</f>
        <v/>
      </c>
      <c r="I1773" s="3">
        <f>'[01_Entry.xlsx]Book'!K1773</f>
        <v/>
      </c>
      <c r="J1773" s="3">
        <f>'[01_Entry.xlsx]Book'!P1773</f>
        <v/>
      </c>
      <c r="K1773" s="3">
        <f>'[01_Entry.xlsx]Book'!F1773</f>
        <v/>
      </c>
      <c r="L1773" s="3">
        <f>'[01_Entry.xlsx]Book'!G1773</f>
        <v/>
      </c>
      <c r="M1773" s="3">
        <f>'[01_Entry.xlsx]Book'!I1773</f>
        <v/>
      </c>
      <c r="N1773" s="2">
        <f>IF($A1773="","",MID($A1773,6,2))</f>
        <v>0</v>
      </c>
      <c r="O1773" s="2">
        <f>IF(OR($C1773="",$C1773&lt;&gt;'Inv'!$D$12),"",N(O$1772)+1)</f>
        <v>0</v>
      </c>
    </row>
    <row r="1774" spans="1:15">
      <c r="A1774" s="2">
        <f>'[01_Entry.xlsx]Book'!A1774</f>
        <v/>
      </c>
      <c r="B1774" s="2">
        <f>'[01_Entry.xlsx]Book'!B1774</f>
        <v/>
      </c>
      <c r="C1774" s="2">
        <f>'[01_Entry.xlsx]Book'!D1774</f>
        <v/>
      </c>
      <c r="D1774" s="2">
        <f>'[01_Entry.xlsx]Book'!E1774</f>
        <v/>
      </c>
      <c r="E1774" s="2">
        <f>'[01_Entry.xlsx]Book'!O1774</f>
        <v/>
      </c>
      <c r="F1774" s="2">
        <f>'[01_Entry.xlsx]Book'!N1774</f>
        <v/>
      </c>
      <c r="G1774" s="3">
        <f>'[01_Entry.xlsx]Book'!L1774</f>
        <v/>
      </c>
      <c r="H1774" s="3">
        <f>'[01_Entry.xlsx]Book'!M1774</f>
        <v/>
      </c>
      <c r="I1774" s="3">
        <f>'[01_Entry.xlsx]Book'!K1774</f>
        <v/>
      </c>
      <c r="J1774" s="3">
        <f>'[01_Entry.xlsx]Book'!P1774</f>
        <v/>
      </c>
      <c r="K1774" s="3">
        <f>'[01_Entry.xlsx]Book'!F1774</f>
        <v/>
      </c>
      <c r="L1774" s="3">
        <f>'[01_Entry.xlsx]Book'!G1774</f>
        <v/>
      </c>
      <c r="M1774" s="3">
        <f>'[01_Entry.xlsx]Book'!I1774</f>
        <v/>
      </c>
      <c r="N1774" s="2">
        <f>IF($A1774="","",MID($A1774,6,2))</f>
        <v>0</v>
      </c>
      <c r="O1774" s="2">
        <f>IF(OR($C1774="",$C1774&lt;&gt;'Inv'!$D$12),"",N(O$1773)+1)</f>
        <v>0</v>
      </c>
    </row>
    <row r="1775" spans="1:15">
      <c r="A1775" s="2">
        <f>'[01_Entry.xlsx]Book'!A1775</f>
        <v/>
      </c>
      <c r="B1775" s="2">
        <f>'[01_Entry.xlsx]Book'!B1775</f>
        <v/>
      </c>
      <c r="C1775" s="2">
        <f>'[01_Entry.xlsx]Book'!D1775</f>
        <v/>
      </c>
      <c r="D1775" s="2">
        <f>'[01_Entry.xlsx]Book'!E1775</f>
        <v/>
      </c>
      <c r="E1775" s="2">
        <f>'[01_Entry.xlsx]Book'!O1775</f>
        <v/>
      </c>
      <c r="F1775" s="2">
        <f>'[01_Entry.xlsx]Book'!N1775</f>
        <v/>
      </c>
      <c r="G1775" s="3">
        <f>'[01_Entry.xlsx]Book'!L1775</f>
        <v/>
      </c>
      <c r="H1775" s="3">
        <f>'[01_Entry.xlsx]Book'!M1775</f>
        <v/>
      </c>
      <c r="I1775" s="3">
        <f>'[01_Entry.xlsx]Book'!K1775</f>
        <v/>
      </c>
      <c r="J1775" s="3">
        <f>'[01_Entry.xlsx]Book'!P1775</f>
        <v/>
      </c>
      <c r="K1775" s="3">
        <f>'[01_Entry.xlsx]Book'!F1775</f>
        <v/>
      </c>
      <c r="L1775" s="3">
        <f>'[01_Entry.xlsx]Book'!G1775</f>
        <v/>
      </c>
      <c r="M1775" s="3">
        <f>'[01_Entry.xlsx]Book'!I1775</f>
        <v/>
      </c>
      <c r="N1775" s="2">
        <f>IF($A1775="","",MID($A1775,6,2))</f>
        <v>0</v>
      </c>
      <c r="O1775" s="2">
        <f>IF(OR($C1775="",$C1775&lt;&gt;'Inv'!$D$12),"",N(O$1774)+1)</f>
        <v>0</v>
      </c>
    </row>
    <row r="1776" spans="1:15">
      <c r="A1776" s="2">
        <f>'[01_Entry.xlsx]Book'!A1776</f>
        <v/>
      </c>
      <c r="B1776" s="2">
        <f>'[01_Entry.xlsx]Book'!B1776</f>
        <v/>
      </c>
      <c r="C1776" s="2">
        <f>'[01_Entry.xlsx]Book'!D1776</f>
        <v/>
      </c>
      <c r="D1776" s="2">
        <f>'[01_Entry.xlsx]Book'!E1776</f>
        <v/>
      </c>
      <c r="E1776" s="2">
        <f>'[01_Entry.xlsx]Book'!O1776</f>
        <v/>
      </c>
      <c r="F1776" s="2">
        <f>'[01_Entry.xlsx]Book'!N1776</f>
        <v/>
      </c>
      <c r="G1776" s="3">
        <f>'[01_Entry.xlsx]Book'!L1776</f>
        <v/>
      </c>
      <c r="H1776" s="3">
        <f>'[01_Entry.xlsx]Book'!M1776</f>
        <v/>
      </c>
      <c r="I1776" s="3">
        <f>'[01_Entry.xlsx]Book'!K1776</f>
        <v/>
      </c>
      <c r="J1776" s="3">
        <f>'[01_Entry.xlsx]Book'!P1776</f>
        <v/>
      </c>
      <c r="K1776" s="3">
        <f>'[01_Entry.xlsx]Book'!F1776</f>
        <v/>
      </c>
      <c r="L1776" s="3">
        <f>'[01_Entry.xlsx]Book'!G1776</f>
        <v/>
      </c>
      <c r="M1776" s="3">
        <f>'[01_Entry.xlsx]Book'!I1776</f>
        <v/>
      </c>
      <c r="N1776" s="2">
        <f>IF($A1776="","",MID($A1776,6,2))</f>
        <v>0</v>
      </c>
      <c r="O1776" s="2">
        <f>IF(OR($C1776="",$C1776&lt;&gt;'Inv'!$D$12),"",N(O$1775)+1)</f>
        <v>0</v>
      </c>
    </row>
    <row r="1777" spans="1:15">
      <c r="A1777" s="2">
        <f>'[01_Entry.xlsx]Book'!A1777</f>
        <v/>
      </c>
      <c r="B1777" s="2">
        <f>'[01_Entry.xlsx]Book'!B1777</f>
        <v/>
      </c>
      <c r="C1777" s="2">
        <f>'[01_Entry.xlsx]Book'!D1777</f>
        <v/>
      </c>
      <c r="D1777" s="2">
        <f>'[01_Entry.xlsx]Book'!E1777</f>
        <v/>
      </c>
      <c r="E1777" s="2">
        <f>'[01_Entry.xlsx]Book'!O1777</f>
        <v/>
      </c>
      <c r="F1777" s="2">
        <f>'[01_Entry.xlsx]Book'!N1777</f>
        <v/>
      </c>
      <c r="G1777" s="3">
        <f>'[01_Entry.xlsx]Book'!L1777</f>
        <v/>
      </c>
      <c r="H1777" s="3">
        <f>'[01_Entry.xlsx]Book'!M1777</f>
        <v/>
      </c>
      <c r="I1777" s="3">
        <f>'[01_Entry.xlsx]Book'!K1777</f>
        <v/>
      </c>
      <c r="J1777" s="3">
        <f>'[01_Entry.xlsx]Book'!P1777</f>
        <v/>
      </c>
      <c r="K1777" s="3">
        <f>'[01_Entry.xlsx]Book'!F1777</f>
        <v/>
      </c>
      <c r="L1777" s="3">
        <f>'[01_Entry.xlsx]Book'!G1777</f>
        <v/>
      </c>
      <c r="M1777" s="3">
        <f>'[01_Entry.xlsx]Book'!I1777</f>
        <v/>
      </c>
      <c r="N1777" s="2">
        <f>IF($A1777="","",MID($A1777,6,2))</f>
        <v>0</v>
      </c>
      <c r="O1777" s="2">
        <f>IF(OR($C1777="",$C1777&lt;&gt;'Inv'!$D$12),"",N(O$1776)+1)</f>
        <v>0</v>
      </c>
    </row>
    <row r="1778" spans="1:15">
      <c r="A1778" s="2">
        <f>'[01_Entry.xlsx]Book'!A1778</f>
        <v/>
      </c>
      <c r="B1778" s="2">
        <f>'[01_Entry.xlsx]Book'!B1778</f>
        <v/>
      </c>
      <c r="C1778" s="2">
        <f>'[01_Entry.xlsx]Book'!D1778</f>
        <v/>
      </c>
      <c r="D1778" s="2">
        <f>'[01_Entry.xlsx]Book'!E1778</f>
        <v/>
      </c>
      <c r="E1778" s="2">
        <f>'[01_Entry.xlsx]Book'!O1778</f>
        <v/>
      </c>
      <c r="F1778" s="2">
        <f>'[01_Entry.xlsx]Book'!N1778</f>
        <v/>
      </c>
      <c r="G1778" s="3">
        <f>'[01_Entry.xlsx]Book'!L1778</f>
        <v/>
      </c>
      <c r="H1778" s="3">
        <f>'[01_Entry.xlsx]Book'!M1778</f>
        <v/>
      </c>
      <c r="I1778" s="3">
        <f>'[01_Entry.xlsx]Book'!K1778</f>
        <v/>
      </c>
      <c r="J1778" s="3">
        <f>'[01_Entry.xlsx]Book'!P1778</f>
        <v/>
      </c>
      <c r="K1778" s="3">
        <f>'[01_Entry.xlsx]Book'!F1778</f>
        <v/>
      </c>
      <c r="L1778" s="3">
        <f>'[01_Entry.xlsx]Book'!G1778</f>
        <v/>
      </c>
      <c r="M1778" s="3">
        <f>'[01_Entry.xlsx]Book'!I1778</f>
        <v/>
      </c>
      <c r="N1778" s="2">
        <f>IF($A1778="","",MID($A1778,6,2))</f>
        <v>0</v>
      </c>
      <c r="O1778" s="2">
        <f>IF(OR($C1778="",$C1778&lt;&gt;'Inv'!$D$12),"",N(O$1777)+1)</f>
        <v>0</v>
      </c>
    </row>
    <row r="1779" spans="1:15">
      <c r="A1779" s="2">
        <f>'[01_Entry.xlsx]Book'!A1779</f>
        <v/>
      </c>
      <c r="B1779" s="2">
        <f>'[01_Entry.xlsx]Book'!B1779</f>
        <v/>
      </c>
      <c r="C1779" s="2">
        <f>'[01_Entry.xlsx]Book'!D1779</f>
        <v/>
      </c>
      <c r="D1779" s="2">
        <f>'[01_Entry.xlsx]Book'!E1779</f>
        <v/>
      </c>
      <c r="E1779" s="2">
        <f>'[01_Entry.xlsx]Book'!O1779</f>
        <v/>
      </c>
      <c r="F1779" s="2">
        <f>'[01_Entry.xlsx]Book'!N1779</f>
        <v/>
      </c>
      <c r="G1779" s="3">
        <f>'[01_Entry.xlsx]Book'!L1779</f>
        <v/>
      </c>
      <c r="H1779" s="3">
        <f>'[01_Entry.xlsx]Book'!M1779</f>
        <v/>
      </c>
      <c r="I1779" s="3">
        <f>'[01_Entry.xlsx]Book'!K1779</f>
        <v/>
      </c>
      <c r="J1779" s="3">
        <f>'[01_Entry.xlsx]Book'!P1779</f>
        <v/>
      </c>
      <c r="K1779" s="3">
        <f>'[01_Entry.xlsx]Book'!F1779</f>
        <v/>
      </c>
      <c r="L1779" s="3">
        <f>'[01_Entry.xlsx]Book'!G1779</f>
        <v/>
      </c>
      <c r="M1779" s="3">
        <f>'[01_Entry.xlsx]Book'!I1779</f>
        <v/>
      </c>
      <c r="N1779" s="2">
        <f>IF($A1779="","",MID($A1779,6,2))</f>
        <v>0</v>
      </c>
      <c r="O1779" s="2">
        <f>IF(OR($C1779="",$C1779&lt;&gt;'Inv'!$D$12),"",N(O$1778)+1)</f>
        <v>0</v>
      </c>
    </row>
    <row r="1780" spans="1:15">
      <c r="A1780" s="2">
        <f>'[01_Entry.xlsx]Book'!A1780</f>
        <v/>
      </c>
      <c r="B1780" s="2">
        <f>'[01_Entry.xlsx]Book'!B1780</f>
        <v/>
      </c>
      <c r="C1780" s="2">
        <f>'[01_Entry.xlsx]Book'!D1780</f>
        <v/>
      </c>
      <c r="D1780" s="2">
        <f>'[01_Entry.xlsx]Book'!E1780</f>
        <v/>
      </c>
      <c r="E1780" s="2">
        <f>'[01_Entry.xlsx]Book'!O1780</f>
        <v/>
      </c>
      <c r="F1780" s="2">
        <f>'[01_Entry.xlsx]Book'!N1780</f>
        <v/>
      </c>
      <c r="G1780" s="3">
        <f>'[01_Entry.xlsx]Book'!L1780</f>
        <v/>
      </c>
      <c r="H1780" s="3">
        <f>'[01_Entry.xlsx]Book'!M1780</f>
        <v/>
      </c>
      <c r="I1780" s="3">
        <f>'[01_Entry.xlsx]Book'!K1780</f>
        <v/>
      </c>
      <c r="J1780" s="3">
        <f>'[01_Entry.xlsx]Book'!P1780</f>
        <v/>
      </c>
      <c r="K1780" s="3">
        <f>'[01_Entry.xlsx]Book'!F1780</f>
        <v/>
      </c>
      <c r="L1780" s="3">
        <f>'[01_Entry.xlsx]Book'!G1780</f>
        <v/>
      </c>
      <c r="M1780" s="3">
        <f>'[01_Entry.xlsx]Book'!I1780</f>
        <v/>
      </c>
      <c r="N1780" s="2">
        <f>IF($A1780="","",MID($A1780,6,2))</f>
        <v>0</v>
      </c>
      <c r="O1780" s="2">
        <f>IF(OR($C1780="",$C1780&lt;&gt;'Inv'!$D$12),"",N(O$1779)+1)</f>
        <v>0</v>
      </c>
    </row>
    <row r="1781" spans="1:15">
      <c r="A1781" s="2">
        <f>'[01_Entry.xlsx]Book'!A1781</f>
        <v/>
      </c>
      <c r="B1781" s="2">
        <f>'[01_Entry.xlsx]Book'!B1781</f>
        <v/>
      </c>
      <c r="C1781" s="2">
        <f>'[01_Entry.xlsx]Book'!D1781</f>
        <v/>
      </c>
      <c r="D1781" s="2">
        <f>'[01_Entry.xlsx]Book'!E1781</f>
        <v/>
      </c>
      <c r="E1781" s="2">
        <f>'[01_Entry.xlsx]Book'!O1781</f>
        <v/>
      </c>
      <c r="F1781" s="2">
        <f>'[01_Entry.xlsx]Book'!N1781</f>
        <v/>
      </c>
      <c r="G1781" s="3">
        <f>'[01_Entry.xlsx]Book'!L1781</f>
        <v/>
      </c>
      <c r="H1781" s="3">
        <f>'[01_Entry.xlsx]Book'!M1781</f>
        <v/>
      </c>
      <c r="I1781" s="3">
        <f>'[01_Entry.xlsx]Book'!K1781</f>
        <v/>
      </c>
      <c r="J1781" s="3">
        <f>'[01_Entry.xlsx]Book'!P1781</f>
        <v/>
      </c>
      <c r="K1781" s="3">
        <f>'[01_Entry.xlsx]Book'!F1781</f>
        <v/>
      </c>
      <c r="L1781" s="3">
        <f>'[01_Entry.xlsx]Book'!G1781</f>
        <v/>
      </c>
      <c r="M1781" s="3">
        <f>'[01_Entry.xlsx]Book'!I1781</f>
        <v/>
      </c>
      <c r="N1781" s="2">
        <f>IF($A1781="","",MID($A1781,6,2))</f>
        <v>0</v>
      </c>
      <c r="O1781" s="2">
        <f>IF(OR($C1781="",$C1781&lt;&gt;'Inv'!$D$12),"",N(O$1780)+1)</f>
        <v>0</v>
      </c>
    </row>
    <row r="1782" spans="1:15">
      <c r="A1782" s="2">
        <f>'[01_Entry.xlsx]Book'!A1782</f>
        <v/>
      </c>
      <c r="B1782" s="2">
        <f>'[01_Entry.xlsx]Book'!B1782</f>
        <v/>
      </c>
      <c r="C1782" s="2">
        <f>'[01_Entry.xlsx]Book'!D1782</f>
        <v/>
      </c>
      <c r="D1782" s="2">
        <f>'[01_Entry.xlsx]Book'!E1782</f>
        <v/>
      </c>
      <c r="E1782" s="2">
        <f>'[01_Entry.xlsx]Book'!O1782</f>
        <v/>
      </c>
      <c r="F1782" s="2">
        <f>'[01_Entry.xlsx]Book'!N1782</f>
        <v/>
      </c>
      <c r="G1782" s="3">
        <f>'[01_Entry.xlsx]Book'!L1782</f>
        <v/>
      </c>
      <c r="H1782" s="3">
        <f>'[01_Entry.xlsx]Book'!M1782</f>
        <v/>
      </c>
      <c r="I1782" s="3">
        <f>'[01_Entry.xlsx]Book'!K1782</f>
        <v/>
      </c>
      <c r="J1782" s="3">
        <f>'[01_Entry.xlsx]Book'!P1782</f>
        <v/>
      </c>
      <c r="K1782" s="3">
        <f>'[01_Entry.xlsx]Book'!F1782</f>
        <v/>
      </c>
      <c r="L1782" s="3">
        <f>'[01_Entry.xlsx]Book'!G1782</f>
        <v/>
      </c>
      <c r="M1782" s="3">
        <f>'[01_Entry.xlsx]Book'!I1782</f>
        <v/>
      </c>
      <c r="N1782" s="2">
        <f>IF($A1782="","",MID($A1782,6,2))</f>
        <v>0</v>
      </c>
      <c r="O1782" s="2">
        <f>IF(OR($C1782="",$C1782&lt;&gt;'Inv'!$D$12),"",N(O$1781)+1)</f>
        <v>0</v>
      </c>
    </row>
    <row r="1783" spans="1:15">
      <c r="A1783" s="2">
        <f>'[01_Entry.xlsx]Book'!A1783</f>
        <v/>
      </c>
      <c r="B1783" s="2">
        <f>'[01_Entry.xlsx]Book'!B1783</f>
        <v/>
      </c>
      <c r="C1783" s="2">
        <f>'[01_Entry.xlsx]Book'!D1783</f>
        <v/>
      </c>
      <c r="D1783" s="2">
        <f>'[01_Entry.xlsx]Book'!E1783</f>
        <v/>
      </c>
      <c r="E1783" s="2">
        <f>'[01_Entry.xlsx]Book'!O1783</f>
        <v/>
      </c>
      <c r="F1783" s="2">
        <f>'[01_Entry.xlsx]Book'!N1783</f>
        <v/>
      </c>
      <c r="G1783" s="3">
        <f>'[01_Entry.xlsx]Book'!L1783</f>
        <v/>
      </c>
      <c r="H1783" s="3">
        <f>'[01_Entry.xlsx]Book'!M1783</f>
        <v/>
      </c>
      <c r="I1783" s="3">
        <f>'[01_Entry.xlsx]Book'!K1783</f>
        <v/>
      </c>
      <c r="J1783" s="3">
        <f>'[01_Entry.xlsx]Book'!P1783</f>
        <v/>
      </c>
      <c r="K1783" s="3">
        <f>'[01_Entry.xlsx]Book'!F1783</f>
        <v/>
      </c>
      <c r="L1783" s="3">
        <f>'[01_Entry.xlsx]Book'!G1783</f>
        <v/>
      </c>
      <c r="M1783" s="3">
        <f>'[01_Entry.xlsx]Book'!I1783</f>
        <v/>
      </c>
      <c r="N1783" s="2">
        <f>IF($A1783="","",MID($A1783,6,2))</f>
        <v>0</v>
      </c>
      <c r="O1783" s="2">
        <f>IF(OR($C1783="",$C1783&lt;&gt;'Inv'!$D$12),"",N(O$1782)+1)</f>
        <v>0</v>
      </c>
    </row>
    <row r="1784" spans="1:15">
      <c r="A1784" s="2">
        <f>'[01_Entry.xlsx]Book'!A1784</f>
        <v/>
      </c>
      <c r="B1784" s="2">
        <f>'[01_Entry.xlsx]Book'!B1784</f>
        <v/>
      </c>
      <c r="C1784" s="2">
        <f>'[01_Entry.xlsx]Book'!D1784</f>
        <v/>
      </c>
      <c r="D1784" s="2">
        <f>'[01_Entry.xlsx]Book'!E1784</f>
        <v/>
      </c>
      <c r="E1784" s="2">
        <f>'[01_Entry.xlsx]Book'!O1784</f>
        <v/>
      </c>
      <c r="F1784" s="2">
        <f>'[01_Entry.xlsx]Book'!N1784</f>
        <v/>
      </c>
      <c r="G1784" s="3">
        <f>'[01_Entry.xlsx]Book'!L1784</f>
        <v/>
      </c>
      <c r="H1784" s="3">
        <f>'[01_Entry.xlsx]Book'!M1784</f>
        <v/>
      </c>
      <c r="I1784" s="3">
        <f>'[01_Entry.xlsx]Book'!K1784</f>
        <v/>
      </c>
      <c r="J1784" s="3">
        <f>'[01_Entry.xlsx]Book'!P1784</f>
        <v/>
      </c>
      <c r="K1784" s="3">
        <f>'[01_Entry.xlsx]Book'!F1784</f>
        <v/>
      </c>
      <c r="L1784" s="3">
        <f>'[01_Entry.xlsx]Book'!G1784</f>
        <v/>
      </c>
      <c r="M1784" s="3">
        <f>'[01_Entry.xlsx]Book'!I1784</f>
        <v/>
      </c>
      <c r="N1784" s="2">
        <f>IF($A1784="","",MID($A1784,6,2))</f>
        <v>0</v>
      </c>
      <c r="O1784" s="2">
        <f>IF(OR($C1784="",$C1784&lt;&gt;'Inv'!$D$12),"",N(O$1783)+1)</f>
        <v>0</v>
      </c>
    </row>
    <row r="1785" spans="1:15">
      <c r="A1785" s="2">
        <f>'[01_Entry.xlsx]Book'!A1785</f>
        <v/>
      </c>
      <c r="B1785" s="2">
        <f>'[01_Entry.xlsx]Book'!B1785</f>
        <v/>
      </c>
      <c r="C1785" s="2">
        <f>'[01_Entry.xlsx]Book'!D1785</f>
        <v/>
      </c>
      <c r="D1785" s="2">
        <f>'[01_Entry.xlsx]Book'!E1785</f>
        <v/>
      </c>
      <c r="E1785" s="2">
        <f>'[01_Entry.xlsx]Book'!O1785</f>
        <v/>
      </c>
      <c r="F1785" s="2">
        <f>'[01_Entry.xlsx]Book'!N1785</f>
        <v/>
      </c>
      <c r="G1785" s="3">
        <f>'[01_Entry.xlsx]Book'!L1785</f>
        <v/>
      </c>
      <c r="H1785" s="3">
        <f>'[01_Entry.xlsx]Book'!M1785</f>
        <v/>
      </c>
      <c r="I1785" s="3">
        <f>'[01_Entry.xlsx]Book'!K1785</f>
        <v/>
      </c>
      <c r="J1785" s="3">
        <f>'[01_Entry.xlsx]Book'!P1785</f>
        <v/>
      </c>
      <c r="K1785" s="3">
        <f>'[01_Entry.xlsx]Book'!F1785</f>
        <v/>
      </c>
      <c r="L1785" s="3">
        <f>'[01_Entry.xlsx]Book'!G1785</f>
        <v/>
      </c>
      <c r="M1785" s="3">
        <f>'[01_Entry.xlsx]Book'!I1785</f>
        <v/>
      </c>
      <c r="N1785" s="2">
        <f>IF($A1785="","",MID($A1785,6,2))</f>
        <v>0</v>
      </c>
      <c r="O1785" s="2">
        <f>IF(OR($C1785="",$C1785&lt;&gt;'Inv'!$D$12),"",N(O$1784)+1)</f>
        <v>0</v>
      </c>
    </row>
    <row r="1786" spans="1:15">
      <c r="A1786" s="2">
        <f>'[01_Entry.xlsx]Book'!A1786</f>
        <v/>
      </c>
      <c r="B1786" s="2">
        <f>'[01_Entry.xlsx]Book'!B1786</f>
        <v/>
      </c>
      <c r="C1786" s="2">
        <f>'[01_Entry.xlsx]Book'!D1786</f>
        <v/>
      </c>
      <c r="D1786" s="2">
        <f>'[01_Entry.xlsx]Book'!E1786</f>
        <v/>
      </c>
      <c r="E1786" s="2">
        <f>'[01_Entry.xlsx]Book'!O1786</f>
        <v/>
      </c>
      <c r="F1786" s="2">
        <f>'[01_Entry.xlsx]Book'!N1786</f>
        <v/>
      </c>
      <c r="G1786" s="3">
        <f>'[01_Entry.xlsx]Book'!L1786</f>
        <v/>
      </c>
      <c r="H1786" s="3">
        <f>'[01_Entry.xlsx]Book'!M1786</f>
        <v/>
      </c>
      <c r="I1786" s="3">
        <f>'[01_Entry.xlsx]Book'!K1786</f>
        <v/>
      </c>
      <c r="J1786" s="3">
        <f>'[01_Entry.xlsx]Book'!P1786</f>
        <v/>
      </c>
      <c r="K1786" s="3">
        <f>'[01_Entry.xlsx]Book'!F1786</f>
        <v/>
      </c>
      <c r="L1786" s="3">
        <f>'[01_Entry.xlsx]Book'!G1786</f>
        <v/>
      </c>
      <c r="M1786" s="3">
        <f>'[01_Entry.xlsx]Book'!I1786</f>
        <v/>
      </c>
      <c r="N1786" s="2">
        <f>IF($A1786="","",MID($A1786,6,2))</f>
        <v>0</v>
      </c>
      <c r="O1786" s="2">
        <f>IF(OR($C1786="",$C1786&lt;&gt;'Inv'!$D$12),"",N(O$1785)+1)</f>
        <v>0</v>
      </c>
    </row>
    <row r="1787" spans="1:15">
      <c r="A1787" s="2">
        <f>'[01_Entry.xlsx]Book'!A1787</f>
        <v/>
      </c>
      <c r="B1787" s="2">
        <f>'[01_Entry.xlsx]Book'!B1787</f>
        <v/>
      </c>
      <c r="C1787" s="2">
        <f>'[01_Entry.xlsx]Book'!D1787</f>
        <v/>
      </c>
      <c r="D1787" s="2">
        <f>'[01_Entry.xlsx]Book'!E1787</f>
        <v/>
      </c>
      <c r="E1787" s="2">
        <f>'[01_Entry.xlsx]Book'!O1787</f>
        <v/>
      </c>
      <c r="F1787" s="2">
        <f>'[01_Entry.xlsx]Book'!N1787</f>
        <v/>
      </c>
      <c r="G1787" s="3">
        <f>'[01_Entry.xlsx]Book'!L1787</f>
        <v/>
      </c>
      <c r="H1787" s="3">
        <f>'[01_Entry.xlsx]Book'!M1787</f>
        <v/>
      </c>
      <c r="I1787" s="3">
        <f>'[01_Entry.xlsx]Book'!K1787</f>
        <v/>
      </c>
      <c r="J1787" s="3">
        <f>'[01_Entry.xlsx]Book'!P1787</f>
        <v/>
      </c>
      <c r="K1787" s="3">
        <f>'[01_Entry.xlsx]Book'!F1787</f>
        <v/>
      </c>
      <c r="L1787" s="3">
        <f>'[01_Entry.xlsx]Book'!G1787</f>
        <v/>
      </c>
      <c r="M1787" s="3">
        <f>'[01_Entry.xlsx]Book'!I1787</f>
        <v/>
      </c>
      <c r="N1787" s="2">
        <f>IF($A1787="","",MID($A1787,6,2))</f>
        <v>0</v>
      </c>
      <c r="O1787" s="2">
        <f>IF(OR($C1787="",$C1787&lt;&gt;'Inv'!$D$12),"",N(O$1786)+1)</f>
        <v>0</v>
      </c>
    </row>
    <row r="1788" spans="1:15">
      <c r="A1788" s="2">
        <f>'[01_Entry.xlsx]Book'!A1788</f>
        <v/>
      </c>
      <c r="B1788" s="2">
        <f>'[01_Entry.xlsx]Book'!B1788</f>
        <v/>
      </c>
      <c r="C1788" s="2">
        <f>'[01_Entry.xlsx]Book'!D1788</f>
        <v/>
      </c>
      <c r="D1788" s="2">
        <f>'[01_Entry.xlsx]Book'!E1788</f>
        <v/>
      </c>
      <c r="E1788" s="2">
        <f>'[01_Entry.xlsx]Book'!O1788</f>
        <v/>
      </c>
      <c r="F1788" s="2">
        <f>'[01_Entry.xlsx]Book'!N1788</f>
        <v/>
      </c>
      <c r="G1788" s="3">
        <f>'[01_Entry.xlsx]Book'!L1788</f>
        <v/>
      </c>
      <c r="H1788" s="3">
        <f>'[01_Entry.xlsx]Book'!M1788</f>
        <v/>
      </c>
      <c r="I1788" s="3">
        <f>'[01_Entry.xlsx]Book'!K1788</f>
        <v/>
      </c>
      <c r="J1788" s="3">
        <f>'[01_Entry.xlsx]Book'!P1788</f>
        <v/>
      </c>
      <c r="K1788" s="3">
        <f>'[01_Entry.xlsx]Book'!F1788</f>
        <v/>
      </c>
      <c r="L1788" s="3">
        <f>'[01_Entry.xlsx]Book'!G1788</f>
        <v/>
      </c>
      <c r="M1788" s="3">
        <f>'[01_Entry.xlsx]Book'!I1788</f>
        <v/>
      </c>
      <c r="N1788" s="2">
        <f>IF($A1788="","",MID($A1788,6,2))</f>
        <v>0</v>
      </c>
      <c r="O1788" s="2">
        <f>IF(OR($C1788="",$C1788&lt;&gt;'Inv'!$D$12),"",N(O$1787)+1)</f>
        <v>0</v>
      </c>
    </row>
    <row r="1789" spans="1:15">
      <c r="A1789" s="2">
        <f>'[01_Entry.xlsx]Book'!A1789</f>
        <v/>
      </c>
      <c r="B1789" s="2">
        <f>'[01_Entry.xlsx]Book'!B1789</f>
        <v/>
      </c>
      <c r="C1789" s="2">
        <f>'[01_Entry.xlsx]Book'!D1789</f>
        <v/>
      </c>
      <c r="D1789" s="2">
        <f>'[01_Entry.xlsx]Book'!E1789</f>
        <v/>
      </c>
      <c r="E1789" s="2">
        <f>'[01_Entry.xlsx]Book'!O1789</f>
        <v/>
      </c>
      <c r="F1789" s="2">
        <f>'[01_Entry.xlsx]Book'!N1789</f>
        <v/>
      </c>
      <c r="G1789" s="3">
        <f>'[01_Entry.xlsx]Book'!L1789</f>
        <v/>
      </c>
      <c r="H1789" s="3">
        <f>'[01_Entry.xlsx]Book'!M1789</f>
        <v/>
      </c>
      <c r="I1789" s="3">
        <f>'[01_Entry.xlsx]Book'!K1789</f>
        <v/>
      </c>
      <c r="J1789" s="3">
        <f>'[01_Entry.xlsx]Book'!P1789</f>
        <v/>
      </c>
      <c r="K1789" s="3">
        <f>'[01_Entry.xlsx]Book'!F1789</f>
        <v/>
      </c>
      <c r="L1789" s="3">
        <f>'[01_Entry.xlsx]Book'!G1789</f>
        <v/>
      </c>
      <c r="M1789" s="3">
        <f>'[01_Entry.xlsx]Book'!I1789</f>
        <v/>
      </c>
      <c r="N1789" s="2">
        <f>IF($A1789="","",MID($A1789,6,2))</f>
        <v>0</v>
      </c>
      <c r="O1789" s="2">
        <f>IF(OR($C1789="",$C1789&lt;&gt;'Inv'!$D$12),"",N(O$1788)+1)</f>
        <v>0</v>
      </c>
    </row>
    <row r="1790" spans="1:15">
      <c r="A1790" s="2">
        <f>'[01_Entry.xlsx]Book'!A1790</f>
        <v/>
      </c>
      <c r="B1790" s="2">
        <f>'[01_Entry.xlsx]Book'!B1790</f>
        <v/>
      </c>
      <c r="C1790" s="2">
        <f>'[01_Entry.xlsx]Book'!D1790</f>
        <v/>
      </c>
      <c r="D1790" s="2">
        <f>'[01_Entry.xlsx]Book'!E1790</f>
        <v/>
      </c>
      <c r="E1790" s="2">
        <f>'[01_Entry.xlsx]Book'!O1790</f>
        <v/>
      </c>
      <c r="F1790" s="2">
        <f>'[01_Entry.xlsx]Book'!N1790</f>
        <v/>
      </c>
      <c r="G1790" s="3">
        <f>'[01_Entry.xlsx]Book'!L1790</f>
        <v/>
      </c>
      <c r="H1790" s="3">
        <f>'[01_Entry.xlsx]Book'!M1790</f>
        <v/>
      </c>
      <c r="I1790" s="3">
        <f>'[01_Entry.xlsx]Book'!K1790</f>
        <v/>
      </c>
      <c r="J1790" s="3">
        <f>'[01_Entry.xlsx]Book'!P1790</f>
        <v/>
      </c>
      <c r="K1790" s="3">
        <f>'[01_Entry.xlsx]Book'!F1790</f>
        <v/>
      </c>
      <c r="L1790" s="3">
        <f>'[01_Entry.xlsx]Book'!G1790</f>
        <v/>
      </c>
      <c r="M1790" s="3">
        <f>'[01_Entry.xlsx]Book'!I1790</f>
        <v/>
      </c>
      <c r="N1790" s="2">
        <f>IF($A1790="","",MID($A1790,6,2))</f>
        <v>0</v>
      </c>
      <c r="O1790" s="2">
        <f>IF(OR($C1790="",$C1790&lt;&gt;'Inv'!$D$12),"",N(O$1789)+1)</f>
        <v>0</v>
      </c>
    </row>
    <row r="1791" spans="1:15">
      <c r="A1791" s="2">
        <f>'[01_Entry.xlsx]Book'!A1791</f>
        <v/>
      </c>
      <c r="B1791" s="2">
        <f>'[01_Entry.xlsx]Book'!B1791</f>
        <v/>
      </c>
      <c r="C1791" s="2">
        <f>'[01_Entry.xlsx]Book'!D1791</f>
        <v/>
      </c>
      <c r="D1791" s="2">
        <f>'[01_Entry.xlsx]Book'!E1791</f>
        <v/>
      </c>
      <c r="E1791" s="2">
        <f>'[01_Entry.xlsx]Book'!O1791</f>
        <v/>
      </c>
      <c r="F1791" s="2">
        <f>'[01_Entry.xlsx]Book'!N1791</f>
        <v/>
      </c>
      <c r="G1791" s="3">
        <f>'[01_Entry.xlsx]Book'!L1791</f>
        <v/>
      </c>
      <c r="H1791" s="3">
        <f>'[01_Entry.xlsx]Book'!M1791</f>
        <v/>
      </c>
      <c r="I1791" s="3">
        <f>'[01_Entry.xlsx]Book'!K1791</f>
        <v/>
      </c>
      <c r="J1791" s="3">
        <f>'[01_Entry.xlsx]Book'!P1791</f>
        <v/>
      </c>
      <c r="K1791" s="3">
        <f>'[01_Entry.xlsx]Book'!F1791</f>
        <v/>
      </c>
      <c r="L1791" s="3">
        <f>'[01_Entry.xlsx]Book'!G1791</f>
        <v/>
      </c>
      <c r="M1791" s="3">
        <f>'[01_Entry.xlsx]Book'!I1791</f>
        <v/>
      </c>
      <c r="N1791" s="2">
        <f>IF($A1791="","",MID($A1791,6,2))</f>
        <v>0</v>
      </c>
      <c r="O1791" s="2">
        <f>IF(OR($C1791="",$C1791&lt;&gt;'Inv'!$D$12),"",N(O$1790)+1)</f>
        <v>0</v>
      </c>
    </row>
    <row r="1792" spans="1:15">
      <c r="A1792" s="2">
        <f>'[01_Entry.xlsx]Book'!A1792</f>
        <v/>
      </c>
      <c r="B1792" s="2">
        <f>'[01_Entry.xlsx]Book'!B1792</f>
        <v/>
      </c>
      <c r="C1792" s="2">
        <f>'[01_Entry.xlsx]Book'!D1792</f>
        <v/>
      </c>
      <c r="D1792" s="2">
        <f>'[01_Entry.xlsx]Book'!E1792</f>
        <v/>
      </c>
      <c r="E1792" s="2">
        <f>'[01_Entry.xlsx]Book'!O1792</f>
        <v/>
      </c>
      <c r="F1792" s="2">
        <f>'[01_Entry.xlsx]Book'!N1792</f>
        <v/>
      </c>
      <c r="G1792" s="3">
        <f>'[01_Entry.xlsx]Book'!L1792</f>
        <v/>
      </c>
      <c r="H1792" s="3">
        <f>'[01_Entry.xlsx]Book'!M1792</f>
        <v/>
      </c>
      <c r="I1792" s="3">
        <f>'[01_Entry.xlsx]Book'!K1792</f>
        <v/>
      </c>
      <c r="J1792" s="3">
        <f>'[01_Entry.xlsx]Book'!P1792</f>
        <v/>
      </c>
      <c r="K1792" s="3">
        <f>'[01_Entry.xlsx]Book'!F1792</f>
        <v/>
      </c>
      <c r="L1792" s="3">
        <f>'[01_Entry.xlsx]Book'!G1792</f>
        <v/>
      </c>
      <c r="M1792" s="3">
        <f>'[01_Entry.xlsx]Book'!I1792</f>
        <v/>
      </c>
      <c r="N1792" s="2">
        <f>IF($A1792="","",MID($A1792,6,2))</f>
        <v>0</v>
      </c>
      <c r="O1792" s="2">
        <f>IF(OR($C1792="",$C1792&lt;&gt;'Inv'!$D$12),"",N(O$1791)+1)</f>
        <v>0</v>
      </c>
    </row>
    <row r="1793" spans="1:15">
      <c r="A1793" s="2">
        <f>'[01_Entry.xlsx]Book'!A1793</f>
        <v/>
      </c>
      <c r="B1793" s="2">
        <f>'[01_Entry.xlsx]Book'!B1793</f>
        <v/>
      </c>
      <c r="C1793" s="2">
        <f>'[01_Entry.xlsx]Book'!D1793</f>
        <v/>
      </c>
      <c r="D1793" s="2">
        <f>'[01_Entry.xlsx]Book'!E1793</f>
        <v/>
      </c>
      <c r="E1793" s="2">
        <f>'[01_Entry.xlsx]Book'!O1793</f>
        <v/>
      </c>
      <c r="F1793" s="2">
        <f>'[01_Entry.xlsx]Book'!N1793</f>
        <v/>
      </c>
      <c r="G1793" s="3">
        <f>'[01_Entry.xlsx]Book'!L1793</f>
        <v/>
      </c>
      <c r="H1793" s="3">
        <f>'[01_Entry.xlsx]Book'!M1793</f>
        <v/>
      </c>
      <c r="I1793" s="3">
        <f>'[01_Entry.xlsx]Book'!K1793</f>
        <v/>
      </c>
      <c r="J1793" s="3">
        <f>'[01_Entry.xlsx]Book'!P1793</f>
        <v/>
      </c>
      <c r="K1793" s="3">
        <f>'[01_Entry.xlsx]Book'!F1793</f>
        <v/>
      </c>
      <c r="L1793" s="3">
        <f>'[01_Entry.xlsx]Book'!G1793</f>
        <v/>
      </c>
      <c r="M1793" s="3">
        <f>'[01_Entry.xlsx]Book'!I1793</f>
        <v/>
      </c>
      <c r="N1793" s="2">
        <f>IF($A1793="","",MID($A1793,6,2))</f>
        <v>0</v>
      </c>
      <c r="O1793" s="2">
        <f>IF(OR($C1793="",$C1793&lt;&gt;'Inv'!$D$12),"",N(O$1792)+1)</f>
        <v>0</v>
      </c>
    </row>
    <row r="1794" spans="1:15">
      <c r="A1794" s="2">
        <f>'[01_Entry.xlsx]Book'!A1794</f>
        <v/>
      </c>
      <c r="B1794" s="2">
        <f>'[01_Entry.xlsx]Book'!B1794</f>
        <v/>
      </c>
      <c r="C1794" s="2">
        <f>'[01_Entry.xlsx]Book'!D1794</f>
        <v/>
      </c>
      <c r="D1794" s="2">
        <f>'[01_Entry.xlsx]Book'!E1794</f>
        <v/>
      </c>
      <c r="E1794" s="2">
        <f>'[01_Entry.xlsx]Book'!O1794</f>
        <v/>
      </c>
      <c r="F1794" s="2">
        <f>'[01_Entry.xlsx]Book'!N1794</f>
        <v/>
      </c>
      <c r="G1794" s="3">
        <f>'[01_Entry.xlsx]Book'!L1794</f>
        <v/>
      </c>
      <c r="H1794" s="3">
        <f>'[01_Entry.xlsx]Book'!M1794</f>
        <v/>
      </c>
      <c r="I1794" s="3">
        <f>'[01_Entry.xlsx]Book'!K1794</f>
        <v/>
      </c>
      <c r="J1794" s="3">
        <f>'[01_Entry.xlsx]Book'!P1794</f>
        <v/>
      </c>
      <c r="K1794" s="3">
        <f>'[01_Entry.xlsx]Book'!F1794</f>
        <v/>
      </c>
      <c r="L1794" s="3">
        <f>'[01_Entry.xlsx]Book'!G1794</f>
        <v/>
      </c>
      <c r="M1794" s="3">
        <f>'[01_Entry.xlsx]Book'!I1794</f>
        <v/>
      </c>
      <c r="N1794" s="2">
        <f>IF($A1794="","",MID($A1794,6,2))</f>
        <v>0</v>
      </c>
      <c r="O1794" s="2">
        <f>IF(OR($C1794="",$C1794&lt;&gt;'Inv'!$D$12),"",N(O$1793)+1)</f>
        <v>0</v>
      </c>
    </row>
    <row r="1795" spans="1:15">
      <c r="A1795" s="2">
        <f>'[01_Entry.xlsx]Book'!A1795</f>
        <v/>
      </c>
      <c r="B1795" s="2">
        <f>'[01_Entry.xlsx]Book'!B1795</f>
        <v/>
      </c>
      <c r="C1795" s="2">
        <f>'[01_Entry.xlsx]Book'!D1795</f>
        <v/>
      </c>
      <c r="D1795" s="2">
        <f>'[01_Entry.xlsx]Book'!E1795</f>
        <v/>
      </c>
      <c r="E1795" s="2">
        <f>'[01_Entry.xlsx]Book'!O1795</f>
        <v/>
      </c>
      <c r="F1795" s="2">
        <f>'[01_Entry.xlsx]Book'!N1795</f>
        <v/>
      </c>
      <c r="G1795" s="3">
        <f>'[01_Entry.xlsx]Book'!L1795</f>
        <v/>
      </c>
      <c r="H1795" s="3">
        <f>'[01_Entry.xlsx]Book'!M1795</f>
        <v/>
      </c>
      <c r="I1795" s="3">
        <f>'[01_Entry.xlsx]Book'!K1795</f>
        <v/>
      </c>
      <c r="J1795" s="3">
        <f>'[01_Entry.xlsx]Book'!P1795</f>
        <v/>
      </c>
      <c r="K1795" s="3">
        <f>'[01_Entry.xlsx]Book'!F1795</f>
        <v/>
      </c>
      <c r="L1795" s="3">
        <f>'[01_Entry.xlsx]Book'!G1795</f>
        <v/>
      </c>
      <c r="M1795" s="3">
        <f>'[01_Entry.xlsx]Book'!I1795</f>
        <v/>
      </c>
      <c r="N1795" s="2">
        <f>IF($A1795="","",MID($A1795,6,2))</f>
        <v>0</v>
      </c>
      <c r="O1795" s="2">
        <f>IF(OR($C1795="",$C1795&lt;&gt;'Inv'!$D$12),"",N(O$1794)+1)</f>
        <v>0</v>
      </c>
    </row>
    <row r="1796" spans="1:15">
      <c r="A1796" s="2">
        <f>'[01_Entry.xlsx]Book'!A1796</f>
        <v/>
      </c>
      <c r="B1796" s="2">
        <f>'[01_Entry.xlsx]Book'!B1796</f>
        <v/>
      </c>
      <c r="C1796" s="2">
        <f>'[01_Entry.xlsx]Book'!D1796</f>
        <v/>
      </c>
      <c r="D1796" s="2">
        <f>'[01_Entry.xlsx]Book'!E1796</f>
        <v/>
      </c>
      <c r="E1796" s="2">
        <f>'[01_Entry.xlsx]Book'!O1796</f>
        <v/>
      </c>
      <c r="F1796" s="2">
        <f>'[01_Entry.xlsx]Book'!N1796</f>
        <v/>
      </c>
      <c r="G1796" s="3">
        <f>'[01_Entry.xlsx]Book'!L1796</f>
        <v/>
      </c>
      <c r="H1796" s="3">
        <f>'[01_Entry.xlsx]Book'!M1796</f>
        <v/>
      </c>
      <c r="I1796" s="3">
        <f>'[01_Entry.xlsx]Book'!K1796</f>
        <v/>
      </c>
      <c r="J1796" s="3">
        <f>'[01_Entry.xlsx]Book'!P1796</f>
        <v/>
      </c>
      <c r="K1796" s="3">
        <f>'[01_Entry.xlsx]Book'!F1796</f>
        <v/>
      </c>
      <c r="L1796" s="3">
        <f>'[01_Entry.xlsx]Book'!G1796</f>
        <v/>
      </c>
      <c r="M1796" s="3">
        <f>'[01_Entry.xlsx]Book'!I1796</f>
        <v/>
      </c>
      <c r="N1796" s="2">
        <f>IF($A1796="","",MID($A1796,6,2))</f>
        <v>0</v>
      </c>
      <c r="O1796" s="2">
        <f>IF(OR($C1796="",$C1796&lt;&gt;'Inv'!$D$12),"",N(O$1795)+1)</f>
        <v>0</v>
      </c>
    </row>
    <row r="1797" spans="1:15">
      <c r="A1797" s="2">
        <f>'[01_Entry.xlsx]Book'!A1797</f>
        <v/>
      </c>
      <c r="B1797" s="2">
        <f>'[01_Entry.xlsx]Book'!B1797</f>
        <v/>
      </c>
      <c r="C1797" s="2">
        <f>'[01_Entry.xlsx]Book'!D1797</f>
        <v/>
      </c>
      <c r="D1797" s="2">
        <f>'[01_Entry.xlsx]Book'!E1797</f>
        <v/>
      </c>
      <c r="E1797" s="2">
        <f>'[01_Entry.xlsx]Book'!O1797</f>
        <v/>
      </c>
      <c r="F1797" s="2">
        <f>'[01_Entry.xlsx]Book'!N1797</f>
        <v/>
      </c>
      <c r="G1797" s="3">
        <f>'[01_Entry.xlsx]Book'!L1797</f>
        <v/>
      </c>
      <c r="H1797" s="3">
        <f>'[01_Entry.xlsx]Book'!M1797</f>
        <v/>
      </c>
      <c r="I1797" s="3">
        <f>'[01_Entry.xlsx]Book'!K1797</f>
        <v/>
      </c>
      <c r="J1797" s="3">
        <f>'[01_Entry.xlsx]Book'!P1797</f>
        <v/>
      </c>
      <c r="K1797" s="3">
        <f>'[01_Entry.xlsx]Book'!F1797</f>
        <v/>
      </c>
      <c r="L1797" s="3">
        <f>'[01_Entry.xlsx]Book'!G1797</f>
        <v/>
      </c>
      <c r="M1797" s="3">
        <f>'[01_Entry.xlsx]Book'!I1797</f>
        <v/>
      </c>
      <c r="N1797" s="2">
        <f>IF($A1797="","",MID($A1797,6,2))</f>
        <v>0</v>
      </c>
      <c r="O1797" s="2">
        <f>IF(OR($C1797="",$C1797&lt;&gt;'Inv'!$D$12),"",N(O$1796)+1)</f>
        <v>0</v>
      </c>
    </row>
    <row r="1798" spans="1:15">
      <c r="A1798" s="2">
        <f>'[01_Entry.xlsx]Book'!A1798</f>
        <v/>
      </c>
      <c r="B1798" s="2">
        <f>'[01_Entry.xlsx]Book'!B1798</f>
        <v/>
      </c>
      <c r="C1798" s="2">
        <f>'[01_Entry.xlsx]Book'!D1798</f>
        <v/>
      </c>
      <c r="D1798" s="2">
        <f>'[01_Entry.xlsx]Book'!E1798</f>
        <v/>
      </c>
      <c r="E1798" s="2">
        <f>'[01_Entry.xlsx]Book'!O1798</f>
        <v/>
      </c>
      <c r="F1798" s="2">
        <f>'[01_Entry.xlsx]Book'!N1798</f>
        <v/>
      </c>
      <c r="G1798" s="3">
        <f>'[01_Entry.xlsx]Book'!L1798</f>
        <v/>
      </c>
      <c r="H1798" s="3">
        <f>'[01_Entry.xlsx]Book'!M1798</f>
        <v/>
      </c>
      <c r="I1798" s="3">
        <f>'[01_Entry.xlsx]Book'!K1798</f>
        <v/>
      </c>
      <c r="J1798" s="3">
        <f>'[01_Entry.xlsx]Book'!P1798</f>
        <v/>
      </c>
      <c r="K1798" s="3">
        <f>'[01_Entry.xlsx]Book'!F1798</f>
        <v/>
      </c>
      <c r="L1798" s="3">
        <f>'[01_Entry.xlsx]Book'!G1798</f>
        <v/>
      </c>
      <c r="M1798" s="3">
        <f>'[01_Entry.xlsx]Book'!I1798</f>
        <v/>
      </c>
      <c r="N1798" s="2">
        <f>IF($A1798="","",MID($A1798,6,2))</f>
        <v>0</v>
      </c>
      <c r="O1798" s="2">
        <f>IF(OR($C1798="",$C1798&lt;&gt;'Inv'!$D$12),"",N(O$1797)+1)</f>
        <v>0</v>
      </c>
    </row>
    <row r="1799" spans="1:15">
      <c r="A1799" s="2">
        <f>'[01_Entry.xlsx]Book'!A1799</f>
        <v/>
      </c>
      <c r="B1799" s="2">
        <f>'[01_Entry.xlsx]Book'!B1799</f>
        <v/>
      </c>
      <c r="C1799" s="2">
        <f>'[01_Entry.xlsx]Book'!D1799</f>
        <v/>
      </c>
      <c r="D1799" s="2">
        <f>'[01_Entry.xlsx]Book'!E1799</f>
        <v/>
      </c>
      <c r="E1799" s="2">
        <f>'[01_Entry.xlsx]Book'!O1799</f>
        <v/>
      </c>
      <c r="F1799" s="2">
        <f>'[01_Entry.xlsx]Book'!N1799</f>
        <v/>
      </c>
      <c r="G1799" s="3">
        <f>'[01_Entry.xlsx]Book'!L1799</f>
        <v/>
      </c>
      <c r="H1799" s="3">
        <f>'[01_Entry.xlsx]Book'!M1799</f>
        <v/>
      </c>
      <c r="I1799" s="3">
        <f>'[01_Entry.xlsx]Book'!K1799</f>
        <v/>
      </c>
      <c r="J1799" s="3">
        <f>'[01_Entry.xlsx]Book'!P1799</f>
        <v/>
      </c>
      <c r="K1799" s="3">
        <f>'[01_Entry.xlsx]Book'!F1799</f>
        <v/>
      </c>
      <c r="L1799" s="3">
        <f>'[01_Entry.xlsx]Book'!G1799</f>
        <v/>
      </c>
      <c r="M1799" s="3">
        <f>'[01_Entry.xlsx]Book'!I1799</f>
        <v/>
      </c>
      <c r="N1799" s="2">
        <f>IF($A1799="","",MID($A1799,6,2))</f>
        <v>0</v>
      </c>
      <c r="O1799" s="2">
        <f>IF(OR($C1799="",$C1799&lt;&gt;'Inv'!$D$12),"",N(O$1798)+1)</f>
        <v>0</v>
      </c>
    </row>
    <row r="1800" spans="1:15">
      <c r="A1800" s="2">
        <f>'[01_Entry.xlsx]Book'!A1800</f>
        <v/>
      </c>
      <c r="B1800" s="2">
        <f>'[01_Entry.xlsx]Book'!B1800</f>
        <v/>
      </c>
      <c r="C1800" s="2">
        <f>'[01_Entry.xlsx]Book'!D1800</f>
        <v/>
      </c>
      <c r="D1800" s="2">
        <f>'[01_Entry.xlsx]Book'!E1800</f>
        <v/>
      </c>
      <c r="E1800" s="2">
        <f>'[01_Entry.xlsx]Book'!O1800</f>
        <v/>
      </c>
      <c r="F1800" s="2">
        <f>'[01_Entry.xlsx]Book'!N1800</f>
        <v/>
      </c>
      <c r="G1800" s="3">
        <f>'[01_Entry.xlsx]Book'!L1800</f>
        <v/>
      </c>
      <c r="H1800" s="3">
        <f>'[01_Entry.xlsx]Book'!M1800</f>
        <v/>
      </c>
      <c r="I1800" s="3">
        <f>'[01_Entry.xlsx]Book'!K1800</f>
        <v/>
      </c>
      <c r="J1800" s="3">
        <f>'[01_Entry.xlsx]Book'!P1800</f>
        <v/>
      </c>
      <c r="K1800" s="3">
        <f>'[01_Entry.xlsx]Book'!F1800</f>
        <v/>
      </c>
      <c r="L1800" s="3">
        <f>'[01_Entry.xlsx]Book'!G1800</f>
        <v/>
      </c>
      <c r="M1800" s="3">
        <f>'[01_Entry.xlsx]Book'!I1800</f>
        <v/>
      </c>
      <c r="N1800" s="2">
        <f>IF($A1800="","",MID($A1800,6,2))</f>
        <v>0</v>
      </c>
      <c r="O1800" s="2">
        <f>IF(OR($C1800="",$C1800&lt;&gt;'Inv'!$D$12),"",N(O$1799)+1)</f>
        <v>0</v>
      </c>
    </row>
    <row r="1801" spans="1:15">
      <c r="A1801" s="2">
        <f>'[01_Entry.xlsx]Book'!A1801</f>
        <v/>
      </c>
      <c r="B1801" s="2">
        <f>'[01_Entry.xlsx]Book'!B1801</f>
        <v/>
      </c>
      <c r="C1801" s="2">
        <f>'[01_Entry.xlsx]Book'!D1801</f>
        <v/>
      </c>
      <c r="D1801" s="2">
        <f>'[01_Entry.xlsx]Book'!E1801</f>
        <v/>
      </c>
      <c r="E1801" s="2">
        <f>'[01_Entry.xlsx]Book'!O1801</f>
        <v/>
      </c>
      <c r="F1801" s="2">
        <f>'[01_Entry.xlsx]Book'!N1801</f>
        <v/>
      </c>
      <c r="G1801" s="3">
        <f>'[01_Entry.xlsx]Book'!L1801</f>
        <v/>
      </c>
      <c r="H1801" s="3">
        <f>'[01_Entry.xlsx]Book'!M1801</f>
        <v/>
      </c>
      <c r="I1801" s="3">
        <f>'[01_Entry.xlsx]Book'!K1801</f>
        <v/>
      </c>
      <c r="J1801" s="3">
        <f>'[01_Entry.xlsx]Book'!P1801</f>
        <v/>
      </c>
      <c r="K1801" s="3">
        <f>'[01_Entry.xlsx]Book'!F1801</f>
        <v/>
      </c>
      <c r="L1801" s="3">
        <f>'[01_Entry.xlsx]Book'!G1801</f>
        <v/>
      </c>
      <c r="M1801" s="3">
        <f>'[01_Entry.xlsx]Book'!I1801</f>
        <v/>
      </c>
      <c r="N1801" s="2">
        <f>IF($A1801="","",MID($A1801,6,2))</f>
        <v>0</v>
      </c>
      <c r="O1801" s="2">
        <f>IF(OR($C1801="",$C1801&lt;&gt;'Inv'!$D$12),"",N(O$1800)+1)</f>
        <v>0</v>
      </c>
    </row>
    <row r="1802" spans="1:15">
      <c r="A1802" s="2">
        <f>'[01_Entry.xlsx]Book'!A1802</f>
        <v/>
      </c>
      <c r="B1802" s="2">
        <f>'[01_Entry.xlsx]Book'!B1802</f>
        <v/>
      </c>
      <c r="C1802" s="2">
        <f>'[01_Entry.xlsx]Book'!D1802</f>
        <v/>
      </c>
      <c r="D1802" s="2">
        <f>'[01_Entry.xlsx]Book'!E1802</f>
        <v/>
      </c>
      <c r="E1802" s="2">
        <f>'[01_Entry.xlsx]Book'!O1802</f>
        <v/>
      </c>
      <c r="F1802" s="2">
        <f>'[01_Entry.xlsx]Book'!N1802</f>
        <v/>
      </c>
      <c r="G1802" s="3">
        <f>'[01_Entry.xlsx]Book'!L1802</f>
        <v/>
      </c>
      <c r="H1802" s="3">
        <f>'[01_Entry.xlsx]Book'!M1802</f>
        <v/>
      </c>
      <c r="I1802" s="3">
        <f>'[01_Entry.xlsx]Book'!K1802</f>
        <v/>
      </c>
      <c r="J1802" s="3">
        <f>'[01_Entry.xlsx]Book'!P1802</f>
        <v/>
      </c>
      <c r="K1802" s="3">
        <f>'[01_Entry.xlsx]Book'!F1802</f>
        <v/>
      </c>
      <c r="L1802" s="3">
        <f>'[01_Entry.xlsx]Book'!G1802</f>
        <v/>
      </c>
      <c r="M1802" s="3">
        <f>'[01_Entry.xlsx]Book'!I1802</f>
        <v/>
      </c>
      <c r="N1802" s="2">
        <f>IF($A1802="","",MID($A1802,6,2))</f>
        <v>0</v>
      </c>
      <c r="O1802" s="2">
        <f>IF(OR($C1802="",$C1802&lt;&gt;'Inv'!$D$12),"",N(O$1801)+1)</f>
        <v>0</v>
      </c>
    </row>
    <row r="1803" spans="1:15">
      <c r="A1803" s="2">
        <f>'[01_Entry.xlsx]Book'!A1803</f>
        <v/>
      </c>
      <c r="B1803" s="2">
        <f>'[01_Entry.xlsx]Book'!B1803</f>
        <v/>
      </c>
      <c r="C1803" s="2">
        <f>'[01_Entry.xlsx]Book'!D1803</f>
        <v/>
      </c>
      <c r="D1803" s="2">
        <f>'[01_Entry.xlsx]Book'!E1803</f>
        <v/>
      </c>
      <c r="E1803" s="2">
        <f>'[01_Entry.xlsx]Book'!O1803</f>
        <v/>
      </c>
      <c r="F1803" s="2">
        <f>'[01_Entry.xlsx]Book'!N1803</f>
        <v/>
      </c>
      <c r="G1803" s="3">
        <f>'[01_Entry.xlsx]Book'!L1803</f>
        <v/>
      </c>
      <c r="H1803" s="3">
        <f>'[01_Entry.xlsx]Book'!M1803</f>
        <v/>
      </c>
      <c r="I1803" s="3">
        <f>'[01_Entry.xlsx]Book'!K1803</f>
        <v/>
      </c>
      <c r="J1803" s="3">
        <f>'[01_Entry.xlsx]Book'!P1803</f>
        <v/>
      </c>
      <c r="K1803" s="3">
        <f>'[01_Entry.xlsx]Book'!F1803</f>
        <v/>
      </c>
      <c r="L1803" s="3">
        <f>'[01_Entry.xlsx]Book'!G1803</f>
        <v/>
      </c>
      <c r="M1803" s="3">
        <f>'[01_Entry.xlsx]Book'!I1803</f>
        <v/>
      </c>
      <c r="N1803" s="2">
        <f>IF($A1803="","",MID($A1803,6,2))</f>
        <v>0</v>
      </c>
      <c r="O1803" s="2">
        <f>IF(OR($C1803="",$C1803&lt;&gt;'Inv'!$D$12),"",N(O$1802)+1)</f>
        <v>0</v>
      </c>
    </row>
    <row r="1804" spans="1:15">
      <c r="A1804" s="2">
        <f>'[01_Entry.xlsx]Book'!A1804</f>
        <v/>
      </c>
      <c r="B1804" s="2">
        <f>'[01_Entry.xlsx]Book'!B1804</f>
        <v/>
      </c>
      <c r="C1804" s="2">
        <f>'[01_Entry.xlsx]Book'!D1804</f>
        <v/>
      </c>
      <c r="D1804" s="2">
        <f>'[01_Entry.xlsx]Book'!E1804</f>
        <v/>
      </c>
      <c r="E1804" s="2">
        <f>'[01_Entry.xlsx]Book'!O1804</f>
        <v/>
      </c>
      <c r="F1804" s="2">
        <f>'[01_Entry.xlsx]Book'!N1804</f>
        <v/>
      </c>
      <c r="G1804" s="3">
        <f>'[01_Entry.xlsx]Book'!L1804</f>
        <v/>
      </c>
      <c r="H1804" s="3">
        <f>'[01_Entry.xlsx]Book'!M1804</f>
        <v/>
      </c>
      <c r="I1804" s="3">
        <f>'[01_Entry.xlsx]Book'!K1804</f>
        <v/>
      </c>
      <c r="J1804" s="3">
        <f>'[01_Entry.xlsx]Book'!P1804</f>
        <v/>
      </c>
      <c r="K1804" s="3">
        <f>'[01_Entry.xlsx]Book'!F1804</f>
        <v/>
      </c>
      <c r="L1804" s="3">
        <f>'[01_Entry.xlsx]Book'!G1804</f>
        <v/>
      </c>
      <c r="M1804" s="3">
        <f>'[01_Entry.xlsx]Book'!I1804</f>
        <v/>
      </c>
      <c r="N1804" s="2">
        <f>IF($A1804="","",MID($A1804,6,2))</f>
        <v>0</v>
      </c>
      <c r="O1804" s="2">
        <f>IF(OR($C1804="",$C1804&lt;&gt;'Inv'!$D$12),"",N(O$1803)+1)</f>
        <v>0</v>
      </c>
    </row>
    <row r="1805" spans="1:15">
      <c r="A1805" s="2">
        <f>'[01_Entry.xlsx]Book'!A1805</f>
        <v/>
      </c>
      <c r="B1805" s="2">
        <f>'[01_Entry.xlsx]Book'!B1805</f>
        <v/>
      </c>
      <c r="C1805" s="2">
        <f>'[01_Entry.xlsx]Book'!D1805</f>
        <v/>
      </c>
      <c r="D1805" s="2">
        <f>'[01_Entry.xlsx]Book'!E1805</f>
        <v/>
      </c>
      <c r="E1805" s="2">
        <f>'[01_Entry.xlsx]Book'!O1805</f>
        <v/>
      </c>
      <c r="F1805" s="2">
        <f>'[01_Entry.xlsx]Book'!N1805</f>
        <v/>
      </c>
      <c r="G1805" s="3">
        <f>'[01_Entry.xlsx]Book'!L1805</f>
        <v/>
      </c>
      <c r="H1805" s="3">
        <f>'[01_Entry.xlsx]Book'!M1805</f>
        <v/>
      </c>
      <c r="I1805" s="3">
        <f>'[01_Entry.xlsx]Book'!K1805</f>
        <v/>
      </c>
      <c r="J1805" s="3">
        <f>'[01_Entry.xlsx]Book'!P1805</f>
        <v/>
      </c>
      <c r="K1805" s="3">
        <f>'[01_Entry.xlsx]Book'!F1805</f>
        <v/>
      </c>
      <c r="L1805" s="3">
        <f>'[01_Entry.xlsx]Book'!G1805</f>
        <v/>
      </c>
      <c r="M1805" s="3">
        <f>'[01_Entry.xlsx]Book'!I1805</f>
        <v/>
      </c>
      <c r="N1805" s="2">
        <f>IF($A1805="","",MID($A1805,6,2))</f>
        <v>0</v>
      </c>
      <c r="O1805" s="2">
        <f>IF(OR($C1805="",$C1805&lt;&gt;'Inv'!$D$12),"",N(O$1804)+1)</f>
        <v>0</v>
      </c>
    </row>
    <row r="1806" spans="1:15">
      <c r="A1806" s="2">
        <f>'[01_Entry.xlsx]Book'!A1806</f>
        <v/>
      </c>
      <c r="B1806" s="2">
        <f>'[01_Entry.xlsx]Book'!B1806</f>
        <v/>
      </c>
      <c r="C1806" s="2">
        <f>'[01_Entry.xlsx]Book'!D1806</f>
        <v/>
      </c>
      <c r="D1806" s="2">
        <f>'[01_Entry.xlsx]Book'!E1806</f>
        <v/>
      </c>
      <c r="E1806" s="2">
        <f>'[01_Entry.xlsx]Book'!O1806</f>
        <v/>
      </c>
      <c r="F1806" s="2">
        <f>'[01_Entry.xlsx]Book'!N1806</f>
        <v/>
      </c>
      <c r="G1806" s="3">
        <f>'[01_Entry.xlsx]Book'!L1806</f>
        <v/>
      </c>
      <c r="H1806" s="3">
        <f>'[01_Entry.xlsx]Book'!M1806</f>
        <v/>
      </c>
      <c r="I1806" s="3">
        <f>'[01_Entry.xlsx]Book'!K1806</f>
        <v/>
      </c>
      <c r="J1806" s="3">
        <f>'[01_Entry.xlsx]Book'!P1806</f>
        <v/>
      </c>
      <c r="K1806" s="3">
        <f>'[01_Entry.xlsx]Book'!F1806</f>
        <v/>
      </c>
      <c r="L1806" s="3">
        <f>'[01_Entry.xlsx]Book'!G1806</f>
        <v/>
      </c>
      <c r="M1806" s="3">
        <f>'[01_Entry.xlsx]Book'!I1806</f>
        <v/>
      </c>
      <c r="N1806" s="2">
        <f>IF($A1806="","",MID($A1806,6,2))</f>
        <v>0</v>
      </c>
      <c r="O1806" s="2">
        <f>IF(OR($C1806="",$C1806&lt;&gt;'Inv'!$D$12),"",N(O$1805)+1)</f>
        <v>0</v>
      </c>
    </row>
    <row r="1807" spans="1:15">
      <c r="A1807" s="2">
        <f>'[01_Entry.xlsx]Book'!A1807</f>
        <v/>
      </c>
      <c r="B1807" s="2">
        <f>'[01_Entry.xlsx]Book'!B1807</f>
        <v/>
      </c>
      <c r="C1807" s="2">
        <f>'[01_Entry.xlsx]Book'!D1807</f>
        <v/>
      </c>
      <c r="D1807" s="2">
        <f>'[01_Entry.xlsx]Book'!E1807</f>
        <v/>
      </c>
      <c r="E1807" s="2">
        <f>'[01_Entry.xlsx]Book'!O1807</f>
        <v/>
      </c>
      <c r="F1807" s="2">
        <f>'[01_Entry.xlsx]Book'!N1807</f>
        <v/>
      </c>
      <c r="G1807" s="3">
        <f>'[01_Entry.xlsx]Book'!L1807</f>
        <v/>
      </c>
      <c r="H1807" s="3">
        <f>'[01_Entry.xlsx]Book'!M1807</f>
        <v/>
      </c>
      <c r="I1807" s="3">
        <f>'[01_Entry.xlsx]Book'!K1807</f>
        <v/>
      </c>
      <c r="J1807" s="3">
        <f>'[01_Entry.xlsx]Book'!P1807</f>
        <v/>
      </c>
      <c r="K1807" s="3">
        <f>'[01_Entry.xlsx]Book'!F1807</f>
        <v/>
      </c>
      <c r="L1807" s="3">
        <f>'[01_Entry.xlsx]Book'!G1807</f>
        <v/>
      </c>
      <c r="M1807" s="3">
        <f>'[01_Entry.xlsx]Book'!I1807</f>
        <v/>
      </c>
      <c r="N1807" s="2">
        <f>IF($A1807="","",MID($A1807,6,2))</f>
        <v>0</v>
      </c>
      <c r="O1807" s="2">
        <f>IF(OR($C1807="",$C1807&lt;&gt;'Inv'!$D$12),"",N(O$1806)+1)</f>
        <v>0</v>
      </c>
    </row>
    <row r="1808" spans="1:15">
      <c r="A1808" s="2">
        <f>'[01_Entry.xlsx]Book'!A1808</f>
        <v/>
      </c>
      <c r="B1808" s="2">
        <f>'[01_Entry.xlsx]Book'!B1808</f>
        <v/>
      </c>
      <c r="C1808" s="2">
        <f>'[01_Entry.xlsx]Book'!D1808</f>
        <v/>
      </c>
      <c r="D1808" s="2">
        <f>'[01_Entry.xlsx]Book'!E1808</f>
        <v/>
      </c>
      <c r="E1808" s="2">
        <f>'[01_Entry.xlsx]Book'!O1808</f>
        <v/>
      </c>
      <c r="F1808" s="2">
        <f>'[01_Entry.xlsx]Book'!N1808</f>
        <v/>
      </c>
      <c r="G1808" s="3">
        <f>'[01_Entry.xlsx]Book'!L1808</f>
        <v/>
      </c>
      <c r="H1808" s="3">
        <f>'[01_Entry.xlsx]Book'!M1808</f>
        <v/>
      </c>
      <c r="I1808" s="3">
        <f>'[01_Entry.xlsx]Book'!K1808</f>
        <v/>
      </c>
      <c r="J1808" s="3">
        <f>'[01_Entry.xlsx]Book'!P1808</f>
        <v/>
      </c>
      <c r="K1808" s="3">
        <f>'[01_Entry.xlsx]Book'!F1808</f>
        <v/>
      </c>
      <c r="L1808" s="3">
        <f>'[01_Entry.xlsx]Book'!G1808</f>
        <v/>
      </c>
      <c r="M1808" s="3">
        <f>'[01_Entry.xlsx]Book'!I1808</f>
        <v/>
      </c>
      <c r="N1808" s="2">
        <f>IF($A1808="","",MID($A1808,6,2))</f>
        <v>0</v>
      </c>
      <c r="O1808" s="2">
        <f>IF(OR($C1808="",$C1808&lt;&gt;'Inv'!$D$12),"",N(O$1807)+1)</f>
        <v>0</v>
      </c>
    </row>
  </sheetData>
  <pageMargins left="0.7" right="0.7" top="0.75" bottom="0.75" header="0.3" footer="0.3"/>
  <pageSetup paperSize="9" fitToWidth="1" fitToHeight="0" orientation="landscape"/>
  <headerFooter>
    <oddHeader>&amp;Lمازندشت — سامانه حسابداری سورتینگ&amp;C&amp;"B Nazanin,Bold"&amp;10 MAZANDASHT · INVOICE&amp;R&amp;A</oddHeader>
    <oddFooter>&amp;L&amp;F&amp;Cصفحه &amp;P از &amp;N&amp;RMAZANDASHT · Excel 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89B3C"/>
    <pageSetUpPr fitToPage="1"/>
  </sheetPr>
  <dimension ref="A1:K59"/>
  <sheetViews>
    <sheetView showGridLines="0" rightToLeft="1" zoomScale="90" zoomScaleNormal="90" workbookViewId="0"/>
  </sheetViews>
  <sheetFormatPr defaultRowHeight="15"/>
  <cols>
    <col min="1" max="1" width="7.7109375" customWidth="1"/>
    <col min="2" max="2" width="12.7109375" customWidth="1"/>
    <col min="3" max="3" width="11.7109375" customWidth="1"/>
    <col min="4" max="4" width="40.7109375" customWidth="1"/>
    <col min="5" max="5" width="10.7109375" customWidth="1"/>
    <col min="6" max="6" width="12.7109375" customWidth="1"/>
    <col min="7" max="9" width="16.7109375" customWidth="1"/>
    <col min="11" max="11" width="5.7109375" hidden="1" customWidth="1"/>
  </cols>
  <sheetData>
    <row r="1" spans="1:11" ht="12" customHeight="1"/>
    <row r="2" spans="1:11" ht="21.75" customHeight="1">
      <c r="A2" s="4" t="s">
        <v>14</v>
      </c>
      <c r="B2" s="4"/>
      <c r="C2" s="4"/>
      <c r="D2" s="4"/>
      <c r="E2" s="4"/>
      <c r="F2" s="4"/>
      <c r="G2" s="4"/>
      <c r="H2" s="5" t="s">
        <v>15</v>
      </c>
      <c r="I2" s="5"/>
      <c r="J2" s="5"/>
    </row>
    <row r="3" spans="1:11" ht="44.25" customHeight="1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1" ht="20.25" customHeight="1">
      <c r="A4" s="7" t="s">
        <v>17</v>
      </c>
      <c r="B4" s="7"/>
      <c r="C4" s="7"/>
      <c r="D4" s="7"/>
      <c r="E4" s="7"/>
      <c r="F4" s="7"/>
      <c r="G4" s="7"/>
      <c r="H4" s="7"/>
      <c r="I4" s="7"/>
      <c r="J4" s="7"/>
    </row>
    <row r="6" spans="1:11" ht="27.75" customHeight="1">
      <c r="B6" s="8" t="s">
        <v>18</v>
      </c>
      <c r="C6" s="9"/>
      <c r="E6" s="8" t="s">
        <v>19</v>
      </c>
      <c r="F6" s="10"/>
      <c r="G6" s="8" t="s">
        <v>0</v>
      </c>
      <c r="H6" s="9"/>
      <c r="I6" s="11">
        <f>IFERROR(VLOOKUP($C$6,AcctTbl,2,0),"—")</f>
        <v>0</v>
      </c>
      <c r="J6" s="12"/>
    </row>
    <row r="7" spans="1:11" ht="20.25" customHeight="1">
      <c r="A7" s="13">
        <f>IF($C$6="","برای شروع، کد حساب را در کادر بالا انتخاب کنید.","گروه: "&amp;IFERROR(VLOOKUP($C$6,AcctTbl,3,0),"")&amp;"   ·   "&amp;IFERROR(VLOOKUP($C$6,AcctTbl,4,0),""))</f>
        <v>0</v>
      </c>
      <c r="B7" s="14"/>
      <c r="C7" s="14"/>
      <c r="D7" s="14"/>
      <c r="E7" s="14"/>
      <c r="F7" s="14"/>
      <c r="G7" s="14"/>
      <c r="H7" s="14"/>
      <c r="I7" s="14"/>
      <c r="J7" s="14"/>
    </row>
    <row r="9" spans="1:11" ht="27.75" customHeight="1">
      <c r="A9" s="15" t="s">
        <v>20</v>
      </c>
      <c r="B9" s="15" t="s">
        <v>0</v>
      </c>
      <c r="C9" s="15" t="s">
        <v>1</v>
      </c>
      <c r="D9" s="15" t="s">
        <v>3</v>
      </c>
      <c r="E9" s="15" t="s">
        <v>11</v>
      </c>
      <c r="F9" s="15" t="s">
        <v>12</v>
      </c>
      <c r="G9" s="15" t="s">
        <v>6</v>
      </c>
      <c r="H9" s="15" t="s">
        <v>7</v>
      </c>
      <c r="I9" s="15" t="s">
        <v>8</v>
      </c>
    </row>
    <row r="10" spans="1:11" ht="21.75" customHeight="1">
      <c r="A10" s="9"/>
      <c r="B10" s="2">
        <f>IF($K$10="","",INDEX(Data!$A$10:$A$1807,$K$10))</f>
        <v>0</v>
      </c>
      <c r="C10" s="2">
        <f>IF($K$10="","",INDEX(Data!$B$10:$B$1807,$K$10))</f>
        <v>0</v>
      </c>
      <c r="D10" s="16">
        <f>IF($K$10="","",INDEX(Data!$D$10:$D$1807,$K$10))</f>
        <v>0</v>
      </c>
      <c r="E10" s="3">
        <f>IF($K$10="","",INDEX(Data!$L$10:$L$1807,$K$10))</f>
        <v>0</v>
      </c>
      <c r="F10" s="3">
        <f>IF($K$10="","",INDEX(Data!$M$10:$M$1807,$K$10))</f>
        <v>0</v>
      </c>
      <c r="G10" s="3">
        <f>IF($K$10="","",INDEX(Data!$G$10:$G$1807,$K$10))</f>
        <v>0</v>
      </c>
      <c r="H10" s="3">
        <f>IF($K$10="","",INDEX(Data!$H$10:$H$1807,$K$10))</f>
        <v>0</v>
      </c>
      <c r="I10" s="3">
        <f>IF($K$10="","",INDEX(Data!$I$10:$I$1807,$K$10))</f>
        <v>0</v>
      </c>
      <c r="K10" s="2">
        <f>IFERROR(MATCH(1,Data!$O$10:$O$1807,0),"")</f>
        <v>0</v>
      </c>
    </row>
    <row r="11" spans="1:11" ht="21.75" customHeight="1">
      <c r="A11" s="9"/>
      <c r="B11" s="2">
        <f>IF($K$11="","",INDEX(Data!$A$10:$A$1807,$K$11))</f>
        <v>0</v>
      </c>
      <c r="C11" s="2">
        <f>IF($K$11="","",INDEX(Data!$B$10:$B$1807,$K$11))</f>
        <v>0</v>
      </c>
      <c r="D11" s="16">
        <f>IF($K$11="","",INDEX(Data!$D$10:$D$1807,$K$11))</f>
        <v>0</v>
      </c>
      <c r="E11" s="3">
        <f>IF($K$11="","",INDEX(Data!$L$10:$L$1807,$K$11))</f>
        <v>0</v>
      </c>
      <c r="F11" s="3">
        <f>IF($K$11="","",INDEX(Data!$M$10:$M$1807,$K$11))</f>
        <v>0</v>
      </c>
      <c r="G11" s="3">
        <f>IF($K$11="","",INDEX(Data!$G$10:$G$1807,$K$11))</f>
        <v>0</v>
      </c>
      <c r="H11" s="3">
        <f>IF($K$11="","",INDEX(Data!$H$10:$H$1807,$K$11))</f>
        <v>0</v>
      </c>
      <c r="I11" s="3">
        <f>IF($K$11="","",INDEX(Data!$I$10:$I$1807,$K$11))</f>
        <v>0</v>
      </c>
      <c r="K11" s="2">
        <f>IFERROR(MATCH(2,Data!$O$10:$O$1807,0),"")</f>
        <v>0</v>
      </c>
    </row>
    <row r="12" spans="1:11" ht="21.75" customHeight="1">
      <c r="A12" s="9"/>
      <c r="B12" s="2">
        <f>IF($K$12="","",INDEX(Data!$A$10:$A$1807,$K$12))</f>
        <v>0</v>
      </c>
      <c r="C12" s="2">
        <f>IF($K$12="","",INDEX(Data!$B$10:$B$1807,$K$12))</f>
        <v>0</v>
      </c>
      <c r="D12" s="16">
        <f>IF($K$12="","",INDEX(Data!$D$10:$D$1807,$K$12))</f>
        <v>0</v>
      </c>
      <c r="E12" s="3">
        <f>IF($K$12="","",INDEX(Data!$L$10:$L$1807,$K$12))</f>
        <v>0</v>
      </c>
      <c r="F12" s="3">
        <f>IF($K$12="","",INDEX(Data!$M$10:$M$1807,$K$12))</f>
        <v>0</v>
      </c>
      <c r="G12" s="3">
        <f>IF($K$12="","",INDEX(Data!$G$10:$G$1807,$K$12))</f>
        <v>0</v>
      </c>
      <c r="H12" s="3">
        <f>IF($K$12="","",INDEX(Data!$H$10:$H$1807,$K$12))</f>
        <v>0</v>
      </c>
      <c r="I12" s="3">
        <f>IF($K$12="","",INDEX(Data!$I$10:$I$1807,$K$12))</f>
        <v>0</v>
      </c>
      <c r="K12" s="2">
        <f>IFERROR(MATCH(3,Data!$O$10:$O$1807,0),"")</f>
        <v>0</v>
      </c>
    </row>
    <row r="13" spans="1:11" ht="21.75" customHeight="1">
      <c r="A13" s="9"/>
      <c r="B13" s="2">
        <f>IF($K$13="","",INDEX(Data!$A$10:$A$1807,$K$13))</f>
        <v>0</v>
      </c>
      <c r="C13" s="2">
        <f>IF($K$13="","",INDEX(Data!$B$10:$B$1807,$K$13))</f>
        <v>0</v>
      </c>
      <c r="D13" s="16">
        <f>IF($K$13="","",INDEX(Data!$D$10:$D$1807,$K$13))</f>
        <v>0</v>
      </c>
      <c r="E13" s="3">
        <f>IF($K$13="","",INDEX(Data!$L$10:$L$1807,$K$13))</f>
        <v>0</v>
      </c>
      <c r="F13" s="3">
        <f>IF($K$13="","",INDEX(Data!$M$10:$M$1807,$K$13))</f>
        <v>0</v>
      </c>
      <c r="G13" s="3">
        <f>IF($K$13="","",INDEX(Data!$G$10:$G$1807,$K$13))</f>
        <v>0</v>
      </c>
      <c r="H13" s="3">
        <f>IF($K$13="","",INDEX(Data!$H$10:$H$1807,$K$13))</f>
        <v>0</v>
      </c>
      <c r="I13" s="3">
        <f>IF($K$13="","",INDEX(Data!$I$10:$I$1807,$K$13))</f>
        <v>0</v>
      </c>
      <c r="K13" s="2">
        <f>IFERROR(MATCH(4,Data!$O$10:$O$1807,0),"")</f>
        <v>0</v>
      </c>
    </row>
    <row r="14" spans="1:11" ht="21.75" customHeight="1">
      <c r="A14" s="9"/>
      <c r="B14" s="2">
        <f>IF($K$14="","",INDEX(Data!$A$10:$A$1807,$K$14))</f>
        <v>0</v>
      </c>
      <c r="C14" s="2">
        <f>IF($K$14="","",INDEX(Data!$B$10:$B$1807,$K$14))</f>
        <v>0</v>
      </c>
      <c r="D14" s="16">
        <f>IF($K$14="","",INDEX(Data!$D$10:$D$1807,$K$14))</f>
        <v>0</v>
      </c>
      <c r="E14" s="3">
        <f>IF($K$14="","",INDEX(Data!$L$10:$L$1807,$K$14))</f>
        <v>0</v>
      </c>
      <c r="F14" s="3">
        <f>IF($K$14="","",INDEX(Data!$M$10:$M$1807,$K$14))</f>
        <v>0</v>
      </c>
      <c r="G14" s="3">
        <f>IF($K$14="","",INDEX(Data!$G$10:$G$1807,$K$14))</f>
        <v>0</v>
      </c>
      <c r="H14" s="3">
        <f>IF($K$14="","",INDEX(Data!$H$10:$H$1807,$K$14))</f>
        <v>0</v>
      </c>
      <c r="I14" s="3">
        <f>IF($K$14="","",INDEX(Data!$I$10:$I$1807,$K$14))</f>
        <v>0</v>
      </c>
      <c r="K14" s="2">
        <f>IFERROR(MATCH(5,Data!$O$10:$O$1807,0),"")</f>
        <v>0</v>
      </c>
    </row>
    <row r="15" spans="1:11" ht="21.75" customHeight="1">
      <c r="A15" s="9"/>
      <c r="B15" s="2">
        <f>IF($K$15="","",INDEX(Data!$A$10:$A$1807,$K$15))</f>
        <v>0</v>
      </c>
      <c r="C15" s="2">
        <f>IF($K$15="","",INDEX(Data!$B$10:$B$1807,$K$15))</f>
        <v>0</v>
      </c>
      <c r="D15" s="16">
        <f>IF($K$15="","",INDEX(Data!$D$10:$D$1807,$K$15))</f>
        <v>0</v>
      </c>
      <c r="E15" s="3">
        <f>IF($K$15="","",INDEX(Data!$L$10:$L$1807,$K$15))</f>
        <v>0</v>
      </c>
      <c r="F15" s="3">
        <f>IF($K$15="","",INDEX(Data!$M$10:$M$1807,$K$15))</f>
        <v>0</v>
      </c>
      <c r="G15" s="3">
        <f>IF($K$15="","",INDEX(Data!$G$10:$G$1807,$K$15))</f>
        <v>0</v>
      </c>
      <c r="H15" s="3">
        <f>IF($K$15="","",INDEX(Data!$H$10:$H$1807,$K$15))</f>
        <v>0</v>
      </c>
      <c r="I15" s="3">
        <f>IF($K$15="","",INDEX(Data!$I$10:$I$1807,$K$15))</f>
        <v>0</v>
      </c>
      <c r="K15" s="2">
        <f>IFERROR(MATCH(6,Data!$O$10:$O$1807,0),"")</f>
        <v>0</v>
      </c>
    </row>
    <row r="16" spans="1:11" ht="21.75" customHeight="1">
      <c r="A16" s="9"/>
      <c r="B16" s="2">
        <f>IF($K$16="","",INDEX(Data!$A$10:$A$1807,$K$16))</f>
        <v>0</v>
      </c>
      <c r="C16" s="2">
        <f>IF($K$16="","",INDEX(Data!$B$10:$B$1807,$K$16))</f>
        <v>0</v>
      </c>
      <c r="D16" s="16">
        <f>IF($K$16="","",INDEX(Data!$D$10:$D$1807,$K$16))</f>
        <v>0</v>
      </c>
      <c r="E16" s="3">
        <f>IF($K$16="","",INDEX(Data!$L$10:$L$1807,$K$16))</f>
        <v>0</v>
      </c>
      <c r="F16" s="3">
        <f>IF($K$16="","",INDEX(Data!$M$10:$M$1807,$K$16))</f>
        <v>0</v>
      </c>
      <c r="G16" s="3">
        <f>IF($K$16="","",INDEX(Data!$G$10:$G$1807,$K$16))</f>
        <v>0</v>
      </c>
      <c r="H16" s="3">
        <f>IF($K$16="","",INDEX(Data!$H$10:$H$1807,$K$16))</f>
        <v>0</v>
      </c>
      <c r="I16" s="3">
        <f>IF($K$16="","",INDEX(Data!$I$10:$I$1807,$K$16))</f>
        <v>0</v>
      </c>
      <c r="K16" s="2">
        <f>IFERROR(MATCH(7,Data!$O$10:$O$1807,0),"")</f>
        <v>0</v>
      </c>
    </row>
    <row r="17" spans="1:11" ht="21.75" customHeight="1">
      <c r="A17" s="9"/>
      <c r="B17" s="2">
        <f>IF($K$17="","",INDEX(Data!$A$10:$A$1807,$K$17))</f>
        <v>0</v>
      </c>
      <c r="C17" s="2">
        <f>IF($K$17="","",INDEX(Data!$B$10:$B$1807,$K$17))</f>
        <v>0</v>
      </c>
      <c r="D17" s="16">
        <f>IF($K$17="","",INDEX(Data!$D$10:$D$1807,$K$17))</f>
        <v>0</v>
      </c>
      <c r="E17" s="3">
        <f>IF($K$17="","",INDEX(Data!$L$10:$L$1807,$K$17))</f>
        <v>0</v>
      </c>
      <c r="F17" s="3">
        <f>IF($K$17="","",INDEX(Data!$M$10:$M$1807,$K$17))</f>
        <v>0</v>
      </c>
      <c r="G17" s="3">
        <f>IF($K$17="","",INDEX(Data!$G$10:$G$1807,$K$17))</f>
        <v>0</v>
      </c>
      <c r="H17" s="3">
        <f>IF($K$17="","",INDEX(Data!$H$10:$H$1807,$K$17))</f>
        <v>0</v>
      </c>
      <c r="I17" s="3">
        <f>IF($K$17="","",INDEX(Data!$I$10:$I$1807,$K$17))</f>
        <v>0</v>
      </c>
      <c r="K17" s="2">
        <f>IFERROR(MATCH(8,Data!$O$10:$O$1807,0),"")</f>
        <v>0</v>
      </c>
    </row>
    <row r="18" spans="1:11" ht="21.75" customHeight="1">
      <c r="A18" s="9"/>
      <c r="B18" s="2">
        <f>IF($K$18="","",INDEX(Data!$A$10:$A$1807,$K$18))</f>
        <v>0</v>
      </c>
      <c r="C18" s="2">
        <f>IF($K$18="","",INDEX(Data!$B$10:$B$1807,$K$18))</f>
        <v>0</v>
      </c>
      <c r="D18" s="16">
        <f>IF($K$18="","",INDEX(Data!$D$10:$D$1807,$K$18))</f>
        <v>0</v>
      </c>
      <c r="E18" s="3">
        <f>IF($K$18="","",INDEX(Data!$L$10:$L$1807,$K$18))</f>
        <v>0</v>
      </c>
      <c r="F18" s="3">
        <f>IF($K$18="","",INDEX(Data!$M$10:$M$1807,$K$18))</f>
        <v>0</v>
      </c>
      <c r="G18" s="3">
        <f>IF($K$18="","",INDEX(Data!$G$10:$G$1807,$K$18))</f>
        <v>0</v>
      </c>
      <c r="H18" s="3">
        <f>IF($K$18="","",INDEX(Data!$H$10:$H$1807,$K$18))</f>
        <v>0</v>
      </c>
      <c r="I18" s="3">
        <f>IF($K$18="","",INDEX(Data!$I$10:$I$1807,$K$18))</f>
        <v>0</v>
      </c>
      <c r="K18" s="2">
        <f>IFERROR(MATCH(9,Data!$O$10:$O$1807,0),"")</f>
        <v>0</v>
      </c>
    </row>
    <row r="19" spans="1:11" ht="21.75" customHeight="1">
      <c r="A19" s="9"/>
      <c r="B19" s="2">
        <f>IF($K$19="","",INDEX(Data!$A$10:$A$1807,$K$19))</f>
        <v>0</v>
      </c>
      <c r="C19" s="2">
        <f>IF($K$19="","",INDEX(Data!$B$10:$B$1807,$K$19))</f>
        <v>0</v>
      </c>
      <c r="D19" s="16">
        <f>IF($K$19="","",INDEX(Data!$D$10:$D$1807,$K$19))</f>
        <v>0</v>
      </c>
      <c r="E19" s="3">
        <f>IF($K$19="","",INDEX(Data!$L$10:$L$1807,$K$19))</f>
        <v>0</v>
      </c>
      <c r="F19" s="3">
        <f>IF($K$19="","",INDEX(Data!$M$10:$M$1807,$K$19))</f>
        <v>0</v>
      </c>
      <c r="G19" s="3">
        <f>IF($K$19="","",INDEX(Data!$G$10:$G$1807,$K$19))</f>
        <v>0</v>
      </c>
      <c r="H19" s="3">
        <f>IF($K$19="","",INDEX(Data!$H$10:$H$1807,$K$19))</f>
        <v>0</v>
      </c>
      <c r="I19" s="3">
        <f>IF($K$19="","",INDEX(Data!$I$10:$I$1807,$K$19))</f>
        <v>0</v>
      </c>
      <c r="K19" s="2">
        <f>IFERROR(MATCH(10,Data!$O$10:$O$1807,0),"")</f>
        <v>0</v>
      </c>
    </row>
    <row r="20" spans="1:11" ht="21.75" customHeight="1">
      <c r="A20" s="9"/>
      <c r="B20" s="2">
        <f>IF($K$20="","",INDEX(Data!$A$10:$A$1807,$K$20))</f>
        <v>0</v>
      </c>
      <c r="C20" s="2">
        <f>IF($K$20="","",INDEX(Data!$B$10:$B$1807,$K$20))</f>
        <v>0</v>
      </c>
      <c r="D20" s="16">
        <f>IF($K$20="","",INDEX(Data!$D$10:$D$1807,$K$20))</f>
        <v>0</v>
      </c>
      <c r="E20" s="3">
        <f>IF($K$20="","",INDEX(Data!$L$10:$L$1807,$K$20))</f>
        <v>0</v>
      </c>
      <c r="F20" s="3">
        <f>IF($K$20="","",INDEX(Data!$M$10:$M$1807,$K$20))</f>
        <v>0</v>
      </c>
      <c r="G20" s="3">
        <f>IF($K$20="","",INDEX(Data!$G$10:$G$1807,$K$20))</f>
        <v>0</v>
      </c>
      <c r="H20" s="3">
        <f>IF($K$20="","",INDEX(Data!$H$10:$H$1807,$K$20))</f>
        <v>0</v>
      </c>
      <c r="I20" s="3">
        <f>IF($K$20="","",INDEX(Data!$I$10:$I$1807,$K$20))</f>
        <v>0</v>
      </c>
      <c r="K20" s="2">
        <f>IFERROR(MATCH(11,Data!$O$10:$O$1807,0),"")</f>
        <v>0</v>
      </c>
    </row>
    <row r="21" spans="1:11" ht="21.75" customHeight="1">
      <c r="A21" s="9"/>
      <c r="B21" s="2">
        <f>IF($K$21="","",INDEX(Data!$A$10:$A$1807,$K$21))</f>
        <v>0</v>
      </c>
      <c r="C21" s="2">
        <f>IF($K$21="","",INDEX(Data!$B$10:$B$1807,$K$21))</f>
        <v>0</v>
      </c>
      <c r="D21" s="16">
        <f>IF($K$21="","",INDEX(Data!$D$10:$D$1807,$K$21))</f>
        <v>0</v>
      </c>
      <c r="E21" s="3">
        <f>IF($K$21="","",INDEX(Data!$L$10:$L$1807,$K$21))</f>
        <v>0</v>
      </c>
      <c r="F21" s="3">
        <f>IF($K$21="","",INDEX(Data!$M$10:$M$1807,$K$21))</f>
        <v>0</v>
      </c>
      <c r="G21" s="3">
        <f>IF($K$21="","",INDEX(Data!$G$10:$G$1807,$K$21))</f>
        <v>0</v>
      </c>
      <c r="H21" s="3">
        <f>IF($K$21="","",INDEX(Data!$H$10:$H$1807,$K$21))</f>
        <v>0</v>
      </c>
      <c r="I21" s="3">
        <f>IF($K$21="","",INDEX(Data!$I$10:$I$1807,$K$21))</f>
        <v>0</v>
      </c>
      <c r="K21" s="2">
        <f>IFERROR(MATCH(12,Data!$O$10:$O$1807,0),"")</f>
        <v>0</v>
      </c>
    </row>
    <row r="22" spans="1:11" ht="21.75" customHeight="1">
      <c r="A22" s="9"/>
      <c r="B22" s="2">
        <f>IF($K$22="","",INDEX(Data!$A$10:$A$1807,$K$22))</f>
        <v>0</v>
      </c>
      <c r="C22" s="2">
        <f>IF($K$22="","",INDEX(Data!$B$10:$B$1807,$K$22))</f>
        <v>0</v>
      </c>
      <c r="D22" s="16">
        <f>IF($K$22="","",INDEX(Data!$D$10:$D$1807,$K$22))</f>
        <v>0</v>
      </c>
      <c r="E22" s="3">
        <f>IF($K$22="","",INDEX(Data!$L$10:$L$1807,$K$22))</f>
        <v>0</v>
      </c>
      <c r="F22" s="3">
        <f>IF($K$22="","",INDEX(Data!$M$10:$M$1807,$K$22))</f>
        <v>0</v>
      </c>
      <c r="G22" s="3">
        <f>IF($K$22="","",INDEX(Data!$G$10:$G$1807,$K$22))</f>
        <v>0</v>
      </c>
      <c r="H22" s="3">
        <f>IF($K$22="","",INDEX(Data!$H$10:$H$1807,$K$22))</f>
        <v>0</v>
      </c>
      <c r="I22" s="3">
        <f>IF($K$22="","",INDEX(Data!$I$10:$I$1807,$K$22))</f>
        <v>0</v>
      </c>
      <c r="K22" s="2">
        <f>IFERROR(MATCH(13,Data!$O$10:$O$1807,0),"")</f>
        <v>0</v>
      </c>
    </row>
    <row r="23" spans="1:11" ht="21.75" customHeight="1">
      <c r="A23" s="9"/>
      <c r="B23" s="2">
        <f>IF($K$23="","",INDEX(Data!$A$10:$A$1807,$K$23))</f>
        <v>0</v>
      </c>
      <c r="C23" s="2">
        <f>IF($K$23="","",INDEX(Data!$B$10:$B$1807,$K$23))</f>
        <v>0</v>
      </c>
      <c r="D23" s="16">
        <f>IF($K$23="","",INDEX(Data!$D$10:$D$1807,$K$23))</f>
        <v>0</v>
      </c>
      <c r="E23" s="3">
        <f>IF($K$23="","",INDEX(Data!$L$10:$L$1807,$K$23))</f>
        <v>0</v>
      </c>
      <c r="F23" s="3">
        <f>IF($K$23="","",INDEX(Data!$M$10:$M$1807,$K$23))</f>
        <v>0</v>
      </c>
      <c r="G23" s="3">
        <f>IF($K$23="","",INDEX(Data!$G$10:$G$1807,$K$23))</f>
        <v>0</v>
      </c>
      <c r="H23" s="3">
        <f>IF($K$23="","",INDEX(Data!$H$10:$H$1807,$K$23))</f>
        <v>0</v>
      </c>
      <c r="I23" s="3">
        <f>IF($K$23="","",INDEX(Data!$I$10:$I$1807,$K$23))</f>
        <v>0</v>
      </c>
      <c r="K23" s="2">
        <f>IFERROR(MATCH(14,Data!$O$10:$O$1807,0),"")</f>
        <v>0</v>
      </c>
    </row>
    <row r="24" spans="1:11" ht="21.75" customHeight="1">
      <c r="A24" s="9"/>
      <c r="B24" s="2">
        <f>IF($K$24="","",INDEX(Data!$A$10:$A$1807,$K$24))</f>
        <v>0</v>
      </c>
      <c r="C24" s="2">
        <f>IF($K$24="","",INDEX(Data!$B$10:$B$1807,$K$24))</f>
        <v>0</v>
      </c>
      <c r="D24" s="16">
        <f>IF($K$24="","",INDEX(Data!$D$10:$D$1807,$K$24))</f>
        <v>0</v>
      </c>
      <c r="E24" s="3">
        <f>IF($K$24="","",INDEX(Data!$L$10:$L$1807,$K$24))</f>
        <v>0</v>
      </c>
      <c r="F24" s="3">
        <f>IF($K$24="","",INDEX(Data!$M$10:$M$1807,$K$24))</f>
        <v>0</v>
      </c>
      <c r="G24" s="3">
        <f>IF($K$24="","",INDEX(Data!$G$10:$G$1807,$K$24))</f>
        <v>0</v>
      </c>
      <c r="H24" s="3">
        <f>IF($K$24="","",INDEX(Data!$H$10:$H$1807,$K$24))</f>
        <v>0</v>
      </c>
      <c r="I24" s="3">
        <f>IF($K$24="","",INDEX(Data!$I$10:$I$1807,$K$24))</f>
        <v>0</v>
      </c>
      <c r="K24" s="2">
        <f>IFERROR(MATCH(15,Data!$O$10:$O$1807,0),"")</f>
        <v>0</v>
      </c>
    </row>
    <row r="25" spans="1:11" ht="21.75" customHeight="1">
      <c r="A25" s="9"/>
      <c r="B25" s="2">
        <f>IF($K$25="","",INDEX(Data!$A$10:$A$1807,$K$25))</f>
        <v>0</v>
      </c>
      <c r="C25" s="2">
        <f>IF($K$25="","",INDEX(Data!$B$10:$B$1807,$K$25))</f>
        <v>0</v>
      </c>
      <c r="D25" s="16">
        <f>IF($K$25="","",INDEX(Data!$D$10:$D$1807,$K$25))</f>
        <v>0</v>
      </c>
      <c r="E25" s="3">
        <f>IF($K$25="","",INDEX(Data!$L$10:$L$1807,$K$25))</f>
        <v>0</v>
      </c>
      <c r="F25" s="3">
        <f>IF($K$25="","",INDEX(Data!$M$10:$M$1807,$K$25))</f>
        <v>0</v>
      </c>
      <c r="G25" s="3">
        <f>IF($K$25="","",INDEX(Data!$G$10:$G$1807,$K$25))</f>
        <v>0</v>
      </c>
      <c r="H25" s="3">
        <f>IF($K$25="","",INDEX(Data!$H$10:$H$1807,$K$25))</f>
        <v>0</v>
      </c>
      <c r="I25" s="3">
        <f>IF($K$25="","",INDEX(Data!$I$10:$I$1807,$K$25))</f>
        <v>0</v>
      </c>
      <c r="K25" s="2">
        <f>IFERROR(MATCH(16,Data!$O$10:$O$1807,0),"")</f>
        <v>0</v>
      </c>
    </row>
    <row r="26" spans="1:11" ht="21.75" customHeight="1">
      <c r="A26" s="9"/>
      <c r="B26" s="2">
        <f>IF($K$26="","",INDEX(Data!$A$10:$A$1807,$K$26))</f>
        <v>0</v>
      </c>
      <c r="C26" s="2">
        <f>IF($K$26="","",INDEX(Data!$B$10:$B$1807,$K$26))</f>
        <v>0</v>
      </c>
      <c r="D26" s="16">
        <f>IF($K$26="","",INDEX(Data!$D$10:$D$1807,$K$26))</f>
        <v>0</v>
      </c>
      <c r="E26" s="3">
        <f>IF($K$26="","",INDEX(Data!$L$10:$L$1807,$K$26))</f>
        <v>0</v>
      </c>
      <c r="F26" s="3">
        <f>IF($K$26="","",INDEX(Data!$M$10:$M$1807,$K$26))</f>
        <v>0</v>
      </c>
      <c r="G26" s="3">
        <f>IF($K$26="","",INDEX(Data!$G$10:$G$1807,$K$26))</f>
        <v>0</v>
      </c>
      <c r="H26" s="3">
        <f>IF($K$26="","",INDEX(Data!$H$10:$H$1807,$K$26))</f>
        <v>0</v>
      </c>
      <c r="I26" s="3">
        <f>IF($K$26="","",INDEX(Data!$I$10:$I$1807,$K$26))</f>
        <v>0</v>
      </c>
      <c r="K26" s="2">
        <f>IFERROR(MATCH(17,Data!$O$10:$O$1807,0),"")</f>
        <v>0</v>
      </c>
    </row>
    <row r="27" spans="1:11" ht="21.75" customHeight="1">
      <c r="A27" s="9"/>
      <c r="B27" s="2">
        <f>IF($K$27="","",INDEX(Data!$A$10:$A$1807,$K$27))</f>
        <v>0</v>
      </c>
      <c r="C27" s="2">
        <f>IF($K$27="","",INDEX(Data!$B$10:$B$1807,$K$27))</f>
        <v>0</v>
      </c>
      <c r="D27" s="16">
        <f>IF($K$27="","",INDEX(Data!$D$10:$D$1807,$K$27))</f>
        <v>0</v>
      </c>
      <c r="E27" s="3">
        <f>IF($K$27="","",INDEX(Data!$L$10:$L$1807,$K$27))</f>
        <v>0</v>
      </c>
      <c r="F27" s="3">
        <f>IF($K$27="","",INDEX(Data!$M$10:$M$1807,$K$27))</f>
        <v>0</v>
      </c>
      <c r="G27" s="3">
        <f>IF($K$27="","",INDEX(Data!$G$10:$G$1807,$K$27))</f>
        <v>0</v>
      </c>
      <c r="H27" s="3">
        <f>IF($K$27="","",INDEX(Data!$H$10:$H$1807,$K$27))</f>
        <v>0</v>
      </c>
      <c r="I27" s="3">
        <f>IF($K$27="","",INDEX(Data!$I$10:$I$1807,$K$27))</f>
        <v>0</v>
      </c>
      <c r="K27" s="2">
        <f>IFERROR(MATCH(18,Data!$O$10:$O$1807,0),"")</f>
        <v>0</v>
      </c>
    </row>
    <row r="28" spans="1:11" ht="21.75" customHeight="1">
      <c r="A28" s="9"/>
      <c r="B28" s="2">
        <f>IF($K$28="","",INDEX(Data!$A$10:$A$1807,$K$28))</f>
        <v>0</v>
      </c>
      <c r="C28" s="2">
        <f>IF($K$28="","",INDEX(Data!$B$10:$B$1807,$K$28))</f>
        <v>0</v>
      </c>
      <c r="D28" s="16">
        <f>IF($K$28="","",INDEX(Data!$D$10:$D$1807,$K$28))</f>
        <v>0</v>
      </c>
      <c r="E28" s="3">
        <f>IF($K$28="","",INDEX(Data!$L$10:$L$1807,$K$28))</f>
        <v>0</v>
      </c>
      <c r="F28" s="3">
        <f>IF($K$28="","",INDEX(Data!$M$10:$M$1807,$K$28))</f>
        <v>0</v>
      </c>
      <c r="G28" s="3">
        <f>IF($K$28="","",INDEX(Data!$G$10:$G$1807,$K$28))</f>
        <v>0</v>
      </c>
      <c r="H28" s="3">
        <f>IF($K$28="","",INDEX(Data!$H$10:$H$1807,$K$28))</f>
        <v>0</v>
      </c>
      <c r="I28" s="3">
        <f>IF($K$28="","",INDEX(Data!$I$10:$I$1807,$K$28))</f>
        <v>0</v>
      </c>
      <c r="K28" s="2">
        <f>IFERROR(MATCH(19,Data!$O$10:$O$1807,0),"")</f>
        <v>0</v>
      </c>
    </row>
    <row r="29" spans="1:11" ht="21.75" customHeight="1">
      <c r="A29" s="9"/>
      <c r="B29" s="2">
        <f>IF($K$29="","",INDEX(Data!$A$10:$A$1807,$K$29))</f>
        <v>0</v>
      </c>
      <c r="C29" s="2">
        <f>IF($K$29="","",INDEX(Data!$B$10:$B$1807,$K$29))</f>
        <v>0</v>
      </c>
      <c r="D29" s="16">
        <f>IF($K$29="","",INDEX(Data!$D$10:$D$1807,$K$29))</f>
        <v>0</v>
      </c>
      <c r="E29" s="3">
        <f>IF($K$29="","",INDEX(Data!$L$10:$L$1807,$K$29))</f>
        <v>0</v>
      </c>
      <c r="F29" s="3">
        <f>IF($K$29="","",INDEX(Data!$M$10:$M$1807,$K$29))</f>
        <v>0</v>
      </c>
      <c r="G29" s="3">
        <f>IF($K$29="","",INDEX(Data!$G$10:$G$1807,$K$29))</f>
        <v>0</v>
      </c>
      <c r="H29" s="3">
        <f>IF($K$29="","",INDEX(Data!$H$10:$H$1807,$K$29))</f>
        <v>0</v>
      </c>
      <c r="I29" s="3">
        <f>IF($K$29="","",INDEX(Data!$I$10:$I$1807,$K$29))</f>
        <v>0</v>
      </c>
      <c r="K29" s="2">
        <f>IFERROR(MATCH(20,Data!$O$10:$O$1807,0),"")</f>
        <v>0</v>
      </c>
    </row>
    <row r="30" spans="1:11" ht="21.75" customHeight="1">
      <c r="A30" s="9"/>
      <c r="B30" s="2">
        <f>IF($K$30="","",INDEX(Data!$A$10:$A$1807,$K$30))</f>
        <v>0</v>
      </c>
      <c r="C30" s="2">
        <f>IF($K$30="","",INDEX(Data!$B$10:$B$1807,$K$30))</f>
        <v>0</v>
      </c>
      <c r="D30" s="16">
        <f>IF($K$30="","",INDEX(Data!$D$10:$D$1807,$K$30))</f>
        <v>0</v>
      </c>
      <c r="E30" s="3">
        <f>IF($K$30="","",INDEX(Data!$L$10:$L$1807,$K$30))</f>
        <v>0</v>
      </c>
      <c r="F30" s="3">
        <f>IF($K$30="","",INDEX(Data!$M$10:$M$1807,$K$30))</f>
        <v>0</v>
      </c>
      <c r="G30" s="3">
        <f>IF($K$30="","",INDEX(Data!$G$10:$G$1807,$K$30))</f>
        <v>0</v>
      </c>
      <c r="H30" s="3">
        <f>IF($K$30="","",INDEX(Data!$H$10:$H$1807,$K$30))</f>
        <v>0</v>
      </c>
      <c r="I30" s="3">
        <f>IF($K$30="","",INDEX(Data!$I$10:$I$1807,$K$30))</f>
        <v>0</v>
      </c>
      <c r="K30" s="2">
        <f>IFERROR(MATCH(21,Data!$O$10:$O$1807,0),"")</f>
        <v>0</v>
      </c>
    </row>
    <row r="31" spans="1:11" ht="21.75" customHeight="1">
      <c r="A31" s="9"/>
      <c r="B31" s="2">
        <f>IF($K$31="","",INDEX(Data!$A$10:$A$1807,$K$31))</f>
        <v>0</v>
      </c>
      <c r="C31" s="2">
        <f>IF($K$31="","",INDEX(Data!$B$10:$B$1807,$K$31))</f>
        <v>0</v>
      </c>
      <c r="D31" s="16">
        <f>IF($K$31="","",INDEX(Data!$D$10:$D$1807,$K$31))</f>
        <v>0</v>
      </c>
      <c r="E31" s="3">
        <f>IF($K$31="","",INDEX(Data!$L$10:$L$1807,$K$31))</f>
        <v>0</v>
      </c>
      <c r="F31" s="3">
        <f>IF($K$31="","",INDEX(Data!$M$10:$M$1807,$K$31))</f>
        <v>0</v>
      </c>
      <c r="G31" s="3">
        <f>IF($K$31="","",INDEX(Data!$G$10:$G$1807,$K$31))</f>
        <v>0</v>
      </c>
      <c r="H31" s="3">
        <f>IF($K$31="","",INDEX(Data!$H$10:$H$1807,$K$31))</f>
        <v>0</v>
      </c>
      <c r="I31" s="3">
        <f>IF($K$31="","",INDEX(Data!$I$10:$I$1807,$K$31))</f>
        <v>0</v>
      </c>
      <c r="K31" s="2">
        <f>IFERROR(MATCH(22,Data!$O$10:$O$1807,0),"")</f>
        <v>0</v>
      </c>
    </row>
    <row r="32" spans="1:11" ht="21.75" customHeight="1">
      <c r="A32" s="9"/>
      <c r="B32" s="2">
        <f>IF($K$32="","",INDEX(Data!$A$10:$A$1807,$K$32))</f>
        <v>0</v>
      </c>
      <c r="C32" s="2">
        <f>IF($K$32="","",INDEX(Data!$B$10:$B$1807,$K$32))</f>
        <v>0</v>
      </c>
      <c r="D32" s="16">
        <f>IF($K$32="","",INDEX(Data!$D$10:$D$1807,$K$32))</f>
        <v>0</v>
      </c>
      <c r="E32" s="3">
        <f>IF($K$32="","",INDEX(Data!$L$10:$L$1807,$K$32))</f>
        <v>0</v>
      </c>
      <c r="F32" s="3">
        <f>IF($K$32="","",INDEX(Data!$M$10:$M$1807,$K$32))</f>
        <v>0</v>
      </c>
      <c r="G32" s="3">
        <f>IF($K$32="","",INDEX(Data!$G$10:$G$1807,$K$32))</f>
        <v>0</v>
      </c>
      <c r="H32" s="3">
        <f>IF($K$32="","",INDEX(Data!$H$10:$H$1807,$K$32))</f>
        <v>0</v>
      </c>
      <c r="I32" s="3">
        <f>IF($K$32="","",INDEX(Data!$I$10:$I$1807,$K$32))</f>
        <v>0</v>
      </c>
      <c r="K32" s="2">
        <f>IFERROR(MATCH(23,Data!$O$10:$O$1807,0),"")</f>
        <v>0</v>
      </c>
    </row>
    <row r="33" spans="1:11" ht="21.75" customHeight="1">
      <c r="A33" s="9"/>
      <c r="B33" s="2">
        <f>IF($K$33="","",INDEX(Data!$A$10:$A$1807,$K$33))</f>
        <v>0</v>
      </c>
      <c r="C33" s="2">
        <f>IF($K$33="","",INDEX(Data!$B$10:$B$1807,$K$33))</f>
        <v>0</v>
      </c>
      <c r="D33" s="16">
        <f>IF($K$33="","",INDEX(Data!$D$10:$D$1807,$K$33))</f>
        <v>0</v>
      </c>
      <c r="E33" s="3">
        <f>IF($K$33="","",INDEX(Data!$L$10:$L$1807,$K$33))</f>
        <v>0</v>
      </c>
      <c r="F33" s="3">
        <f>IF($K$33="","",INDEX(Data!$M$10:$M$1807,$K$33))</f>
        <v>0</v>
      </c>
      <c r="G33" s="3">
        <f>IF($K$33="","",INDEX(Data!$G$10:$G$1807,$K$33))</f>
        <v>0</v>
      </c>
      <c r="H33" s="3">
        <f>IF($K$33="","",INDEX(Data!$H$10:$H$1807,$K$33))</f>
        <v>0</v>
      </c>
      <c r="I33" s="3">
        <f>IF($K$33="","",INDEX(Data!$I$10:$I$1807,$K$33))</f>
        <v>0</v>
      </c>
      <c r="K33" s="2">
        <f>IFERROR(MATCH(24,Data!$O$10:$O$1807,0),"")</f>
        <v>0</v>
      </c>
    </row>
    <row r="34" spans="1:11" ht="21.75" customHeight="1">
      <c r="A34" s="9"/>
      <c r="B34" s="2">
        <f>IF($K$34="","",INDEX(Data!$A$10:$A$1807,$K$34))</f>
        <v>0</v>
      </c>
      <c r="C34" s="2">
        <f>IF($K$34="","",INDEX(Data!$B$10:$B$1807,$K$34))</f>
        <v>0</v>
      </c>
      <c r="D34" s="16">
        <f>IF($K$34="","",INDEX(Data!$D$10:$D$1807,$K$34))</f>
        <v>0</v>
      </c>
      <c r="E34" s="3">
        <f>IF($K$34="","",INDEX(Data!$L$10:$L$1807,$K$34))</f>
        <v>0</v>
      </c>
      <c r="F34" s="3">
        <f>IF($K$34="","",INDEX(Data!$M$10:$M$1807,$K$34))</f>
        <v>0</v>
      </c>
      <c r="G34" s="3">
        <f>IF($K$34="","",INDEX(Data!$G$10:$G$1807,$K$34))</f>
        <v>0</v>
      </c>
      <c r="H34" s="3">
        <f>IF($K$34="","",INDEX(Data!$H$10:$H$1807,$K$34))</f>
        <v>0</v>
      </c>
      <c r="I34" s="3">
        <f>IF($K$34="","",INDEX(Data!$I$10:$I$1807,$K$34))</f>
        <v>0</v>
      </c>
      <c r="K34" s="2">
        <f>IFERROR(MATCH(25,Data!$O$10:$O$1807,0),"")</f>
        <v>0</v>
      </c>
    </row>
    <row r="35" spans="1:11" ht="21.75" customHeight="1">
      <c r="A35" s="9"/>
      <c r="B35" s="2">
        <f>IF($K$35="","",INDEX(Data!$A$10:$A$1807,$K$35))</f>
        <v>0</v>
      </c>
      <c r="C35" s="2">
        <f>IF($K$35="","",INDEX(Data!$B$10:$B$1807,$K$35))</f>
        <v>0</v>
      </c>
      <c r="D35" s="16">
        <f>IF($K$35="","",INDEX(Data!$D$10:$D$1807,$K$35))</f>
        <v>0</v>
      </c>
      <c r="E35" s="3">
        <f>IF($K$35="","",INDEX(Data!$L$10:$L$1807,$K$35))</f>
        <v>0</v>
      </c>
      <c r="F35" s="3">
        <f>IF($K$35="","",INDEX(Data!$M$10:$M$1807,$K$35))</f>
        <v>0</v>
      </c>
      <c r="G35" s="3">
        <f>IF($K$35="","",INDEX(Data!$G$10:$G$1807,$K$35))</f>
        <v>0</v>
      </c>
      <c r="H35" s="3">
        <f>IF($K$35="","",INDEX(Data!$H$10:$H$1807,$K$35))</f>
        <v>0</v>
      </c>
      <c r="I35" s="3">
        <f>IF($K$35="","",INDEX(Data!$I$10:$I$1807,$K$35))</f>
        <v>0</v>
      </c>
      <c r="K35" s="2">
        <f>IFERROR(MATCH(26,Data!$O$10:$O$1807,0),"")</f>
        <v>0</v>
      </c>
    </row>
    <row r="36" spans="1:11" ht="21.75" customHeight="1">
      <c r="A36" s="9"/>
      <c r="B36" s="2">
        <f>IF($K$36="","",INDEX(Data!$A$10:$A$1807,$K$36))</f>
        <v>0</v>
      </c>
      <c r="C36" s="2">
        <f>IF($K$36="","",INDEX(Data!$B$10:$B$1807,$K$36))</f>
        <v>0</v>
      </c>
      <c r="D36" s="16">
        <f>IF($K$36="","",INDEX(Data!$D$10:$D$1807,$K$36))</f>
        <v>0</v>
      </c>
      <c r="E36" s="3">
        <f>IF($K$36="","",INDEX(Data!$L$10:$L$1807,$K$36))</f>
        <v>0</v>
      </c>
      <c r="F36" s="3">
        <f>IF($K$36="","",INDEX(Data!$M$10:$M$1807,$K$36))</f>
        <v>0</v>
      </c>
      <c r="G36" s="3">
        <f>IF($K$36="","",INDEX(Data!$G$10:$G$1807,$K$36))</f>
        <v>0</v>
      </c>
      <c r="H36" s="3">
        <f>IF($K$36="","",INDEX(Data!$H$10:$H$1807,$K$36))</f>
        <v>0</v>
      </c>
      <c r="I36" s="3">
        <f>IF($K$36="","",INDEX(Data!$I$10:$I$1807,$K$36))</f>
        <v>0</v>
      </c>
      <c r="K36" s="2">
        <f>IFERROR(MATCH(27,Data!$O$10:$O$1807,0),"")</f>
        <v>0</v>
      </c>
    </row>
    <row r="37" spans="1:11" ht="21.75" customHeight="1">
      <c r="A37" s="9"/>
      <c r="B37" s="2">
        <f>IF($K$37="","",INDEX(Data!$A$10:$A$1807,$K$37))</f>
        <v>0</v>
      </c>
      <c r="C37" s="2">
        <f>IF($K$37="","",INDEX(Data!$B$10:$B$1807,$K$37))</f>
        <v>0</v>
      </c>
      <c r="D37" s="16">
        <f>IF($K$37="","",INDEX(Data!$D$10:$D$1807,$K$37))</f>
        <v>0</v>
      </c>
      <c r="E37" s="3">
        <f>IF($K$37="","",INDEX(Data!$L$10:$L$1807,$K$37))</f>
        <v>0</v>
      </c>
      <c r="F37" s="3">
        <f>IF($K$37="","",INDEX(Data!$M$10:$M$1807,$K$37))</f>
        <v>0</v>
      </c>
      <c r="G37" s="3">
        <f>IF($K$37="","",INDEX(Data!$G$10:$G$1807,$K$37))</f>
        <v>0</v>
      </c>
      <c r="H37" s="3">
        <f>IF($K$37="","",INDEX(Data!$H$10:$H$1807,$K$37))</f>
        <v>0</v>
      </c>
      <c r="I37" s="3">
        <f>IF($K$37="","",INDEX(Data!$I$10:$I$1807,$K$37))</f>
        <v>0</v>
      </c>
      <c r="K37" s="2">
        <f>IFERROR(MATCH(28,Data!$O$10:$O$1807,0),"")</f>
        <v>0</v>
      </c>
    </row>
    <row r="38" spans="1:11" ht="21.75" customHeight="1">
      <c r="A38" s="9"/>
      <c r="B38" s="2">
        <f>IF($K$38="","",INDEX(Data!$A$10:$A$1807,$K$38))</f>
        <v>0</v>
      </c>
      <c r="C38" s="2">
        <f>IF($K$38="","",INDEX(Data!$B$10:$B$1807,$K$38))</f>
        <v>0</v>
      </c>
      <c r="D38" s="16">
        <f>IF($K$38="","",INDEX(Data!$D$10:$D$1807,$K$38))</f>
        <v>0</v>
      </c>
      <c r="E38" s="3">
        <f>IF($K$38="","",INDEX(Data!$L$10:$L$1807,$K$38))</f>
        <v>0</v>
      </c>
      <c r="F38" s="3">
        <f>IF($K$38="","",INDEX(Data!$M$10:$M$1807,$K$38))</f>
        <v>0</v>
      </c>
      <c r="G38" s="3">
        <f>IF($K$38="","",INDEX(Data!$G$10:$G$1807,$K$38))</f>
        <v>0</v>
      </c>
      <c r="H38" s="3">
        <f>IF($K$38="","",INDEX(Data!$H$10:$H$1807,$K$38))</f>
        <v>0</v>
      </c>
      <c r="I38" s="3">
        <f>IF($K$38="","",INDEX(Data!$I$10:$I$1807,$K$38))</f>
        <v>0</v>
      </c>
      <c r="K38" s="2">
        <f>IFERROR(MATCH(29,Data!$O$10:$O$1807,0),"")</f>
        <v>0</v>
      </c>
    </row>
    <row r="39" spans="1:11" ht="21.75" customHeight="1">
      <c r="A39" s="9"/>
      <c r="B39" s="2">
        <f>IF($K$39="","",INDEX(Data!$A$10:$A$1807,$K$39))</f>
        <v>0</v>
      </c>
      <c r="C39" s="2">
        <f>IF($K$39="","",INDEX(Data!$B$10:$B$1807,$K$39))</f>
        <v>0</v>
      </c>
      <c r="D39" s="16">
        <f>IF($K$39="","",INDEX(Data!$D$10:$D$1807,$K$39))</f>
        <v>0</v>
      </c>
      <c r="E39" s="3">
        <f>IF($K$39="","",INDEX(Data!$L$10:$L$1807,$K$39))</f>
        <v>0</v>
      </c>
      <c r="F39" s="3">
        <f>IF($K$39="","",INDEX(Data!$M$10:$M$1807,$K$39))</f>
        <v>0</v>
      </c>
      <c r="G39" s="3">
        <f>IF($K$39="","",INDEX(Data!$G$10:$G$1807,$K$39))</f>
        <v>0</v>
      </c>
      <c r="H39" s="3">
        <f>IF($K$39="","",INDEX(Data!$H$10:$H$1807,$K$39))</f>
        <v>0</v>
      </c>
      <c r="I39" s="3">
        <f>IF($K$39="","",INDEX(Data!$I$10:$I$1807,$K$39))</f>
        <v>0</v>
      </c>
      <c r="K39" s="2">
        <f>IFERROR(MATCH(30,Data!$O$10:$O$1807,0),"")</f>
        <v>0</v>
      </c>
    </row>
    <row r="40" spans="1:11" ht="21.75" customHeight="1">
      <c r="A40" s="9"/>
      <c r="B40" s="2">
        <f>IF($K$40="","",INDEX(Data!$A$10:$A$1807,$K$40))</f>
        <v>0</v>
      </c>
      <c r="C40" s="2">
        <f>IF($K$40="","",INDEX(Data!$B$10:$B$1807,$K$40))</f>
        <v>0</v>
      </c>
      <c r="D40" s="16">
        <f>IF($K$40="","",INDEX(Data!$D$10:$D$1807,$K$40))</f>
        <v>0</v>
      </c>
      <c r="E40" s="3">
        <f>IF($K$40="","",INDEX(Data!$L$10:$L$1807,$K$40))</f>
        <v>0</v>
      </c>
      <c r="F40" s="3">
        <f>IF($K$40="","",INDEX(Data!$M$10:$M$1807,$K$40))</f>
        <v>0</v>
      </c>
      <c r="G40" s="3">
        <f>IF($K$40="","",INDEX(Data!$G$10:$G$1807,$K$40))</f>
        <v>0</v>
      </c>
      <c r="H40" s="3">
        <f>IF($K$40="","",INDEX(Data!$H$10:$H$1807,$K$40))</f>
        <v>0</v>
      </c>
      <c r="I40" s="3">
        <f>IF($K$40="","",INDEX(Data!$I$10:$I$1807,$K$40))</f>
        <v>0</v>
      </c>
      <c r="K40" s="2">
        <f>IFERROR(MATCH(31,Data!$O$10:$O$1807,0),"")</f>
        <v>0</v>
      </c>
    </row>
    <row r="41" spans="1:11" ht="21.75" customHeight="1">
      <c r="A41" s="9"/>
      <c r="B41" s="2">
        <f>IF($K$41="","",INDEX(Data!$A$10:$A$1807,$K$41))</f>
        <v>0</v>
      </c>
      <c r="C41" s="2">
        <f>IF($K$41="","",INDEX(Data!$B$10:$B$1807,$K$41))</f>
        <v>0</v>
      </c>
      <c r="D41" s="16">
        <f>IF($K$41="","",INDEX(Data!$D$10:$D$1807,$K$41))</f>
        <v>0</v>
      </c>
      <c r="E41" s="3">
        <f>IF($K$41="","",INDEX(Data!$L$10:$L$1807,$K$41))</f>
        <v>0</v>
      </c>
      <c r="F41" s="3">
        <f>IF($K$41="","",INDEX(Data!$M$10:$M$1807,$K$41))</f>
        <v>0</v>
      </c>
      <c r="G41" s="3">
        <f>IF($K$41="","",INDEX(Data!$G$10:$G$1807,$K$41))</f>
        <v>0</v>
      </c>
      <c r="H41" s="3">
        <f>IF($K$41="","",INDEX(Data!$H$10:$H$1807,$K$41))</f>
        <v>0</v>
      </c>
      <c r="I41" s="3">
        <f>IF($K$41="","",INDEX(Data!$I$10:$I$1807,$K$41))</f>
        <v>0</v>
      </c>
      <c r="K41" s="2">
        <f>IFERROR(MATCH(32,Data!$O$10:$O$1807,0),"")</f>
        <v>0</v>
      </c>
    </row>
    <row r="42" spans="1:11" ht="21.75" customHeight="1">
      <c r="A42" s="9"/>
      <c r="B42" s="2">
        <f>IF($K$42="","",INDEX(Data!$A$10:$A$1807,$K$42))</f>
        <v>0</v>
      </c>
      <c r="C42" s="2">
        <f>IF($K$42="","",INDEX(Data!$B$10:$B$1807,$K$42))</f>
        <v>0</v>
      </c>
      <c r="D42" s="16">
        <f>IF($K$42="","",INDEX(Data!$D$10:$D$1807,$K$42))</f>
        <v>0</v>
      </c>
      <c r="E42" s="3">
        <f>IF($K$42="","",INDEX(Data!$L$10:$L$1807,$K$42))</f>
        <v>0</v>
      </c>
      <c r="F42" s="3">
        <f>IF($K$42="","",INDEX(Data!$M$10:$M$1807,$K$42))</f>
        <v>0</v>
      </c>
      <c r="G42" s="3">
        <f>IF($K$42="","",INDEX(Data!$G$10:$G$1807,$K$42))</f>
        <v>0</v>
      </c>
      <c r="H42" s="3">
        <f>IF($K$42="","",INDEX(Data!$H$10:$H$1807,$K$42))</f>
        <v>0</v>
      </c>
      <c r="I42" s="3">
        <f>IF($K$42="","",INDEX(Data!$I$10:$I$1807,$K$42))</f>
        <v>0</v>
      </c>
      <c r="K42" s="2">
        <f>IFERROR(MATCH(33,Data!$O$10:$O$1807,0),"")</f>
        <v>0</v>
      </c>
    </row>
    <row r="43" spans="1:11" ht="21.75" customHeight="1">
      <c r="A43" s="9"/>
      <c r="B43" s="2">
        <f>IF($K$43="","",INDEX(Data!$A$10:$A$1807,$K$43))</f>
        <v>0</v>
      </c>
      <c r="C43" s="2">
        <f>IF($K$43="","",INDEX(Data!$B$10:$B$1807,$K$43))</f>
        <v>0</v>
      </c>
      <c r="D43" s="16">
        <f>IF($K$43="","",INDEX(Data!$D$10:$D$1807,$K$43))</f>
        <v>0</v>
      </c>
      <c r="E43" s="3">
        <f>IF($K$43="","",INDEX(Data!$L$10:$L$1807,$K$43))</f>
        <v>0</v>
      </c>
      <c r="F43" s="3">
        <f>IF($K$43="","",INDEX(Data!$M$10:$M$1807,$K$43))</f>
        <v>0</v>
      </c>
      <c r="G43" s="3">
        <f>IF($K$43="","",INDEX(Data!$G$10:$G$1807,$K$43))</f>
        <v>0</v>
      </c>
      <c r="H43" s="3">
        <f>IF($K$43="","",INDEX(Data!$H$10:$H$1807,$K$43))</f>
        <v>0</v>
      </c>
      <c r="I43" s="3">
        <f>IF($K$43="","",INDEX(Data!$I$10:$I$1807,$K$43))</f>
        <v>0</v>
      </c>
      <c r="K43" s="2">
        <f>IFERROR(MATCH(34,Data!$O$10:$O$1807,0),"")</f>
        <v>0</v>
      </c>
    </row>
    <row r="44" spans="1:11" ht="21.75" customHeight="1">
      <c r="A44" s="9"/>
      <c r="B44" s="2">
        <f>IF($K$44="","",INDEX(Data!$A$10:$A$1807,$K$44))</f>
        <v>0</v>
      </c>
      <c r="C44" s="2">
        <f>IF($K$44="","",INDEX(Data!$B$10:$B$1807,$K$44))</f>
        <v>0</v>
      </c>
      <c r="D44" s="16">
        <f>IF($K$44="","",INDEX(Data!$D$10:$D$1807,$K$44))</f>
        <v>0</v>
      </c>
      <c r="E44" s="3">
        <f>IF($K$44="","",INDEX(Data!$L$10:$L$1807,$K$44))</f>
        <v>0</v>
      </c>
      <c r="F44" s="3">
        <f>IF($K$44="","",INDEX(Data!$M$10:$M$1807,$K$44))</f>
        <v>0</v>
      </c>
      <c r="G44" s="3">
        <f>IF($K$44="","",INDEX(Data!$G$10:$G$1807,$K$44))</f>
        <v>0</v>
      </c>
      <c r="H44" s="3">
        <f>IF($K$44="","",INDEX(Data!$H$10:$H$1807,$K$44))</f>
        <v>0</v>
      </c>
      <c r="I44" s="3">
        <f>IF($K$44="","",INDEX(Data!$I$10:$I$1807,$K$44))</f>
        <v>0</v>
      </c>
      <c r="K44" s="2">
        <f>IFERROR(MATCH(35,Data!$O$10:$O$1807,0),"")</f>
        <v>0</v>
      </c>
    </row>
    <row r="45" spans="1:11" ht="21.75" customHeight="1">
      <c r="A45" s="9"/>
      <c r="B45" s="2">
        <f>IF($K$45="","",INDEX(Data!$A$10:$A$1807,$K$45))</f>
        <v>0</v>
      </c>
      <c r="C45" s="2">
        <f>IF($K$45="","",INDEX(Data!$B$10:$B$1807,$K$45))</f>
        <v>0</v>
      </c>
      <c r="D45" s="16">
        <f>IF($K$45="","",INDEX(Data!$D$10:$D$1807,$K$45))</f>
        <v>0</v>
      </c>
      <c r="E45" s="3">
        <f>IF($K$45="","",INDEX(Data!$L$10:$L$1807,$K$45))</f>
        <v>0</v>
      </c>
      <c r="F45" s="3">
        <f>IF($K$45="","",INDEX(Data!$M$10:$M$1807,$K$45))</f>
        <v>0</v>
      </c>
      <c r="G45" s="3">
        <f>IF($K$45="","",INDEX(Data!$G$10:$G$1807,$K$45))</f>
        <v>0</v>
      </c>
      <c r="H45" s="3">
        <f>IF($K$45="","",INDEX(Data!$H$10:$H$1807,$K$45))</f>
        <v>0</v>
      </c>
      <c r="I45" s="3">
        <f>IF($K$45="","",INDEX(Data!$I$10:$I$1807,$K$45))</f>
        <v>0</v>
      </c>
      <c r="K45" s="2">
        <f>IFERROR(MATCH(36,Data!$O$10:$O$1807,0),"")</f>
        <v>0</v>
      </c>
    </row>
    <row r="46" spans="1:11" ht="21.75" customHeight="1">
      <c r="A46" s="9"/>
      <c r="B46" s="2">
        <f>IF($K$46="","",INDEX(Data!$A$10:$A$1807,$K$46))</f>
        <v>0</v>
      </c>
      <c r="C46" s="2">
        <f>IF($K$46="","",INDEX(Data!$B$10:$B$1807,$K$46))</f>
        <v>0</v>
      </c>
      <c r="D46" s="16">
        <f>IF($K$46="","",INDEX(Data!$D$10:$D$1807,$K$46))</f>
        <v>0</v>
      </c>
      <c r="E46" s="3">
        <f>IF($K$46="","",INDEX(Data!$L$10:$L$1807,$K$46))</f>
        <v>0</v>
      </c>
      <c r="F46" s="3">
        <f>IF($K$46="","",INDEX(Data!$M$10:$M$1807,$K$46))</f>
        <v>0</v>
      </c>
      <c r="G46" s="3">
        <f>IF($K$46="","",INDEX(Data!$G$10:$G$1807,$K$46))</f>
        <v>0</v>
      </c>
      <c r="H46" s="3">
        <f>IF($K$46="","",INDEX(Data!$H$10:$H$1807,$K$46))</f>
        <v>0</v>
      </c>
      <c r="I46" s="3">
        <f>IF($K$46="","",INDEX(Data!$I$10:$I$1807,$K$46))</f>
        <v>0</v>
      </c>
      <c r="K46" s="2">
        <f>IFERROR(MATCH(37,Data!$O$10:$O$1807,0),"")</f>
        <v>0</v>
      </c>
    </row>
    <row r="47" spans="1:11" ht="21.75" customHeight="1">
      <c r="A47" s="9"/>
      <c r="B47" s="2">
        <f>IF($K$47="","",INDEX(Data!$A$10:$A$1807,$K$47))</f>
        <v>0</v>
      </c>
      <c r="C47" s="2">
        <f>IF($K$47="","",INDEX(Data!$B$10:$B$1807,$K$47))</f>
        <v>0</v>
      </c>
      <c r="D47" s="16">
        <f>IF($K$47="","",INDEX(Data!$D$10:$D$1807,$K$47))</f>
        <v>0</v>
      </c>
      <c r="E47" s="3">
        <f>IF($K$47="","",INDEX(Data!$L$10:$L$1807,$K$47))</f>
        <v>0</v>
      </c>
      <c r="F47" s="3">
        <f>IF($K$47="","",INDEX(Data!$M$10:$M$1807,$K$47))</f>
        <v>0</v>
      </c>
      <c r="G47" s="3">
        <f>IF($K$47="","",INDEX(Data!$G$10:$G$1807,$K$47))</f>
        <v>0</v>
      </c>
      <c r="H47" s="3">
        <f>IF($K$47="","",INDEX(Data!$H$10:$H$1807,$K$47))</f>
        <v>0</v>
      </c>
      <c r="I47" s="3">
        <f>IF($K$47="","",INDEX(Data!$I$10:$I$1807,$K$47))</f>
        <v>0</v>
      </c>
      <c r="K47" s="2">
        <f>IFERROR(MATCH(38,Data!$O$10:$O$1807,0),"")</f>
        <v>0</v>
      </c>
    </row>
    <row r="48" spans="1:11" ht="21.75" customHeight="1">
      <c r="A48" s="9"/>
      <c r="B48" s="2">
        <f>IF($K$48="","",INDEX(Data!$A$10:$A$1807,$K$48))</f>
        <v>0</v>
      </c>
      <c r="C48" s="2">
        <f>IF($K$48="","",INDEX(Data!$B$10:$B$1807,$K$48))</f>
        <v>0</v>
      </c>
      <c r="D48" s="16">
        <f>IF($K$48="","",INDEX(Data!$D$10:$D$1807,$K$48))</f>
        <v>0</v>
      </c>
      <c r="E48" s="3">
        <f>IF($K$48="","",INDEX(Data!$L$10:$L$1807,$K$48))</f>
        <v>0</v>
      </c>
      <c r="F48" s="3">
        <f>IF($K$48="","",INDEX(Data!$M$10:$M$1807,$K$48))</f>
        <v>0</v>
      </c>
      <c r="G48" s="3">
        <f>IF($K$48="","",INDEX(Data!$G$10:$G$1807,$K$48))</f>
        <v>0</v>
      </c>
      <c r="H48" s="3">
        <f>IF($K$48="","",INDEX(Data!$H$10:$H$1807,$K$48))</f>
        <v>0</v>
      </c>
      <c r="I48" s="3">
        <f>IF($K$48="","",INDEX(Data!$I$10:$I$1807,$K$48))</f>
        <v>0</v>
      </c>
      <c r="K48" s="2">
        <f>IFERROR(MATCH(39,Data!$O$10:$O$1807,0),"")</f>
        <v>0</v>
      </c>
    </row>
    <row r="49" spans="1:11" ht="21.75" customHeight="1">
      <c r="A49" s="9"/>
      <c r="B49" s="2">
        <f>IF($K$49="","",INDEX(Data!$A$10:$A$1807,$K$49))</f>
        <v>0</v>
      </c>
      <c r="C49" s="2">
        <f>IF($K$49="","",INDEX(Data!$B$10:$B$1807,$K$49))</f>
        <v>0</v>
      </c>
      <c r="D49" s="16">
        <f>IF($K$49="","",INDEX(Data!$D$10:$D$1807,$K$49))</f>
        <v>0</v>
      </c>
      <c r="E49" s="3">
        <f>IF($K$49="","",INDEX(Data!$L$10:$L$1807,$K$49))</f>
        <v>0</v>
      </c>
      <c r="F49" s="3">
        <f>IF($K$49="","",INDEX(Data!$M$10:$M$1807,$K$49))</f>
        <v>0</v>
      </c>
      <c r="G49" s="3">
        <f>IF($K$49="","",INDEX(Data!$G$10:$G$1807,$K$49))</f>
        <v>0</v>
      </c>
      <c r="H49" s="3">
        <f>IF($K$49="","",INDEX(Data!$H$10:$H$1807,$K$49))</f>
        <v>0</v>
      </c>
      <c r="I49" s="3">
        <f>IF($K$49="","",INDEX(Data!$I$10:$I$1807,$K$49))</f>
        <v>0</v>
      </c>
      <c r="K49" s="2">
        <f>IFERROR(MATCH(40,Data!$O$10:$O$1807,0),"")</f>
        <v>0</v>
      </c>
    </row>
    <row r="50" spans="1:11" ht="21.75" customHeight="1">
      <c r="A50" s="9"/>
      <c r="B50" s="2">
        <f>IF($K$50="","",INDEX(Data!$A$10:$A$1807,$K$50))</f>
        <v>0</v>
      </c>
      <c r="C50" s="2">
        <f>IF($K$50="","",INDEX(Data!$B$10:$B$1807,$K$50))</f>
        <v>0</v>
      </c>
      <c r="D50" s="16">
        <f>IF($K$50="","",INDEX(Data!$D$10:$D$1807,$K$50))</f>
        <v>0</v>
      </c>
      <c r="E50" s="3">
        <f>IF($K$50="","",INDEX(Data!$L$10:$L$1807,$K$50))</f>
        <v>0</v>
      </c>
      <c r="F50" s="3">
        <f>IF($K$50="","",INDEX(Data!$M$10:$M$1807,$K$50))</f>
        <v>0</v>
      </c>
      <c r="G50" s="3">
        <f>IF($K$50="","",INDEX(Data!$G$10:$G$1807,$K$50))</f>
        <v>0</v>
      </c>
      <c r="H50" s="3">
        <f>IF($K$50="","",INDEX(Data!$H$10:$H$1807,$K$50))</f>
        <v>0</v>
      </c>
      <c r="I50" s="3">
        <f>IF($K$50="","",INDEX(Data!$I$10:$I$1807,$K$50))</f>
        <v>0</v>
      </c>
      <c r="K50" s="2">
        <f>IFERROR(MATCH(41,Data!$O$10:$O$1807,0),"")</f>
        <v>0</v>
      </c>
    </row>
    <row r="51" spans="1:11" ht="21.75" customHeight="1">
      <c r="A51" s="9"/>
      <c r="B51" s="2">
        <f>IF($K$51="","",INDEX(Data!$A$10:$A$1807,$K$51))</f>
        <v>0</v>
      </c>
      <c r="C51" s="2">
        <f>IF($K$51="","",INDEX(Data!$B$10:$B$1807,$K$51))</f>
        <v>0</v>
      </c>
      <c r="D51" s="16">
        <f>IF($K$51="","",INDEX(Data!$D$10:$D$1807,$K$51))</f>
        <v>0</v>
      </c>
      <c r="E51" s="3">
        <f>IF($K$51="","",INDEX(Data!$L$10:$L$1807,$K$51))</f>
        <v>0</v>
      </c>
      <c r="F51" s="3">
        <f>IF($K$51="","",INDEX(Data!$M$10:$M$1807,$K$51))</f>
        <v>0</v>
      </c>
      <c r="G51" s="3">
        <f>IF($K$51="","",INDEX(Data!$G$10:$G$1807,$K$51))</f>
        <v>0</v>
      </c>
      <c r="H51" s="3">
        <f>IF($K$51="","",INDEX(Data!$H$10:$H$1807,$K$51))</f>
        <v>0</v>
      </c>
      <c r="I51" s="3">
        <f>IF($K$51="","",INDEX(Data!$I$10:$I$1807,$K$51))</f>
        <v>0</v>
      </c>
      <c r="K51" s="2">
        <f>IFERROR(MATCH(42,Data!$O$10:$O$1807,0),"")</f>
        <v>0</v>
      </c>
    </row>
    <row r="52" spans="1:11" ht="21.75" customHeight="1">
      <c r="A52" s="9"/>
      <c r="B52" s="2">
        <f>IF($K$52="","",INDEX(Data!$A$10:$A$1807,$K$52))</f>
        <v>0</v>
      </c>
      <c r="C52" s="2">
        <f>IF($K$52="","",INDEX(Data!$B$10:$B$1807,$K$52))</f>
        <v>0</v>
      </c>
      <c r="D52" s="16">
        <f>IF($K$52="","",INDEX(Data!$D$10:$D$1807,$K$52))</f>
        <v>0</v>
      </c>
      <c r="E52" s="3">
        <f>IF($K$52="","",INDEX(Data!$L$10:$L$1807,$K$52))</f>
        <v>0</v>
      </c>
      <c r="F52" s="3">
        <f>IF($K$52="","",INDEX(Data!$M$10:$M$1807,$K$52))</f>
        <v>0</v>
      </c>
      <c r="G52" s="3">
        <f>IF($K$52="","",INDEX(Data!$G$10:$G$1807,$K$52))</f>
        <v>0</v>
      </c>
      <c r="H52" s="3">
        <f>IF($K$52="","",INDEX(Data!$H$10:$H$1807,$K$52))</f>
        <v>0</v>
      </c>
      <c r="I52" s="3">
        <f>IF($K$52="","",INDEX(Data!$I$10:$I$1807,$K$52))</f>
        <v>0</v>
      </c>
      <c r="K52" s="2">
        <f>IFERROR(MATCH(43,Data!$O$10:$O$1807,0),"")</f>
        <v>0</v>
      </c>
    </row>
    <row r="53" spans="1:11" ht="21.75" customHeight="1">
      <c r="A53" s="9"/>
      <c r="B53" s="2">
        <f>IF($K$53="","",INDEX(Data!$A$10:$A$1807,$K$53))</f>
        <v>0</v>
      </c>
      <c r="C53" s="2">
        <f>IF($K$53="","",INDEX(Data!$B$10:$B$1807,$K$53))</f>
        <v>0</v>
      </c>
      <c r="D53" s="16">
        <f>IF($K$53="","",INDEX(Data!$D$10:$D$1807,$K$53))</f>
        <v>0</v>
      </c>
      <c r="E53" s="3">
        <f>IF($K$53="","",INDEX(Data!$L$10:$L$1807,$K$53))</f>
        <v>0</v>
      </c>
      <c r="F53" s="3">
        <f>IF($K$53="","",INDEX(Data!$M$10:$M$1807,$K$53))</f>
        <v>0</v>
      </c>
      <c r="G53" s="3">
        <f>IF($K$53="","",INDEX(Data!$G$10:$G$1807,$K$53))</f>
        <v>0</v>
      </c>
      <c r="H53" s="3">
        <f>IF($K$53="","",INDEX(Data!$H$10:$H$1807,$K$53))</f>
        <v>0</v>
      </c>
      <c r="I53" s="3">
        <f>IF($K$53="","",INDEX(Data!$I$10:$I$1807,$K$53))</f>
        <v>0</v>
      </c>
      <c r="K53" s="2">
        <f>IFERROR(MATCH(44,Data!$O$10:$O$1807,0),"")</f>
        <v>0</v>
      </c>
    </row>
    <row r="54" spans="1:11" ht="21.75" customHeight="1">
      <c r="A54" s="9"/>
      <c r="B54" s="2">
        <f>IF($K$54="","",INDEX(Data!$A$10:$A$1807,$K$54))</f>
        <v>0</v>
      </c>
      <c r="C54" s="2">
        <f>IF($K$54="","",INDEX(Data!$B$10:$B$1807,$K$54))</f>
        <v>0</v>
      </c>
      <c r="D54" s="16">
        <f>IF($K$54="","",INDEX(Data!$D$10:$D$1807,$K$54))</f>
        <v>0</v>
      </c>
      <c r="E54" s="3">
        <f>IF($K$54="","",INDEX(Data!$L$10:$L$1807,$K$54))</f>
        <v>0</v>
      </c>
      <c r="F54" s="3">
        <f>IF($K$54="","",INDEX(Data!$M$10:$M$1807,$K$54))</f>
        <v>0</v>
      </c>
      <c r="G54" s="3">
        <f>IF($K$54="","",INDEX(Data!$G$10:$G$1807,$K$54))</f>
        <v>0</v>
      </c>
      <c r="H54" s="3">
        <f>IF($K$54="","",INDEX(Data!$H$10:$H$1807,$K$54))</f>
        <v>0</v>
      </c>
      <c r="I54" s="3">
        <f>IF($K$54="","",INDEX(Data!$I$10:$I$1807,$K$54))</f>
        <v>0</v>
      </c>
      <c r="K54" s="2">
        <f>IFERROR(MATCH(45,Data!$O$10:$O$1807,0),"")</f>
        <v>0</v>
      </c>
    </row>
    <row r="56" spans="1:11" ht="30" customHeight="1">
      <c r="A56" s="17" t="s">
        <v>21</v>
      </c>
      <c r="B56" s="17"/>
      <c r="C56" s="17"/>
      <c r="D56" s="17"/>
      <c r="E56" s="17"/>
      <c r="F56" s="17"/>
      <c r="G56" s="18">
        <f>SUMIF($A$10:$A$54,1,$G$10:$G$54)</f>
        <v>0</v>
      </c>
      <c r="H56" s="18">
        <f>SUMIF($A$10:$A$54,1,$H$10:$H$54)</f>
        <v>0</v>
      </c>
      <c r="I56" s="18">
        <f>SUMIF($A$10:$A$54,1,$I$10:$I$54)</f>
        <v>0</v>
      </c>
    </row>
    <row r="57" spans="1:11" ht="27.75" customHeight="1">
      <c r="A57" s="19" t="s">
        <v>22</v>
      </c>
      <c r="B57" s="19"/>
      <c r="C57" s="19"/>
      <c r="D57" s="19"/>
      <c r="E57" s="19"/>
      <c r="F57" s="19"/>
      <c r="G57" s="12"/>
      <c r="H57" s="12"/>
      <c r="I57" s="20">
        <f>SUM(G10:G54)-SUM(H10:H54)</f>
        <v>0</v>
      </c>
    </row>
    <row r="59" spans="1:11" ht="45.75" customHeight="1">
      <c r="A59" s="21" t="s">
        <v>23</v>
      </c>
      <c r="B59" s="21"/>
      <c r="C59" s="21"/>
      <c r="D59" s="21"/>
      <c r="F59" s="21" t="s">
        <v>24</v>
      </c>
      <c r="G59" s="21"/>
      <c r="H59" s="21"/>
      <c r="I59" s="21"/>
    </row>
  </sheetData>
  <mergeCells count="11">
    <mergeCell ref="A2:G2"/>
    <mergeCell ref="H2:J2"/>
    <mergeCell ref="A3:J3"/>
    <mergeCell ref="A4:J4"/>
    <mergeCell ref="I6:J6"/>
    <mergeCell ref="A7:J7"/>
    <mergeCell ref="A56:F56"/>
    <mergeCell ref="A57:F57"/>
    <mergeCell ref="G57:H57"/>
    <mergeCell ref="A59:D59"/>
    <mergeCell ref="F59:I59"/>
  </mergeCells>
  <conditionalFormatting sqref="A10:J54">
    <cfRule type="expression" dxfId="0" priority="1">
      <formula>$A10=0</formula>
    </cfRule>
  </conditionalFormatting>
  <dataValidations count="2">
    <dataValidation type="list" errorStyle="warning" allowBlank="1" showInputMessage="1" showErrorMessage="1" sqref="C6">
      <formula1>ListAllCodes</formula1>
    </dataValidation>
    <dataValidation type="whole" allowBlank="1" showInputMessage="1" showErrorMessage="1" promptTitle="نمایش در فاکتور" prompt="۱ = در فاکتور بیاید، ۰ = حذف شود" sqref="A10:A54">
      <formula1>0</formula1>
      <formula2>1</formula2>
    </dataValidation>
  </dataValidations>
  <pageMargins left="0.3" right="0.3" top="0.4" bottom="0.4" header="0.3" footer="0.3"/>
  <pageSetup orientation="landscape" paperSize="9" fitToWidth="1" fitToHeight="0"/>
  <headerFooter>
    <oddHeader>&amp;Lمازندشت — سامانه حسابداری سورتینگ&amp;C&amp;"B Nazanin,Bold"&amp;10 MAZANDASHT · INVOICE&amp;R&amp;A</oddHeader>
    <oddFooter>&amp;Lمازندشت — سورتینگ و بسته‌بندی مرکبات&amp;Cصفحه &amp;P از &amp;N&amp;RMAZANDASHT · 1405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9B2A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78" width="14.7109375" customWidth="1"/>
    <col min="79" max="98" width="20.7109375" customWidth="1"/>
  </cols>
  <sheetData>
    <row r="1" spans="1:96" ht="24" customHeight="1">
      <c r="A1" s="22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96" ht="27.75" customHeight="1">
      <c r="A2" s="23" t="s">
        <v>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96">
      <c r="A3" s="5" t="s">
        <v>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8" spans="1:96">
      <c r="B8" s="24" t="s">
        <v>28</v>
      </c>
      <c r="C8" s="24"/>
      <c r="D8" s="24"/>
      <c r="E8" s="24"/>
      <c r="F8" s="24"/>
      <c r="G8" s="24"/>
      <c r="I8" s="25" t="s">
        <v>427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Y8" s="26" t="s">
        <v>460</v>
      </c>
      <c r="Z8" s="26"/>
      <c r="AA8" s="26"/>
      <c r="AB8" s="26"/>
      <c r="AC8" s="26"/>
      <c r="AD8" s="26"/>
      <c r="AE8" s="26"/>
      <c r="AF8" s="26"/>
      <c r="AH8" s="27" t="s">
        <v>493</v>
      </c>
      <c r="AI8" s="27"/>
      <c r="AK8" s="28" t="s">
        <v>513</v>
      </c>
      <c r="AL8" s="28"/>
      <c r="AM8" s="28"/>
      <c r="AN8" s="28"/>
      <c r="AO8" s="29" t="s">
        <v>531</v>
      </c>
      <c r="AP8" s="29"/>
      <c r="AR8" s="30" t="s">
        <v>549</v>
      </c>
      <c r="AS8" s="30"/>
      <c r="AU8" s="24" t="s">
        <v>567</v>
      </c>
      <c r="AW8" s="24" t="s">
        <v>569</v>
      </c>
      <c r="AX8" s="24" t="s">
        <v>259</v>
      </c>
      <c r="AZ8" s="24" t="s">
        <v>572</v>
      </c>
    </row>
    <row r="9" spans="1:96" ht="12.75" customHeight="1">
      <c r="B9" s="31" t="s">
        <v>29</v>
      </c>
      <c r="C9" s="31"/>
      <c r="D9" s="31"/>
      <c r="E9" s="31"/>
      <c r="F9" s="31"/>
      <c r="G9" s="31"/>
      <c r="I9" s="32" t="s">
        <v>428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Y9" s="33" t="s">
        <v>461</v>
      </c>
      <c r="Z9" s="33"/>
      <c r="AA9" s="33"/>
      <c r="AB9" s="33"/>
      <c r="AC9" s="33"/>
      <c r="AD9" s="33"/>
      <c r="AE9" s="33"/>
      <c r="AF9" s="33"/>
      <c r="AH9" s="34" t="s">
        <v>494</v>
      </c>
      <c r="AI9" s="34"/>
      <c r="AK9" s="35" t="s">
        <v>514</v>
      </c>
      <c r="AL9" s="35"/>
      <c r="AM9" s="35"/>
      <c r="AN9" s="35"/>
      <c r="AO9" s="36" t="s">
        <v>532</v>
      </c>
      <c r="AP9" s="36"/>
      <c r="AR9" s="37" t="s">
        <v>550</v>
      </c>
      <c r="AS9" s="37"/>
      <c r="AU9" s="31" t="s">
        <v>568</v>
      </c>
      <c r="AW9" s="31" t="s">
        <v>570</v>
      </c>
      <c r="AX9" s="31" t="s">
        <v>571</v>
      </c>
      <c r="AZ9" s="31" t="s">
        <v>573</v>
      </c>
    </row>
    <row r="10" spans="1:96">
      <c r="B10" s="38" t="s">
        <v>30</v>
      </c>
      <c r="C10" s="16" t="s">
        <v>31</v>
      </c>
      <c r="D10" s="38" t="s">
        <v>32</v>
      </c>
      <c r="E10" s="16" t="s">
        <v>33</v>
      </c>
      <c r="F10" s="16" t="s">
        <v>34</v>
      </c>
      <c r="G10" s="39">
        <v>0</v>
      </c>
      <c r="I10" s="16" t="s">
        <v>429</v>
      </c>
      <c r="J10" s="38" t="s">
        <v>430</v>
      </c>
      <c r="K10" s="38" t="s">
        <v>431</v>
      </c>
      <c r="L10" s="38" t="s">
        <v>432</v>
      </c>
      <c r="M10" s="38" t="s">
        <v>432</v>
      </c>
      <c r="N10" s="38" t="s">
        <v>433</v>
      </c>
      <c r="O10" s="38" t="s">
        <v>7</v>
      </c>
      <c r="P10" s="38" t="s">
        <v>199</v>
      </c>
      <c r="Q10" s="38" t="s">
        <v>6</v>
      </c>
      <c r="R10" s="38" t="s">
        <v>434</v>
      </c>
      <c r="S10" s="38" t="s">
        <v>435</v>
      </c>
      <c r="T10" s="38"/>
      <c r="U10" s="38"/>
      <c r="V10" s="38"/>
      <c r="W10" s="38" t="s">
        <v>432</v>
      </c>
      <c r="Y10" s="16" t="s">
        <v>462</v>
      </c>
      <c r="Z10" s="38" t="s">
        <v>463</v>
      </c>
      <c r="AA10" s="16" t="s">
        <v>464</v>
      </c>
      <c r="AB10" s="39">
        <v>1.5</v>
      </c>
      <c r="AC10" s="39">
        <v>6</v>
      </c>
      <c r="AD10" s="39">
        <v>45000</v>
      </c>
      <c r="AE10" s="39">
        <v>55000</v>
      </c>
      <c r="AF10" s="39">
        <v>1200</v>
      </c>
      <c r="AH10" s="16" t="s">
        <v>495</v>
      </c>
      <c r="AI10" s="16" t="s">
        <v>496</v>
      </c>
      <c r="AK10" s="38" t="s">
        <v>515</v>
      </c>
      <c r="AL10" s="16" t="s">
        <v>262</v>
      </c>
      <c r="AM10" s="39">
        <v>500000000</v>
      </c>
      <c r="AN10" s="38" t="s">
        <v>261</v>
      </c>
      <c r="AO10" s="38" t="s">
        <v>533</v>
      </c>
      <c r="AP10" s="39">
        <v>1.5</v>
      </c>
      <c r="AR10" s="16" t="s">
        <v>32</v>
      </c>
      <c r="AS10" s="16" t="s">
        <v>551</v>
      </c>
      <c r="AU10" s="16" t="s">
        <v>32</v>
      </c>
      <c r="AW10" s="16" t="s">
        <v>456</v>
      </c>
      <c r="AX10" s="38" t="s">
        <v>257</v>
      </c>
      <c r="AZ10" s="16" t="s">
        <v>429</v>
      </c>
      <c r="CA10" s="16" t="s">
        <v>574</v>
      </c>
      <c r="CB10" s="16" t="s">
        <v>496</v>
      </c>
      <c r="CC10" s="16" t="s">
        <v>430</v>
      </c>
      <c r="CD10" s="16" t="s">
        <v>432</v>
      </c>
      <c r="CE10" s="16" t="s">
        <v>34</v>
      </c>
      <c r="CF10" s="16" t="s">
        <v>578</v>
      </c>
      <c r="CG10" s="16" t="s">
        <v>584</v>
      </c>
      <c r="CH10" s="16" t="s">
        <v>588</v>
      </c>
      <c r="CI10" s="16" t="s">
        <v>434</v>
      </c>
      <c r="CJ10" s="16" t="s">
        <v>6</v>
      </c>
      <c r="CK10" s="16" t="s">
        <v>6</v>
      </c>
      <c r="CL10" s="16" t="s">
        <v>431</v>
      </c>
      <c r="CM10" s="16" t="s">
        <v>591</v>
      </c>
      <c r="CN10" s="16" t="s">
        <v>593</v>
      </c>
      <c r="CO10" s="16" t="s">
        <v>433</v>
      </c>
      <c r="CP10" s="16" t="s">
        <v>603</v>
      </c>
      <c r="CQ10" s="16" t="s">
        <v>611</v>
      </c>
      <c r="CR10" s="16" t="s">
        <v>615</v>
      </c>
    </row>
    <row r="11" spans="1:96">
      <c r="B11" s="38" t="s">
        <v>35</v>
      </c>
      <c r="C11" s="16" t="s">
        <v>36</v>
      </c>
      <c r="D11" s="38" t="s">
        <v>32</v>
      </c>
      <c r="E11" s="16" t="s">
        <v>37</v>
      </c>
      <c r="F11" s="16" t="s">
        <v>34</v>
      </c>
      <c r="G11" s="39">
        <v>0</v>
      </c>
      <c r="I11" s="16" t="s">
        <v>436</v>
      </c>
      <c r="J11" s="38" t="s">
        <v>437</v>
      </c>
      <c r="K11" s="38" t="s">
        <v>438</v>
      </c>
      <c r="L11" s="38" t="s">
        <v>432</v>
      </c>
      <c r="M11" s="38" t="s">
        <v>432</v>
      </c>
      <c r="N11" s="38" t="s">
        <v>433</v>
      </c>
      <c r="O11" s="38" t="s">
        <v>6</v>
      </c>
      <c r="P11" s="38" t="s">
        <v>204</v>
      </c>
      <c r="Q11" s="38" t="s">
        <v>7</v>
      </c>
      <c r="R11" s="38" t="s">
        <v>9</v>
      </c>
      <c r="S11" s="38" t="s">
        <v>6</v>
      </c>
      <c r="T11" s="38" t="s">
        <v>439</v>
      </c>
      <c r="U11" s="38" t="s">
        <v>192</v>
      </c>
      <c r="V11" s="38"/>
      <c r="W11" s="38" t="s">
        <v>432</v>
      </c>
      <c r="Y11" s="16" t="s">
        <v>465</v>
      </c>
      <c r="Z11" s="38" t="s">
        <v>466</v>
      </c>
      <c r="AA11" s="16" t="s">
        <v>467</v>
      </c>
      <c r="AB11" s="39">
        <v>1.5</v>
      </c>
      <c r="AC11" s="39">
        <v>6</v>
      </c>
      <c r="AD11" s="39">
        <v>48000</v>
      </c>
      <c r="AE11" s="39">
        <v>58000</v>
      </c>
      <c r="AF11" s="39">
        <v>400</v>
      </c>
      <c r="AH11" s="16" t="s">
        <v>497</v>
      </c>
      <c r="AI11" s="16" t="s">
        <v>496</v>
      </c>
      <c r="AK11" s="38" t="s">
        <v>439</v>
      </c>
      <c r="AL11" s="16" t="s">
        <v>267</v>
      </c>
      <c r="AM11" s="39">
        <v>0</v>
      </c>
      <c r="AN11" s="38" t="s">
        <v>266</v>
      </c>
      <c r="AO11" s="38" t="s">
        <v>534</v>
      </c>
      <c r="AP11" s="39">
        <v>1</v>
      </c>
      <c r="AR11" s="16" t="s">
        <v>32</v>
      </c>
      <c r="AS11" s="16" t="s">
        <v>552</v>
      </c>
      <c r="AU11" s="16" t="s">
        <v>151</v>
      </c>
      <c r="AW11" s="16" t="s">
        <v>208</v>
      </c>
      <c r="AX11" s="38" t="s">
        <v>408</v>
      </c>
      <c r="AZ11" s="16" t="s">
        <v>436</v>
      </c>
      <c r="CA11" s="16" t="s">
        <v>11</v>
      </c>
      <c r="CB11" s="16" t="s">
        <v>502</v>
      </c>
      <c r="CC11" s="16" t="s">
        <v>437</v>
      </c>
      <c r="CD11" s="16" t="s">
        <v>445</v>
      </c>
      <c r="CE11" s="16" t="s">
        <v>195</v>
      </c>
      <c r="CF11" s="16" t="s">
        <v>579</v>
      </c>
      <c r="CG11" s="16" t="s">
        <v>585</v>
      </c>
      <c r="CH11" s="16" t="s">
        <v>589</v>
      </c>
      <c r="CI11" s="16" t="s">
        <v>9</v>
      </c>
      <c r="CJ11" s="16" t="s">
        <v>7</v>
      </c>
      <c r="CK11" s="16" t="s">
        <v>7</v>
      </c>
      <c r="CL11" s="16" t="s">
        <v>438</v>
      </c>
      <c r="CM11" s="16" t="s">
        <v>592</v>
      </c>
      <c r="CN11" s="16" t="s">
        <v>594</v>
      </c>
      <c r="CO11" s="16" t="s">
        <v>8</v>
      </c>
      <c r="CP11" s="16" t="s">
        <v>604</v>
      </c>
      <c r="CQ11" s="16" t="s">
        <v>612</v>
      </c>
      <c r="CR11" s="16" t="s">
        <v>616</v>
      </c>
    </row>
    <row r="12" spans="1:96">
      <c r="B12" s="38" t="s">
        <v>38</v>
      </c>
      <c r="C12" s="16" t="s">
        <v>39</v>
      </c>
      <c r="D12" s="38" t="s">
        <v>32</v>
      </c>
      <c r="E12" s="16" t="s">
        <v>40</v>
      </c>
      <c r="F12" s="16" t="s">
        <v>34</v>
      </c>
      <c r="G12" s="39">
        <v>0</v>
      </c>
      <c r="I12" s="16" t="s">
        <v>440</v>
      </c>
      <c r="J12" s="38" t="s">
        <v>437</v>
      </c>
      <c r="K12" s="38" t="s">
        <v>438</v>
      </c>
      <c r="L12" s="38" t="s">
        <v>432</v>
      </c>
      <c r="M12" s="38" t="s">
        <v>432</v>
      </c>
      <c r="N12" s="38" t="s">
        <v>433</v>
      </c>
      <c r="O12" s="38" t="s">
        <v>6</v>
      </c>
      <c r="P12" s="38" t="s">
        <v>204</v>
      </c>
      <c r="Q12" s="38" t="s">
        <v>7</v>
      </c>
      <c r="R12" s="38" t="s">
        <v>9</v>
      </c>
      <c r="S12" s="38" t="s">
        <v>6</v>
      </c>
      <c r="T12" s="38" t="s">
        <v>439</v>
      </c>
      <c r="U12" s="38" t="s">
        <v>192</v>
      </c>
      <c r="V12" s="38"/>
      <c r="W12" s="38" t="s">
        <v>432</v>
      </c>
      <c r="Y12" s="16" t="s">
        <v>468</v>
      </c>
      <c r="Z12" s="38" t="s">
        <v>469</v>
      </c>
      <c r="AA12" s="16" t="s">
        <v>470</v>
      </c>
      <c r="AB12" s="39">
        <v>1.9</v>
      </c>
      <c r="AC12" s="39">
        <v>9</v>
      </c>
      <c r="AD12" s="39">
        <v>62000</v>
      </c>
      <c r="AE12" s="39">
        <v>75000</v>
      </c>
      <c r="AF12" s="39">
        <v>800</v>
      </c>
      <c r="AH12" s="16" t="s">
        <v>498</v>
      </c>
      <c r="AI12" s="16" t="s">
        <v>496</v>
      </c>
      <c r="AK12" s="38" t="s">
        <v>516</v>
      </c>
      <c r="AL12" s="16" t="s">
        <v>517</v>
      </c>
      <c r="AM12" s="39">
        <v>0</v>
      </c>
      <c r="AN12" s="38" t="s">
        <v>268</v>
      </c>
      <c r="AO12" s="38" t="s">
        <v>535</v>
      </c>
      <c r="AP12" s="39">
        <v>1000</v>
      </c>
      <c r="AR12" s="16" t="s">
        <v>32</v>
      </c>
      <c r="AS12" s="16" t="s">
        <v>33</v>
      </c>
      <c r="AU12" s="16" t="s">
        <v>163</v>
      </c>
      <c r="AW12" s="16" t="s">
        <v>457</v>
      </c>
      <c r="AX12" s="38" t="s">
        <v>409</v>
      </c>
      <c r="AZ12" s="16" t="s">
        <v>440</v>
      </c>
      <c r="CA12" s="16" t="s">
        <v>575</v>
      </c>
      <c r="CB12" s="16" t="s">
        <v>507</v>
      </c>
      <c r="CC12" s="16" t="s">
        <v>435</v>
      </c>
      <c r="CF12" s="16" t="s">
        <v>580</v>
      </c>
      <c r="CG12" s="16" t="s">
        <v>586</v>
      </c>
      <c r="CI12" s="16" t="s">
        <v>443</v>
      </c>
      <c r="CJ12" s="16" t="s">
        <v>435</v>
      </c>
      <c r="CK12" s="16" t="s">
        <v>442</v>
      </c>
      <c r="CL12" s="16" t="s">
        <v>441</v>
      </c>
      <c r="CN12" s="16" t="s">
        <v>595</v>
      </c>
      <c r="CO12" s="16" t="s">
        <v>443</v>
      </c>
      <c r="CP12" s="16" t="s">
        <v>605</v>
      </c>
      <c r="CQ12" s="16" t="s">
        <v>613</v>
      </c>
    </row>
    <row r="13" spans="1:96">
      <c r="B13" s="38" t="s">
        <v>41</v>
      </c>
      <c r="C13" s="16" t="s">
        <v>42</v>
      </c>
      <c r="D13" s="38" t="s">
        <v>32</v>
      </c>
      <c r="E13" s="16"/>
      <c r="F13" s="16" t="s">
        <v>34</v>
      </c>
      <c r="G13" s="39">
        <v>0</v>
      </c>
      <c r="I13" s="16" t="s">
        <v>441</v>
      </c>
      <c r="J13" s="38" t="s">
        <v>437</v>
      </c>
      <c r="K13" s="38" t="s">
        <v>441</v>
      </c>
      <c r="L13" s="38" t="s">
        <v>432</v>
      </c>
      <c r="M13" s="38" t="s">
        <v>432</v>
      </c>
      <c r="N13" s="38" t="s">
        <v>8</v>
      </c>
      <c r="O13" s="38" t="s">
        <v>442</v>
      </c>
      <c r="P13" s="38" t="s">
        <v>209</v>
      </c>
      <c r="Q13" s="38" t="s">
        <v>442</v>
      </c>
      <c r="R13" s="38" t="s">
        <v>443</v>
      </c>
      <c r="S13" s="38" t="s">
        <v>435</v>
      </c>
      <c r="T13" s="38"/>
      <c r="U13" s="38"/>
      <c r="V13" s="38"/>
      <c r="W13" s="38" t="s">
        <v>432</v>
      </c>
      <c r="Y13" s="16" t="s">
        <v>471</v>
      </c>
      <c r="Z13" s="38" t="s">
        <v>472</v>
      </c>
      <c r="AA13" s="16" t="s">
        <v>473</v>
      </c>
      <c r="AB13" s="39">
        <v>1.3</v>
      </c>
      <c r="AC13" s="39">
        <v>5</v>
      </c>
      <c r="AD13" s="39">
        <v>40000</v>
      </c>
      <c r="AE13" s="39">
        <v>50000</v>
      </c>
      <c r="AF13" s="39">
        <v>300</v>
      </c>
      <c r="AH13" s="16" t="s">
        <v>499</v>
      </c>
      <c r="AI13" s="16" t="s">
        <v>496</v>
      </c>
      <c r="AK13" s="38" t="s">
        <v>518</v>
      </c>
      <c r="AL13" s="16" t="s">
        <v>519</v>
      </c>
      <c r="AM13" s="39">
        <v>0</v>
      </c>
      <c r="AN13" s="38" t="s">
        <v>270</v>
      </c>
      <c r="AO13" s="38" t="s">
        <v>536</v>
      </c>
      <c r="AP13" s="16" t="s">
        <v>537</v>
      </c>
      <c r="AR13" s="16" t="s">
        <v>32</v>
      </c>
      <c r="AS13" s="16" t="s">
        <v>40</v>
      </c>
      <c r="AU13" s="16" t="s">
        <v>559</v>
      </c>
      <c r="AW13" s="16" t="s">
        <v>458</v>
      </c>
      <c r="AX13" s="38" t="s">
        <v>410</v>
      </c>
      <c r="AZ13" s="16" t="s">
        <v>441</v>
      </c>
      <c r="CA13" s="16" t="s">
        <v>576</v>
      </c>
      <c r="CB13" s="16" t="s">
        <v>510</v>
      </c>
      <c r="CF13" s="16" t="s">
        <v>581</v>
      </c>
      <c r="CG13" s="16" t="s">
        <v>587</v>
      </c>
      <c r="CI13" s="16" t="s">
        <v>435</v>
      </c>
      <c r="CK13" s="16" t="s">
        <v>435</v>
      </c>
      <c r="CL13" s="16" t="s">
        <v>444</v>
      </c>
      <c r="CN13" s="16" t="s">
        <v>596</v>
      </c>
      <c r="CO13" s="16" t="s">
        <v>435</v>
      </c>
      <c r="CP13" s="16" t="s">
        <v>606</v>
      </c>
      <c r="CQ13" s="16" t="s">
        <v>614</v>
      </c>
    </row>
    <row r="14" spans="1:96">
      <c r="B14" s="38" t="s">
        <v>43</v>
      </c>
      <c r="C14" s="16" t="s">
        <v>44</v>
      </c>
      <c r="D14" s="38" t="s">
        <v>32</v>
      </c>
      <c r="E14" s="16"/>
      <c r="F14" s="16" t="s">
        <v>34</v>
      </c>
      <c r="G14" s="39">
        <v>0</v>
      </c>
      <c r="I14" s="16" t="s">
        <v>189</v>
      </c>
      <c r="J14" s="38" t="s">
        <v>435</v>
      </c>
      <c r="K14" s="38" t="s">
        <v>444</v>
      </c>
      <c r="L14" s="38" t="s">
        <v>445</v>
      </c>
      <c r="M14" s="38" t="s">
        <v>445</v>
      </c>
      <c r="N14" s="38" t="s">
        <v>8</v>
      </c>
      <c r="O14" s="38" t="s">
        <v>7</v>
      </c>
      <c r="P14" s="38" t="s">
        <v>439</v>
      </c>
      <c r="Q14" s="38" t="s">
        <v>6</v>
      </c>
      <c r="R14" s="38" t="s">
        <v>443</v>
      </c>
      <c r="S14" s="38" t="s">
        <v>435</v>
      </c>
      <c r="T14" s="38"/>
      <c r="U14" s="38"/>
      <c r="V14" s="38" t="s">
        <v>188</v>
      </c>
      <c r="W14" s="38" t="s">
        <v>432</v>
      </c>
      <c r="Y14" s="16" t="s">
        <v>474</v>
      </c>
      <c r="Z14" s="38" t="s">
        <v>475</v>
      </c>
      <c r="AA14" s="16" t="s">
        <v>476</v>
      </c>
      <c r="AB14" s="39">
        <v>2</v>
      </c>
      <c r="AC14" s="39">
        <v>10</v>
      </c>
      <c r="AD14" s="39">
        <v>70000</v>
      </c>
      <c r="AE14" s="39">
        <v>85000</v>
      </c>
      <c r="AF14" s="39">
        <v>250</v>
      </c>
      <c r="AH14" s="16" t="s">
        <v>500</v>
      </c>
      <c r="AI14" s="16" t="s">
        <v>496</v>
      </c>
      <c r="AK14" s="38" t="s">
        <v>520</v>
      </c>
      <c r="AL14" s="16" t="s">
        <v>521</v>
      </c>
      <c r="AM14" s="39">
        <v>0</v>
      </c>
      <c r="AN14" s="38" t="s">
        <v>272</v>
      </c>
      <c r="AO14" s="38" t="s">
        <v>538</v>
      </c>
      <c r="AP14" s="39">
        <v>100</v>
      </c>
      <c r="AR14" s="16" t="s">
        <v>32</v>
      </c>
      <c r="AS14" s="16" t="s">
        <v>37</v>
      </c>
      <c r="AU14" s="16" t="s">
        <v>171</v>
      </c>
      <c r="AW14" s="16" t="s">
        <v>459</v>
      </c>
      <c r="AX14" s="38" t="s">
        <v>411</v>
      </c>
      <c r="AZ14" s="16" t="s">
        <v>189</v>
      </c>
      <c r="CA14" s="16" t="s">
        <v>577</v>
      </c>
      <c r="CB14" s="16" t="s">
        <v>453</v>
      </c>
      <c r="CF14" s="16" t="s">
        <v>582</v>
      </c>
      <c r="CL14" s="16" t="s">
        <v>259</v>
      </c>
      <c r="CN14" s="16" t="s">
        <v>597</v>
      </c>
      <c r="CP14" s="16" t="s">
        <v>607</v>
      </c>
    </row>
    <row r="15" spans="1:96">
      <c r="B15" s="38" t="s">
        <v>45</v>
      </c>
      <c r="C15" s="16" t="s">
        <v>46</v>
      </c>
      <c r="D15" s="38" t="s">
        <v>32</v>
      </c>
      <c r="E15" s="16"/>
      <c r="F15" s="16" t="s">
        <v>34</v>
      </c>
      <c r="G15" s="39">
        <v>0</v>
      </c>
      <c r="I15" s="16" t="s">
        <v>259</v>
      </c>
      <c r="J15" s="38" t="s">
        <v>435</v>
      </c>
      <c r="K15" s="38" t="s">
        <v>259</v>
      </c>
      <c r="L15" s="38" t="s">
        <v>445</v>
      </c>
      <c r="M15" s="38" t="s">
        <v>432</v>
      </c>
      <c r="N15" s="38" t="s">
        <v>8</v>
      </c>
      <c r="O15" s="38" t="s">
        <v>6</v>
      </c>
      <c r="P15" s="38" t="s">
        <v>192</v>
      </c>
      <c r="Q15" s="38" t="s">
        <v>7</v>
      </c>
      <c r="R15" s="38" t="s">
        <v>443</v>
      </c>
      <c r="S15" s="38" t="s">
        <v>435</v>
      </c>
      <c r="T15" s="38"/>
      <c r="U15" s="38"/>
      <c r="V15" s="38"/>
      <c r="W15" s="38" t="s">
        <v>432</v>
      </c>
      <c r="Y15" s="16" t="s">
        <v>477</v>
      </c>
      <c r="Z15" s="38" t="s">
        <v>478</v>
      </c>
      <c r="AA15" s="16" t="s">
        <v>479</v>
      </c>
      <c r="AB15" s="39">
        <v>1.1</v>
      </c>
      <c r="AC15" s="39">
        <v>4</v>
      </c>
      <c r="AD15" s="39">
        <v>35000</v>
      </c>
      <c r="AE15" s="39">
        <v>45000</v>
      </c>
      <c r="AF15" s="39">
        <v>150</v>
      </c>
      <c r="AH15" s="16" t="s">
        <v>501</v>
      </c>
      <c r="AI15" s="16" t="s">
        <v>502</v>
      </c>
      <c r="AK15" s="38" t="s">
        <v>522</v>
      </c>
      <c r="AL15" s="16" t="s">
        <v>523</v>
      </c>
      <c r="AM15" s="39">
        <v>0</v>
      </c>
      <c r="AN15" s="38" t="s">
        <v>274</v>
      </c>
      <c r="AO15" s="38" t="s">
        <v>539</v>
      </c>
      <c r="AP15" s="39">
        <v>0</v>
      </c>
      <c r="AR15" s="16" t="s">
        <v>32</v>
      </c>
      <c r="AS15" s="16" t="s">
        <v>553</v>
      </c>
      <c r="AU15" s="16" t="s">
        <v>190</v>
      </c>
      <c r="AX15" s="38" t="s">
        <v>412</v>
      </c>
      <c r="AZ15" s="16" t="s">
        <v>259</v>
      </c>
      <c r="CA15" s="16" t="s">
        <v>547</v>
      </c>
      <c r="CF15" s="16" t="s">
        <v>583</v>
      </c>
      <c r="CL15" s="16" t="s">
        <v>206</v>
      </c>
      <c r="CN15" s="16" t="s">
        <v>598</v>
      </c>
      <c r="CP15" s="16" t="s">
        <v>608</v>
      </c>
    </row>
    <row r="16" spans="1:96">
      <c r="B16" s="38" t="s">
        <v>47</v>
      </c>
      <c r="C16" s="16" t="s">
        <v>48</v>
      </c>
      <c r="D16" s="38" t="s">
        <v>32</v>
      </c>
      <c r="E16" s="16"/>
      <c r="F16" s="16" t="s">
        <v>34</v>
      </c>
      <c r="G16" s="39">
        <v>0</v>
      </c>
      <c r="I16" s="16" t="s">
        <v>446</v>
      </c>
      <c r="J16" s="38" t="s">
        <v>435</v>
      </c>
      <c r="K16" s="38" t="s">
        <v>206</v>
      </c>
      <c r="L16" s="38" t="s">
        <v>445</v>
      </c>
      <c r="M16" s="38" t="s">
        <v>445</v>
      </c>
      <c r="N16" s="38" t="s">
        <v>8</v>
      </c>
      <c r="O16" s="38" t="s">
        <v>435</v>
      </c>
      <c r="P16" s="38"/>
      <c r="Q16" s="38" t="s">
        <v>435</v>
      </c>
      <c r="R16" s="38" t="s">
        <v>9</v>
      </c>
      <c r="S16" s="38" t="s">
        <v>6</v>
      </c>
      <c r="T16" s="38" t="s">
        <v>439</v>
      </c>
      <c r="U16" s="38" t="s">
        <v>192</v>
      </c>
      <c r="V16" s="38"/>
      <c r="W16" s="38" t="s">
        <v>432</v>
      </c>
      <c r="Y16" s="16" t="s">
        <v>480</v>
      </c>
      <c r="Z16" s="38" t="s">
        <v>481</v>
      </c>
      <c r="AA16" s="16" t="s">
        <v>482</v>
      </c>
      <c r="AB16" s="39">
        <v>1.8</v>
      </c>
      <c r="AC16" s="39">
        <v>8</v>
      </c>
      <c r="AD16" s="39">
        <v>58000</v>
      </c>
      <c r="AE16" s="39">
        <v>70000</v>
      </c>
      <c r="AF16" s="39">
        <v>200</v>
      </c>
      <c r="AH16" s="16" t="s">
        <v>503</v>
      </c>
      <c r="AI16" s="16" t="s">
        <v>502</v>
      </c>
      <c r="AK16" s="38" t="s">
        <v>524</v>
      </c>
      <c r="AL16" s="16" t="s">
        <v>525</v>
      </c>
      <c r="AM16" s="39">
        <v>0</v>
      </c>
      <c r="AN16" s="38" t="s">
        <v>276</v>
      </c>
      <c r="AO16" s="38" t="s">
        <v>540</v>
      </c>
      <c r="AP16" s="16" t="s">
        <v>541</v>
      </c>
      <c r="AR16" s="16" t="s">
        <v>151</v>
      </c>
      <c r="AS16" s="16" t="s">
        <v>152</v>
      </c>
      <c r="AU16" s="16" t="s">
        <v>259</v>
      </c>
      <c r="AX16" s="38" t="s">
        <v>413</v>
      </c>
      <c r="AZ16" s="16" t="s">
        <v>446</v>
      </c>
      <c r="CL16" s="16" t="s">
        <v>213</v>
      </c>
      <c r="CN16" s="16" t="s">
        <v>599</v>
      </c>
      <c r="CP16" s="16" t="s">
        <v>609</v>
      </c>
    </row>
    <row r="17" spans="2:94">
      <c r="B17" s="38" t="s">
        <v>49</v>
      </c>
      <c r="C17" s="16" t="s">
        <v>50</v>
      </c>
      <c r="D17" s="38" t="s">
        <v>32</v>
      </c>
      <c r="E17" s="16"/>
      <c r="F17" s="16" t="s">
        <v>34</v>
      </c>
      <c r="G17" s="39">
        <v>0</v>
      </c>
      <c r="I17" s="16" t="s">
        <v>447</v>
      </c>
      <c r="J17" s="38" t="s">
        <v>437</v>
      </c>
      <c r="K17" s="38" t="s">
        <v>431</v>
      </c>
      <c r="L17" s="38" t="s">
        <v>432</v>
      </c>
      <c r="M17" s="38" t="s">
        <v>432</v>
      </c>
      <c r="N17" s="38" t="s">
        <v>433</v>
      </c>
      <c r="O17" s="38" t="s">
        <v>6</v>
      </c>
      <c r="P17" s="38" t="s">
        <v>199</v>
      </c>
      <c r="Q17" s="38" t="s">
        <v>7</v>
      </c>
      <c r="R17" s="38" t="s">
        <v>434</v>
      </c>
      <c r="S17" s="38" t="s">
        <v>435</v>
      </c>
      <c r="T17" s="38"/>
      <c r="U17" s="38"/>
      <c r="V17" s="38"/>
      <c r="W17" s="38" t="s">
        <v>432</v>
      </c>
      <c r="Y17" s="16" t="s">
        <v>483</v>
      </c>
      <c r="Z17" s="38" t="s">
        <v>484</v>
      </c>
      <c r="AA17" s="16"/>
      <c r="AB17" s="39">
        <v>1.5</v>
      </c>
      <c r="AC17" s="39">
        <v>6</v>
      </c>
      <c r="AD17" s="39">
        <v>0</v>
      </c>
      <c r="AE17" s="39">
        <v>0</v>
      </c>
      <c r="AF17" s="39">
        <v>0</v>
      </c>
      <c r="AH17" s="16" t="s">
        <v>504</v>
      </c>
      <c r="AI17" s="16" t="s">
        <v>502</v>
      </c>
      <c r="AK17" s="38" t="s">
        <v>526</v>
      </c>
      <c r="AL17" s="16" t="s">
        <v>527</v>
      </c>
      <c r="AM17" s="39">
        <v>0</v>
      </c>
      <c r="AN17" s="38" t="s">
        <v>278</v>
      </c>
      <c r="AO17" s="38" t="s">
        <v>542</v>
      </c>
      <c r="AP17" s="16" t="s">
        <v>543</v>
      </c>
      <c r="AR17" s="16" t="s">
        <v>151</v>
      </c>
      <c r="AS17" s="16" t="s">
        <v>554</v>
      </c>
      <c r="AU17" s="16" t="s">
        <v>241</v>
      </c>
      <c r="AX17" s="38" t="s">
        <v>414</v>
      </c>
      <c r="AZ17" s="16" t="s">
        <v>447</v>
      </c>
      <c r="CL17" s="16" t="s">
        <v>451</v>
      </c>
      <c r="CN17" s="16" t="s">
        <v>600</v>
      </c>
      <c r="CP17" s="16" t="s">
        <v>610</v>
      </c>
    </row>
    <row r="18" spans="2:94">
      <c r="B18" s="38" t="s">
        <v>51</v>
      </c>
      <c r="C18" s="16" t="s">
        <v>52</v>
      </c>
      <c r="D18" s="38" t="s">
        <v>32</v>
      </c>
      <c r="E18" s="16"/>
      <c r="F18" s="16" t="s">
        <v>34</v>
      </c>
      <c r="G18" s="39">
        <v>0</v>
      </c>
      <c r="I18" s="16" t="s">
        <v>448</v>
      </c>
      <c r="J18" s="38" t="s">
        <v>430</v>
      </c>
      <c r="K18" s="38" t="s">
        <v>438</v>
      </c>
      <c r="L18" s="38" t="s">
        <v>432</v>
      </c>
      <c r="M18" s="38" t="s">
        <v>432</v>
      </c>
      <c r="N18" s="38" t="s">
        <v>433</v>
      </c>
      <c r="O18" s="38" t="s">
        <v>7</v>
      </c>
      <c r="P18" s="38" t="s">
        <v>204</v>
      </c>
      <c r="Q18" s="38" t="s">
        <v>6</v>
      </c>
      <c r="R18" s="38" t="s">
        <v>443</v>
      </c>
      <c r="S18" s="38" t="s">
        <v>435</v>
      </c>
      <c r="T18" s="38"/>
      <c r="U18" s="38"/>
      <c r="V18" s="38"/>
      <c r="W18" s="38" t="s">
        <v>432</v>
      </c>
      <c r="Y18" s="16" t="s">
        <v>485</v>
      </c>
      <c r="Z18" s="38" t="s">
        <v>486</v>
      </c>
      <c r="AA18" s="16"/>
      <c r="AB18" s="39">
        <v>1.5</v>
      </c>
      <c r="AC18" s="39">
        <v>6</v>
      </c>
      <c r="AD18" s="39">
        <v>0</v>
      </c>
      <c r="AE18" s="39">
        <v>0</v>
      </c>
      <c r="AF18" s="39">
        <v>0</v>
      </c>
      <c r="AH18" s="16" t="s">
        <v>505</v>
      </c>
      <c r="AI18" s="16" t="s">
        <v>502</v>
      </c>
      <c r="AK18" s="38" t="s">
        <v>528</v>
      </c>
      <c r="AL18" s="16" t="s">
        <v>529</v>
      </c>
      <c r="AM18" s="39">
        <v>0</v>
      </c>
      <c r="AN18" s="38" t="s">
        <v>280</v>
      </c>
      <c r="AO18" s="38" t="s">
        <v>544</v>
      </c>
      <c r="AP18" s="39">
        <v>500000000</v>
      </c>
      <c r="AR18" s="16" t="s">
        <v>151</v>
      </c>
      <c r="AS18" s="16" t="s">
        <v>37</v>
      </c>
      <c r="AU18" s="16" t="s">
        <v>251</v>
      </c>
      <c r="AX18" s="38" t="s">
        <v>415</v>
      </c>
      <c r="AZ18" s="16" t="s">
        <v>448</v>
      </c>
      <c r="CL18" s="16" t="s">
        <v>453</v>
      </c>
      <c r="CN18" s="16" t="s">
        <v>601</v>
      </c>
    </row>
    <row r="19" spans="2:94">
      <c r="B19" s="38" t="s">
        <v>53</v>
      </c>
      <c r="C19" s="16" t="s">
        <v>54</v>
      </c>
      <c r="D19" s="38" t="s">
        <v>32</v>
      </c>
      <c r="E19" s="16"/>
      <c r="F19" s="16" t="s">
        <v>34</v>
      </c>
      <c r="G19" s="39">
        <v>0</v>
      </c>
      <c r="I19" s="16" t="s">
        <v>449</v>
      </c>
      <c r="J19" s="38" t="s">
        <v>437</v>
      </c>
      <c r="K19" s="38" t="s">
        <v>213</v>
      </c>
      <c r="L19" s="38" t="s">
        <v>432</v>
      </c>
      <c r="M19" s="38" t="s">
        <v>432</v>
      </c>
      <c r="N19" s="38" t="s">
        <v>433</v>
      </c>
      <c r="O19" s="38" t="s">
        <v>7</v>
      </c>
      <c r="P19" s="38" t="s">
        <v>211</v>
      </c>
      <c r="Q19" s="38" t="s">
        <v>6</v>
      </c>
      <c r="R19" s="38" t="s">
        <v>443</v>
      </c>
      <c r="S19" s="38" t="s">
        <v>435</v>
      </c>
      <c r="T19" s="38"/>
      <c r="U19" s="38"/>
      <c r="V19" s="38" t="s">
        <v>199</v>
      </c>
      <c r="W19" s="38" t="s">
        <v>432</v>
      </c>
      <c r="Y19" s="16" t="s">
        <v>487</v>
      </c>
      <c r="Z19" s="38" t="s">
        <v>488</v>
      </c>
      <c r="AA19" s="16"/>
      <c r="AB19" s="39">
        <v>1.5</v>
      </c>
      <c r="AC19" s="39">
        <v>6</v>
      </c>
      <c r="AD19" s="39">
        <v>0</v>
      </c>
      <c r="AE19" s="39">
        <v>0</v>
      </c>
      <c r="AF19" s="39">
        <v>0</v>
      </c>
      <c r="AH19" s="16" t="s">
        <v>506</v>
      </c>
      <c r="AI19" s="16" t="s">
        <v>507</v>
      </c>
      <c r="AK19" s="38" t="s">
        <v>530</v>
      </c>
      <c r="AL19" s="16" t="s">
        <v>283</v>
      </c>
      <c r="AM19" s="39">
        <v>0</v>
      </c>
      <c r="AN19" s="38" t="s">
        <v>282</v>
      </c>
      <c r="AO19" s="38" t="s">
        <v>545</v>
      </c>
      <c r="AP19" s="39">
        <v>30</v>
      </c>
      <c r="AR19" s="16" t="s">
        <v>151</v>
      </c>
      <c r="AS19" s="16" t="s">
        <v>555</v>
      </c>
      <c r="AU19" s="16" t="s">
        <v>255</v>
      </c>
      <c r="AX19" s="38" t="s">
        <v>416</v>
      </c>
      <c r="AZ19" s="16" t="s">
        <v>449</v>
      </c>
      <c r="CL19" s="16" t="s">
        <v>590</v>
      </c>
      <c r="CN19" s="16" t="s">
        <v>602</v>
      </c>
    </row>
    <row r="20" spans="2:94">
      <c r="B20" s="38" t="s">
        <v>55</v>
      </c>
      <c r="C20" s="16" t="s">
        <v>56</v>
      </c>
      <c r="D20" s="38" t="s">
        <v>32</v>
      </c>
      <c r="E20" s="16"/>
      <c r="F20" s="16" t="s">
        <v>34</v>
      </c>
      <c r="G20" s="39">
        <v>0</v>
      </c>
      <c r="I20" s="16" t="s">
        <v>450</v>
      </c>
      <c r="J20" s="38" t="s">
        <v>437</v>
      </c>
      <c r="K20" s="38" t="s">
        <v>451</v>
      </c>
      <c r="L20" s="38" t="s">
        <v>432</v>
      </c>
      <c r="M20" s="38" t="s">
        <v>445</v>
      </c>
      <c r="N20" s="38" t="s">
        <v>443</v>
      </c>
      <c r="O20" s="38" t="s">
        <v>435</v>
      </c>
      <c r="P20" s="38"/>
      <c r="Q20" s="38" t="s">
        <v>435</v>
      </c>
      <c r="R20" s="38" t="s">
        <v>443</v>
      </c>
      <c r="S20" s="38" t="s">
        <v>435</v>
      </c>
      <c r="T20" s="38"/>
      <c r="U20" s="38"/>
      <c r="V20" s="38"/>
      <c r="W20" s="38" t="s">
        <v>432</v>
      </c>
      <c r="Y20" s="16" t="s">
        <v>489</v>
      </c>
      <c r="Z20" s="38" t="s">
        <v>490</v>
      </c>
      <c r="AA20" s="16"/>
      <c r="AB20" s="39">
        <v>1.5</v>
      </c>
      <c r="AC20" s="39">
        <v>6</v>
      </c>
      <c r="AD20" s="39">
        <v>0</v>
      </c>
      <c r="AE20" s="39">
        <v>0</v>
      </c>
      <c r="AF20" s="39">
        <v>0</v>
      </c>
      <c r="AH20" s="16" t="s">
        <v>508</v>
      </c>
      <c r="AI20" s="16" t="s">
        <v>507</v>
      </c>
      <c r="AO20" s="38" t="s">
        <v>546</v>
      </c>
      <c r="AP20" s="16" t="s">
        <v>547</v>
      </c>
      <c r="AR20" s="16" t="s">
        <v>151</v>
      </c>
      <c r="AS20" s="16" t="s">
        <v>556</v>
      </c>
      <c r="AU20" s="16" t="s">
        <v>263</v>
      </c>
      <c r="AX20" s="38" t="s">
        <v>417</v>
      </c>
      <c r="AZ20" s="16" t="s">
        <v>450</v>
      </c>
    </row>
    <row r="21" spans="2:94">
      <c r="B21" s="38" t="s">
        <v>57</v>
      </c>
      <c r="C21" s="16" t="s">
        <v>58</v>
      </c>
      <c r="D21" s="38" t="s">
        <v>32</v>
      </c>
      <c r="E21" s="16"/>
      <c r="F21" s="16" t="s">
        <v>34</v>
      </c>
      <c r="G21" s="39">
        <v>0</v>
      </c>
      <c r="I21" s="16" t="s">
        <v>452</v>
      </c>
      <c r="J21" s="38" t="s">
        <v>430</v>
      </c>
      <c r="K21" s="38" t="s">
        <v>453</v>
      </c>
      <c r="L21" s="38" t="s">
        <v>432</v>
      </c>
      <c r="M21" s="38" t="s">
        <v>432</v>
      </c>
      <c r="N21" s="38" t="s">
        <v>433</v>
      </c>
      <c r="O21" s="38" t="s">
        <v>7</v>
      </c>
      <c r="P21" s="38" t="s">
        <v>217</v>
      </c>
      <c r="Q21" s="38" t="s">
        <v>6</v>
      </c>
      <c r="R21" s="38" t="s">
        <v>434</v>
      </c>
      <c r="S21" s="38" t="s">
        <v>435</v>
      </c>
      <c r="T21" s="38"/>
      <c r="U21" s="38"/>
      <c r="V21" s="38"/>
      <c r="W21" s="38" t="s">
        <v>432</v>
      </c>
      <c r="Y21" s="16" t="s">
        <v>491</v>
      </c>
      <c r="Z21" s="38" t="s">
        <v>492</v>
      </c>
      <c r="AA21" s="16"/>
      <c r="AB21" s="39">
        <v>1.5</v>
      </c>
      <c r="AC21" s="39">
        <v>6</v>
      </c>
      <c r="AD21" s="39">
        <v>0</v>
      </c>
      <c r="AE21" s="39">
        <v>0</v>
      </c>
      <c r="AF21" s="39">
        <v>0</v>
      </c>
      <c r="AH21" s="16" t="s">
        <v>509</v>
      </c>
      <c r="AI21" s="16" t="s">
        <v>453</v>
      </c>
      <c r="AO21" s="38" t="s">
        <v>548</v>
      </c>
      <c r="AP21" s="16" t="s">
        <v>445</v>
      </c>
      <c r="AR21" s="16" t="s">
        <v>163</v>
      </c>
      <c r="AS21" s="16" t="s">
        <v>164</v>
      </c>
      <c r="AX21" s="38" t="s">
        <v>418</v>
      </c>
      <c r="AZ21" s="16" t="s">
        <v>452</v>
      </c>
    </row>
    <row r="22" spans="2:94">
      <c r="B22" s="38" t="s">
        <v>59</v>
      </c>
      <c r="C22" s="16" t="s">
        <v>60</v>
      </c>
      <c r="D22" s="38" t="s">
        <v>32</v>
      </c>
      <c r="E22" s="16"/>
      <c r="F22" s="16" t="s">
        <v>34</v>
      </c>
      <c r="G22" s="39">
        <v>0</v>
      </c>
      <c r="I22" s="16" t="s">
        <v>454</v>
      </c>
      <c r="J22" s="38" t="s">
        <v>437</v>
      </c>
      <c r="K22" s="38" t="s">
        <v>453</v>
      </c>
      <c r="L22" s="38" t="s">
        <v>432</v>
      </c>
      <c r="M22" s="38" t="s">
        <v>432</v>
      </c>
      <c r="N22" s="38" t="s">
        <v>433</v>
      </c>
      <c r="O22" s="38" t="s">
        <v>6</v>
      </c>
      <c r="P22" s="38" t="s">
        <v>217</v>
      </c>
      <c r="Q22" s="38" t="s">
        <v>7</v>
      </c>
      <c r="R22" s="38" t="s">
        <v>443</v>
      </c>
      <c r="S22" s="38" t="s">
        <v>435</v>
      </c>
      <c r="T22" s="38"/>
      <c r="U22" s="38"/>
      <c r="V22" s="38"/>
      <c r="W22" s="38" t="s">
        <v>432</v>
      </c>
      <c r="AH22" s="16" t="s">
        <v>510</v>
      </c>
      <c r="AI22" s="16" t="s">
        <v>510</v>
      </c>
      <c r="AR22" s="16" t="s">
        <v>163</v>
      </c>
      <c r="AS22" s="16" t="s">
        <v>557</v>
      </c>
      <c r="AX22" s="38" t="s">
        <v>419</v>
      </c>
      <c r="AZ22" s="16" t="s">
        <v>454</v>
      </c>
    </row>
    <row r="23" spans="2:94">
      <c r="B23" s="38" t="s">
        <v>61</v>
      </c>
      <c r="C23" s="16" t="s">
        <v>62</v>
      </c>
      <c r="D23" s="38" t="s">
        <v>32</v>
      </c>
      <c r="E23" s="16"/>
      <c r="F23" s="16" t="s">
        <v>34</v>
      </c>
      <c r="G23" s="39">
        <v>0</v>
      </c>
      <c r="I23" s="16" t="s">
        <v>455</v>
      </c>
      <c r="J23" s="38" t="s">
        <v>435</v>
      </c>
      <c r="K23" s="38" t="s">
        <v>206</v>
      </c>
      <c r="L23" s="38" t="s">
        <v>445</v>
      </c>
      <c r="M23" s="38" t="s">
        <v>445</v>
      </c>
      <c r="N23" s="38" t="s">
        <v>8</v>
      </c>
      <c r="O23" s="38" t="s">
        <v>435</v>
      </c>
      <c r="P23" s="38"/>
      <c r="Q23" s="38" t="s">
        <v>435</v>
      </c>
      <c r="R23" s="38" t="s">
        <v>9</v>
      </c>
      <c r="S23" s="38" t="s">
        <v>6</v>
      </c>
      <c r="T23" s="38" t="s">
        <v>439</v>
      </c>
      <c r="U23" s="38" t="s">
        <v>192</v>
      </c>
      <c r="V23" s="38"/>
      <c r="W23" s="38" t="s">
        <v>432</v>
      </c>
      <c r="AH23" s="16" t="s">
        <v>511</v>
      </c>
      <c r="AI23" s="16" t="s">
        <v>453</v>
      </c>
      <c r="AR23" s="16" t="s">
        <v>163</v>
      </c>
      <c r="AS23" s="16" t="s">
        <v>558</v>
      </c>
      <c r="AX23" s="38" t="s">
        <v>420</v>
      </c>
      <c r="AZ23" s="16" t="s">
        <v>455</v>
      </c>
    </row>
    <row r="24" spans="2:94">
      <c r="B24" s="38" t="s">
        <v>63</v>
      </c>
      <c r="C24" s="16" t="s">
        <v>64</v>
      </c>
      <c r="D24" s="38" t="s">
        <v>32</v>
      </c>
      <c r="E24" s="16"/>
      <c r="F24" s="16" t="s">
        <v>34</v>
      </c>
      <c r="G24" s="39">
        <v>0</v>
      </c>
      <c r="I24" s="16" t="s">
        <v>456</v>
      </c>
      <c r="J24" s="38" t="s">
        <v>430</v>
      </c>
      <c r="K24" s="38" t="s">
        <v>431</v>
      </c>
      <c r="L24" s="38" t="s">
        <v>445</v>
      </c>
      <c r="M24" s="38" t="s">
        <v>432</v>
      </c>
      <c r="N24" s="38" t="s">
        <v>8</v>
      </c>
      <c r="O24" s="38" t="s">
        <v>7</v>
      </c>
      <c r="P24" s="38" t="s">
        <v>202</v>
      </c>
      <c r="Q24" s="38" t="s">
        <v>6</v>
      </c>
      <c r="R24" s="38" t="s">
        <v>443</v>
      </c>
      <c r="S24" s="38" t="s">
        <v>435</v>
      </c>
      <c r="T24" s="38"/>
      <c r="U24" s="38"/>
      <c r="V24" s="38"/>
      <c r="W24" s="38" t="s">
        <v>445</v>
      </c>
      <c r="AH24" s="16" t="s">
        <v>512</v>
      </c>
      <c r="AI24" s="16" t="s">
        <v>453</v>
      </c>
      <c r="AR24" s="16" t="s">
        <v>163</v>
      </c>
      <c r="AS24" s="16" t="s">
        <v>453</v>
      </c>
      <c r="AX24" s="38" t="s">
        <v>421</v>
      </c>
    </row>
    <row r="25" spans="2:94">
      <c r="B25" s="38" t="s">
        <v>65</v>
      </c>
      <c r="C25" s="16" t="s">
        <v>66</v>
      </c>
      <c r="D25" s="38" t="s">
        <v>32</v>
      </c>
      <c r="E25" s="16"/>
      <c r="F25" s="16" t="s">
        <v>34</v>
      </c>
      <c r="G25" s="39">
        <v>0</v>
      </c>
      <c r="I25" s="16" t="s">
        <v>208</v>
      </c>
      <c r="J25" s="38" t="s">
        <v>437</v>
      </c>
      <c r="K25" s="38" t="s">
        <v>438</v>
      </c>
      <c r="L25" s="38" t="s">
        <v>445</v>
      </c>
      <c r="M25" s="38" t="s">
        <v>432</v>
      </c>
      <c r="N25" s="38" t="s">
        <v>8</v>
      </c>
      <c r="O25" s="38" t="s">
        <v>6</v>
      </c>
      <c r="P25" s="38" t="s">
        <v>207</v>
      </c>
      <c r="Q25" s="38" t="s">
        <v>7</v>
      </c>
      <c r="R25" s="38" t="s">
        <v>443</v>
      </c>
      <c r="S25" s="38" t="s">
        <v>435</v>
      </c>
      <c r="T25" s="38"/>
      <c r="U25" s="38"/>
      <c r="V25" s="38"/>
      <c r="W25" s="38" t="s">
        <v>445</v>
      </c>
      <c r="AH25" s="16"/>
      <c r="AI25" s="16"/>
      <c r="AR25" s="16" t="s">
        <v>559</v>
      </c>
      <c r="AS25" s="16" t="s">
        <v>560</v>
      </c>
      <c r="AX25" s="38" t="s">
        <v>422</v>
      </c>
    </row>
    <row r="26" spans="2:94">
      <c r="B26" s="38" t="s">
        <v>67</v>
      </c>
      <c r="C26" s="16" t="s">
        <v>68</v>
      </c>
      <c r="D26" s="38" t="s">
        <v>32</v>
      </c>
      <c r="E26" s="16"/>
      <c r="F26" s="16" t="s">
        <v>34</v>
      </c>
      <c r="G26" s="39">
        <v>0</v>
      </c>
      <c r="I26" s="16" t="s">
        <v>457</v>
      </c>
      <c r="J26" s="38" t="s">
        <v>437</v>
      </c>
      <c r="K26" s="38" t="s">
        <v>431</v>
      </c>
      <c r="L26" s="38" t="s">
        <v>445</v>
      </c>
      <c r="M26" s="38" t="s">
        <v>432</v>
      </c>
      <c r="N26" s="38" t="s">
        <v>8</v>
      </c>
      <c r="O26" s="38" t="s">
        <v>6</v>
      </c>
      <c r="P26" s="38" t="s">
        <v>202</v>
      </c>
      <c r="Q26" s="38" t="s">
        <v>7</v>
      </c>
      <c r="R26" s="38" t="s">
        <v>443</v>
      </c>
      <c r="S26" s="38" t="s">
        <v>435</v>
      </c>
      <c r="T26" s="38"/>
      <c r="U26" s="38"/>
      <c r="V26" s="38"/>
      <c r="W26" s="38" t="s">
        <v>445</v>
      </c>
      <c r="AH26" s="16"/>
      <c r="AI26" s="16"/>
      <c r="AR26" s="16" t="s">
        <v>559</v>
      </c>
      <c r="AS26" s="16" t="s">
        <v>561</v>
      </c>
      <c r="AX26" s="38" t="s">
        <v>423</v>
      </c>
    </row>
    <row r="27" spans="2:94">
      <c r="B27" s="38" t="s">
        <v>69</v>
      </c>
      <c r="C27" s="16" t="s">
        <v>70</v>
      </c>
      <c r="D27" s="38" t="s">
        <v>32</v>
      </c>
      <c r="E27" s="16"/>
      <c r="F27" s="16" t="s">
        <v>34</v>
      </c>
      <c r="G27" s="39">
        <v>0</v>
      </c>
      <c r="I27" s="16" t="s">
        <v>458</v>
      </c>
      <c r="J27" s="38" t="s">
        <v>430</v>
      </c>
      <c r="K27" s="38" t="s">
        <v>438</v>
      </c>
      <c r="L27" s="38" t="s">
        <v>445</v>
      </c>
      <c r="M27" s="38" t="s">
        <v>432</v>
      </c>
      <c r="N27" s="38" t="s">
        <v>8</v>
      </c>
      <c r="O27" s="38" t="s">
        <v>7</v>
      </c>
      <c r="P27" s="38" t="s">
        <v>207</v>
      </c>
      <c r="Q27" s="38" t="s">
        <v>6</v>
      </c>
      <c r="R27" s="38" t="s">
        <v>443</v>
      </c>
      <c r="S27" s="38" t="s">
        <v>435</v>
      </c>
      <c r="T27" s="38"/>
      <c r="U27" s="38"/>
      <c r="V27" s="38"/>
      <c r="W27" s="38" t="s">
        <v>445</v>
      </c>
      <c r="AH27" s="16"/>
      <c r="AI27" s="16"/>
      <c r="AR27" s="16" t="s">
        <v>559</v>
      </c>
      <c r="AS27" s="16" t="s">
        <v>562</v>
      </c>
      <c r="AX27" s="38" t="s">
        <v>424</v>
      </c>
    </row>
    <row r="28" spans="2:94">
      <c r="B28" s="38" t="s">
        <v>71</v>
      </c>
      <c r="C28" s="16" t="s">
        <v>72</v>
      </c>
      <c r="D28" s="38" t="s">
        <v>32</v>
      </c>
      <c r="E28" s="16"/>
      <c r="F28" s="16" t="s">
        <v>34</v>
      </c>
      <c r="G28" s="39">
        <v>0</v>
      </c>
      <c r="I28" s="16" t="s">
        <v>459</v>
      </c>
      <c r="J28" s="38" t="s">
        <v>437</v>
      </c>
      <c r="K28" s="38" t="s">
        <v>451</v>
      </c>
      <c r="L28" s="38" t="s">
        <v>445</v>
      </c>
      <c r="M28" s="38" t="s">
        <v>445</v>
      </c>
      <c r="N28" s="38" t="s">
        <v>443</v>
      </c>
      <c r="O28" s="38" t="s">
        <v>435</v>
      </c>
      <c r="P28" s="38"/>
      <c r="Q28" s="38" t="s">
        <v>435</v>
      </c>
      <c r="R28" s="38" t="s">
        <v>443</v>
      </c>
      <c r="S28" s="38" t="s">
        <v>435</v>
      </c>
      <c r="T28" s="38"/>
      <c r="U28" s="38"/>
      <c r="V28" s="38"/>
      <c r="W28" s="38" t="s">
        <v>445</v>
      </c>
      <c r="AH28" s="16"/>
      <c r="AI28" s="16"/>
      <c r="AR28" s="16" t="s">
        <v>559</v>
      </c>
      <c r="AS28" s="16" t="s">
        <v>563</v>
      </c>
      <c r="AX28" s="38" t="s">
        <v>425</v>
      </c>
    </row>
    <row r="29" spans="2:94">
      <c r="B29" s="38" t="s">
        <v>73</v>
      </c>
      <c r="C29" s="16" t="s">
        <v>74</v>
      </c>
      <c r="D29" s="38" t="s">
        <v>32</v>
      </c>
      <c r="E29" s="16"/>
      <c r="F29" s="16" t="s">
        <v>34</v>
      </c>
      <c r="G29" s="39">
        <v>0</v>
      </c>
      <c r="I29" s="16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AH29" s="16"/>
      <c r="AI29" s="16"/>
      <c r="AR29" s="16" t="s">
        <v>171</v>
      </c>
      <c r="AS29" s="16" t="s">
        <v>172</v>
      </c>
      <c r="AX29" s="38" t="s">
        <v>426</v>
      </c>
    </row>
    <row r="30" spans="2:94">
      <c r="B30" s="38" t="s">
        <v>75</v>
      </c>
      <c r="C30" s="16" t="s">
        <v>76</v>
      </c>
      <c r="D30" s="38" t="s">
        <v>32</v>
      </c>
      <c r="E30" s="16"/>
      <c r="F30" s="16" t="s">
        <v>34</v>
      </c>
      <c r="G30" s="39">
        <v>0</v>
      </c>
      <c r="I30" s="16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AR30" s="16" t="s">
        <v>171</v>
      </c>
      <c r="AS30" s="16" t="s">
        <v>175</v>
      </c>
    </row>
    <row r="31" spans="2:94">
      <c r="B31" s="38" t="s">
        <v>77</v>
      </c>
      <c r="C31" s="16" t="s">
        <v>78</v>
      </c>
      <c r="D31" s="38" t="s">
        <v>32</v>
      </c>
      <c r="E31" s="16"/>
      <c r="F31" s="16" t="s">
        <v>34</v>
      </c>
      <c r="G31" s="39">
        <v>0</v>
      </c>
      <c r="I31" s="16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AR31" s="16" t="s">
        <v>171</v>
      </c>
      <c r="AS31" s="16" t="s">
        <v>178</v>
      </c>
    </row>
    <row r="32" spans="2:94">
      <c r="B32" s="38" t="s">
        <v>79</v>
      </c>
      <c r="C32" s="16" t="s">
        <v>80</v>
      </c>
      <c r="D32" s="38" t="s">
        <v>32</v>
      </c>
      <c r="E32" s="16"/>
      <c r="F32" s="16" t="s">
        <v>34</v>
      </c>
      <c r="G32" s="39">
        <v>0</v>
      </c>
      <c r="I32" s="1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AR32" s="16" t="s">
        <v>171</v>
      </c>
      <c r="AS32" s="16" t="s">
        <v>181</v>
      </c>
    </row>
    <row r="33" spans="2:45">
      <c r="B33" s="38" t="s">
        <v>81</v>
      </c>
      <c r="C33" s="16" t="s">
        <v>82</v>
      </c>
      <c r="D33" s="38" t="s">
        <v>32</v>
      </c>
      <c r="E33" s="16"/>
      <c r="F33" s="16" t="s">
        <v>34</v>
      </c>
      <c r="G33" s="39">
        <v>0</v>
      </c>
      <c r="I33" s="16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AR33" s="16" t="s">
        <v>171</v>
      </c>
      <c r="AS33" s="16" t="s">
        <v>184</v>
      </c>
    </row>
    <row r="34" spans="2:45">
      <c r="B34" s="38" t="s">
        <v>83</v>
      </c>
      <c r="C34" s="16" t="s">
        <v>84</v>
      </c>
      <c r="D34" s="38" t="s">
        <v>32</v>
      </c>
      <c r="E34" s="16"/>
      <c r="F34" s="16" t="s">
        <v>34</v>
      </c>
      <c r="G34" s="39">
        <v>0</v>
      </c>
      <c r="AR34" s="16" t="s">
        <v>171</v>
      </c>
      <c r="AS34" s="16" t="s">
        <v>187</v>
      </c>
    </row>
    <row r="35" spans="2:45">
      <c r="B35" s="38" t="s">
        <v>85</v>
      </c>
      <c r="C35" s="16" t="s">
        <v>86</v>
      </c>
      <c r="D35" s="38" t="s">
        <v>32</v>
      </c>
      <c r="E35" s="16"/>
      <c r="F35" s="16" t="s">
        <v>34</v>
      </c>
      <c r="G35" s="39">
        <v>0</v>
      </c>
      <c r="AR35" s="16" t="s">
        <v>190</v>
      </c>
      <c r="AS35" s="16" t="s">
        <v>198</v>
      </c>
    </row>
    <row r="36" spans="2:45">
      <c r="B36" s="38" t="s">
        <v>87</v>
      </c>
      <c r="C36" s="16" t="s">
        <v>88</v>
      </c>
      <c r="D36" s="38" t="s">
        <v>32</v>
      </c>
      <c r="E36" s="16"/>
      <c r="F36" s="16" t="s">
        <v>34</v>
      </c>
      <c r="G36" s="39">
        <v>0</v>
      </c>
      <c r="AR36" s="16" t="s">
        <v>190</v>
      </c>
      <c r="AS36" s="16" t="s">
        <v>201</v>
      </c>
    </row>
    <row r="37" spans="2:45">
      <c r="B37" s="38" t="s">
        <v>89</v>
      </c>
      <c r="C37" s="16" t="s">
        <v>90</v>
      </c>
      <c r="D37" s="38" t="s">
        <v>32</v>
      </c>
      <c r="E37" s="16"/>
      <c r="F37" s="16" t="s">
        <v>34</v>
      </c>
      <c r="G37" s="39">
        <v>0</v>
      </c>
      <c r="AR37" s="16" t="s">
        <v>190</v>
      </c>
      <c r="AS37" s="16" t="s">
        <v>206</v>
      </c>
    </row>
    <row r="38" spans="2:45">
      <c r="B38" s="38" t="s">
        <v>91</v>
      </c>
      <c r="C38" s="16" t="s">
        <v>92</v>
      </c>
      <c r="D38" s="38" t="s">
        <v>32</v>
      </c>
      <c r="E38" s="16"/>
      <c r="F38" s="16" t="s">
        <v>34</v>
      </c>
      <c r="G38" s="39">
        <v>0</v>
      </c>
      <c r="AR38" s="16" t="s">
        <v>190</v>
      </c>
      <c r="AS38" s="16" t="s">
        <v>213</v>
      </c>
    </row>
    <row r="39" spans="2:45">
      <c r="B39" s="38" t="s">
        <v>93</v>
      </c>
      <c r="C39" s="16" t="s">
        <v>94</v>
      </c>
      <c r="D39" s="38" t="s">
        <v>32</v>
      </c>
      <c r="E39" s="16"/>
      <c r="F39" s="16" t="s">
        <v>34</v>
      </c>
      <c r="G39" s="39">
        <v>0</v>
      </c>
      <c r="AR39" s="16" t="s">
        <v>190</v>
      </c>
      <c r="AS39" s="16" t="s">
        <v>191</v>
      </c>
    </row>
    <row r="40" spans="2:45">
      <c r="B40" s="38" t="s">
        <v>95</v>
      </c>
      <c r="C40" s="16" t="s">
        <v>96</v>
      </c>
      <c r="D40" s="38" t="s">
        <v>32</v>
      </c>
      <c r="E40" s="16"/>
      <c r="F40" s="16" t="s">
        <v>34</v>
      </c>
      <c r="G40" s="39">
        <v>0</v>
      </c>
      <c r="AR40" s="16" t="s">
        <v>190</v>
      </c>
      <c r="AS40" s="16" t="s">
        <v>216</v>
      </c>
    </row>
    <row r="41" spans="2:45">
      <c r="B41" s="38" t="s">
        <v>97</v>
      </c>
      <c r="C41" s="16" t="s">
        <v>98</v>
      </c>
      <c r="D41" s="38" t="s">
        <v>32</v>
      </c>
      <c r="E41" s="16"/>
      <c r="F41" s="16" t="s">
        <v>34</v>
      </c>
      <c r="G41" s="39">
        <v>0</v>
      </c>
      <c r="AR41" s="16" t="s">
        <v>190</v>
      </c>
      <c r="AS41" s="16" t="s">
        <v>219</v>
      </c>
    </row>
    <row r="42" spans="2:45">
      <c r="B42" s="38" t="s">
        <v>99</v>
      </c>
      <c r="C42" s="16" t="s">
        <v>100</v>
      </c>
      <c r="D42" s="38" t="s">
        <v>32</v>
      </c>
      <c r="E42" s="16"/>
      <c r="F42" s="16" t="s">
        <v>34</v>
      </c>
      <c r="G42" s="39">
        <v>0</v>
      </c>
      <c r="AR42" s="16" t="s">
        <v>190</v>
      </c>
      <c r="AS42" s="16" t="s">
        <v>232</v>
      </c>
    </row>
    <row r="43" spans="2:45">
      <c r="B43" s="38" t="s">
        <v>101</v>
      </c>
      <c r="C43" s="16" t="s">
        <v>102</v>
      </c>
      <c r="D43" s="38" t="s">
        <v>32</v>
      </c>
      <c r="E43" s="16"/>
      <c r="F43" s="16" t="s">
        <v>34</v>
      </c>
      <c r="G43" s="39">
        <v>0</v>
      </c>
      <c r="AR43" s="16" t="s">
        <v>259</v>
      </c>
      <c r="AS43" s="16" t="s">
        <v>260</v>
      </c>
    </row>
    <row r="44" spans="2:45">
      <c r="B44" s="38" t="s">
        <v>103</v>
      </c>
      <c r="C44" s="16" t="s">
        <v>104</v>
      </c>
      <c r="D44" s="38" t="s">
        <v>32</v>
      </c>
      <c r="E44" s="16"/>
      <c r="F44" s="16" t="s">
        <v>34</v>
      </c>
      <c r="G44" s="39">
        <v>0</v>
      </c>
      <c r="AR44" s="16" t="s">
        <v>259</v>
      </c>
      <c r="AS44" s="16" t="s">
        <v>564</v>
      </c>
    </row>
    <row r="45" spans="2:45">
      <c r="B45" s="38" t="s">
        <v>105</v>
      </c>
      <c r="C45" s="16" t="s">
        <v>106</v>
      </c>
      <c r="D45" s="38" t="s">
        <v>32</v>
      </c>
      <c r="E45" s="16"/>
      <c r="F45" s="16" t="s">
        <v>34</v>
      </c>
      <c r="G45" s="39">
        <v>0</v>
      </c>
      <c r="AR45" s="16" t="s">
        <v>241</v>
      </c>
      <c r="AS45" s="16" t="s">
        <v>242</v>
      </c>
    </row>
    <row r="46" spans="2:45">
      <c r="B46" s="38" t="s">
        <v>107</v>
      </c>
      <c r="C46" s="16" t="s">
        <v>108</v>
      </c>
      <c r="D46" s="38" t="s">
        <v>32</v>
      </c>
      <c r="E46" s="16"/>
      <c r="F46" s="16" t="s">
        <v>34</v>
      </c>
      <c r="G46" s="39">
        <v>0</v>
      </c>
      <c r="AR46" s="16" t="s">
        <v>241</v>
      </c>
      <c r="AS46" s="16" t="s">
        <v>245</v>
      </c>
    </row>
    <row r="47" spans="2:45">
      <c r="B47" s="38" t="s">
        <v>109</v>
      </c>
      <c r="C47" s="16" t="s">
        <v>110</v>
      </c>
      <c r="D47" s="38" t="s">
        <v>32</v>
      </c>
      <c r="E47" s="16"/>
      <c r="F47" s="16" t="s">
        <v>34</v>
      </c>
      <c r="G47" s="39">
        <v>0</v>
      </c>
      <c r="AR47" s="16" t="s">
        <v>241</v>
      </c>
      <c r="AS47" s="16" t="s">
        <v>248</v>
      </c>
    </row>
    <row r="48" spans="2:45">
      <c r="B48" s="38" t="s">
        <v>111</v>
      </c>
      <c r="C48" s="16" t="s">
        <v>112</v>
      </c>
      <c r="D48" s="38" t="s">
        <v>32</v>
      </c>
      <c r="E48" s="16"/>
      <c r="F48" s="16" t="s">
        <v>34</v>
      </c>
      <c r="G48" s="39">
        <v>0</v>
      </c>
      <c r="AR48" s="16" t="s">
        <v>251</v>
      </c>
      <c r="AS48" s="16" t="s">
        <v>252</v>
      </c>
    </row>
    <row r="49" spans="2:45">
      <c r="B49" s="38" t="s">
        <v>113</v>
      </c>
      <c r="C49" s="16" t="s">
        <v>114</v>
      </c>
      <c r="D49" s="38" t="s">
        <v>32</v>
      </c>
      <c r="E49" s="16"/>
      <c r="F49" s="16" t="s">
        <v>34</v>
      </c>
      <c r="G49" s="39">
        <v>0</v>
      </c>
      <c r="AR49" s="16" t="s">
        <v>255</v>
      </c>
      <c r="AS49" s="16" t="s">
        <v>256</v>
      </c>
    </row>
    <row r="50" spans="2:45">
      <c r="B50" s="38" t="s">
        <v>115</v>
      </c>
      <c r="C50" s="16" t="s">
        <v>116</v>
      </c>
      <c r="D50" s="38" t="s">
        <v>32</v>
      </c>
      <c r="E50" s="16"/>
      <c r="F50" s="16" t="s">
        <v>34</v>
      </c>
      <c r="G50" s="39">
        <v>0</v>
      </c>
      <c r="AR50" s="16" t="s">
        <v>255</v>
      </c>
      <c r="AS50" s="16" t="s">
        <v>565</v>
      </c>
    </row>
    <row r="51" spans="2:45">
      <c r="B51" s="38" t="s">
        <v>117</v>
      </c>
      <c r="C51" s="16" t="s">
        <v>118</v>
      </c>
      <c r="D51" s="38" t="s">
        <v>32</v>
      </c>
      <c r="E51" s="16"/>
      <c r="F51" s="16" t="s">
        <v>34</v>
      </c>
      <c r="G51" s="39">
        <v>0</v>
      </c>
      <c r="AR51" s="16" t="s">
        <v>255</v>
      </c>
      <c r="AS51" s="16" t="s">
        <v>566</v>
      </c>
    </row>
    <row r="52" spans="2:45">
      <c r="B52" s="38" t="s">
        <v>119</v>
      </c>
      <c r="C52" s="16" t="s">
        <v>120</v>
      </c>
      <c r="D52" s="38" t="s">
        <v>32</v>
      </c>
      <c r="E52" s="16"/>
      <c r="F52" s="16" t="s">
        <v>34</v>
      </c>
      <c r="G52" s="39">
        <v>0</v>
      </c>
    </row>
    <row r="53" spans="2:45">
      <c r="B53" s="38" t="s">
        <v>121</v>
      </c>
      <c r="C53" s="16" t="s">
        <v>122</v>
      </c>
      <c r="D53" s="38" t="s">
        <v>32</v>
      </c>
      <c r="E53" s="16"/>
      <c r="F53" s="16" t="s">
        <v>34</v>
      </c>
      <c r="G53" s="39">
        <v>0</v>
      </c>
    </row>
    <row r="54" spans="2:45">
      <c r="B54" s="38" t="s">
        <v>123</v>
      </c>
      <c r="C54" s="16" t="s">
        <v>124</v>
      </c>
      <c r="D54" s="38" t="s">
        <v>32</v>
      </c>
      <c r="E54" s="16"/>
      <c r="F54" s="16" t="s">
        <v>34</v>
      </c>
      <c r="G54" s="39">
        <v>0</v>
      </c>
    </row>
    <row r="55" spans="2:45">
      <c r="B55" s="38" t="s">
        <v>125</v>
      </c>
      <c r="C55" s="16" t="s">
        <v>126</v>
      </c>
      <c r="D55" s="38" t="s">
        <v>32</v>
      </c>
      <c r="E55" s="16"/>
      <c r="F55" s="16" t="s">
        <v>34</v>
      </c>
      <c r="G55" s="39">
        <v>0</v>
      </c>
    </row>
    <row r="56" spans="2:45">
      <c r="B56" s="38" t="s">
        <v>127</v>
      </c>
      <c r="C56" s="16" t="s">
        <v>128</v>
      </c>
      <c r="D56" s="38" t="s">
        <v>32</v>
      </c>
      <c r="E56" s="16"/>
      <c r="F56" s="16" t="s">
        <v>34</v>
      </c>
      <c r="G56" s="39">
        <v>0</v>
      </c>
    </row>
    <row r="57" spans="2:45">
      <c r="B57" s="38" t="s">
        <v>129</v>
      </c>
      <c r="C57" s="16" t="s">
        <v>130</v>
      </c>
      <c r="D57" s="38" t="s">
        <v>32</v>
      </c>
      <c r="E57" s="16"/>
      <c r="F57" s="16" t="s">
        <v>34</v>
      </c>
      <c r="G57" s="39">
        <v>0</v>
      </c>
    </row>
    <row r="58" spans="2:45">
      <c r="B58" s="38" t="s">
        <v>131</v>
      </c>
      <c r="C58" s="16" t="s">
        <v>132</v>
      </c>
      <c r="D58" s="38" t="s">
        <v>32</v>
      </c>
      <c r="E58" s="16"/>
      <c r="F58" s="16" t="s">
        <v>34</v>
      </c>
      <c r="G58" s="39">
        <v>0</v>
      </c>
    </row>
    <row r="59" spans="2:45">
      <c r="B59" s="38" t="s">
        <v>133</v>
      </c>
      <c r="C59" s="16" t="s">
        <v>134</v>
      </c>
      <c r="D59" s="38" t="s">
        <v>32</v>
      </c>
      <c r="E59" s="16"/>
      <c r="F59" s="16" t="s">
        <v>34</v>
      </c>
      <c r="G59" s="39">
        <v>0</v>
      </c>
    </row>
    <row r="60" spans="2:45">
      <c r="B60" s="38" t="s">
        <v>135</v>
      </c>
      <c r="C60" s="16" t="s">
        <v>136</v>
      </c>
      <c r="D60" s="38" t="s">
        <v>32</v>
      </c>
      <c r="E60" s="16"/>
      <c r="F60" s="16" t="s">
        <v>34</v>
      </c>
      <c r="G60" s="39">
        <v>0</v>
      </c>
    </row>
    <row r="61" spans="2:45">
      <c r="B61" s="38" t="s">
        <v>137</v>
      </c>
      <c r="C61" s="16" t="s">
        <v>138</v>
      </c>
      <c r="D61" s="38" t="s">
        <v>32</v>
      </c>
      <c r="E61" s="16"/>
      <c r="F61" s="16" t="s">
        <v>34</v>
      </c>
      <c r="G61" s="39">
        <v>0</v>
      </c>
    </row>
    <row r="62" spans="2:45">
      <c r="B62" s="38" t="s">
        <v>139</v>
      </c>
      <c r="C62" s="16" t="s">
        <v>140</v>
      </c>
      <c r="D62" s="38" t="s">
        <v>32</v>
      </c>
      <c r="E62" s="16"/>
      <c r="F62" s="16" t="s">
        <v>34</v>
      </c>
      <c r="G62" s="39">
        <v>0</v>
      </c>
    </row>
    <row r="63" spans="2:45">
      <c r="B63" s="38" t="s">
        <v>141</v>
      </c>
      <c r="C63" s="16" t="s">
        <v>142</v>
      </c>
      <c r="D63" s="38" t="s">
        <v>32</v>
      </c>
      <c r="E63" s="16"/>
      <c r="F63" s="16" t="s">
        <v>34</v>
      </c>
      <c r="G63" s="39">
        <v>0</v>
      </c>
    </row>
    <row r="64" spans="2:45">
      <c r="B64" s="38" t="s">
        <v>143</v>
      </c>
      <c r="C64" s="16" t="s">
        <v>144</v>
      </c>
      <c r="D64" s="38" t="s">
        <v>32</v>
      </c>
      <c r="E64" s="16"/>
      <c r="F64" s="16" t="s">
        <v>34</v>
      </c>
      <c r="G64" s="39">
        <v>0</v>
      </c>
    </row>
    <row r="65" spans="2:7">
      <c r="B65" s="38" t="s">
        <v>145</v>
      </c>
      <c r="C65" s="16" t="s">
        <v>146</v>
      </c>
      <c r="D65" s="38" t="s">
        <v>32</v>
      </c>
      <c r="E65" s="16"/>
      <c r="F65" s="16" t="s">
        <v>34</v>
      </c>
      <c r="G65" s="39">
        <v>0</v>
      </c>
    </row>
    <row r="66" spans="2:7">
      <c r="B66" s="38" t="s">
        <v>147</v>
      </c>
      <c r="C66" s="16" t="s">
        <v>148</v>
      </c>
      <c r="D66" s="38" t="s">
        <v>32</v>
      </c>
      <c r="E66" s="16"/>
      <c r="F66" s="16" t="s">
        <v>34</v>
      </c>
      <c r="G66" s="39">
        <v>0</v>
      </c>
    </row>
    <row r="67" spans="2:7">
      <c r="B67" s="38" t="s">
        <v>149</v>
      </c>
      <c r="C67" s="16" t="s">
        <v>150</v>
      </c>
      <c r="D67" s="38" t="s">
        <v>151</v>
      </c>
      <c r="E67" s="16" t="s">
        <v>152</v>
      </c>
      <c r="F67" s="16" t="s">
        <v>34</v>
      </c>
      <c r="G67" s="39">
        <v>0</v>
      </c>
    </row>
    <row r="68" spans="2:7">
      <c r="B68" s="38" t="s">
        <v>153</v>
      </c>
      <c r="C68" s="16" t="s">
        <v>154</v>
      </c>
      <c r="D68" s="38" t="s">
        <v>151</v>
      </c>
      <c r="E68" s="16" t="s">
        <v>152</v>
      </c>
      <c r="F68" s="16" t="s">
        <v>34</v>
      </c>
      <c r="G68" s="39">
        <v>0</v>
      </c>
    </row>
    <row r="69" spans="2:7">
      <c r="B69" s="38" t="s">
        <v>155</v>
      </c>
      <c r="C69" s="16" t="s">
        <v>156</v>
      </c>
      <c r="D69" s="38" t="s">
        <v>151</v>
      </c>
      <c r="E69" s="16" t="s">
        <v>152</v>
      </c>
      <c r="F69" s="16" t="s">
        <v>34</v>
      </c>
      <c r="G69" s="39">
        <v>0</v>
      </c>
    </row>
    <row r="70" spans="2:7">
      <c r="B70" s="38" t="s">
        <v>157</v>
      </c>
      <c r="C70" s="16" t="s">
        <v>158</v>
      </c>
      <c r="D70" s="38" t="s">
        <v>151</v>
      </c>
      <c r="E70" s="16" t="s">
        <v>152</v>
      </c>
      <c r="F70" s="16" t="s">
        <v>34</v>
      </c>
      <c r="G70" s="39">
        <v>0</v>
      </c>
    </row>
    <row r="71" spans="2:7">
      <c r="B71" s="38" t="s">
        <v>159</v>
      </c>
      <c r="C71" s="16" t="s">
        <v>160</v>
      </c>
      <c r="D71" s="38" t="s">
        <v>151</v>
      </c>
      <c r="E71" s="16" t="s">
        <v>152</v>
      </c>
      <c r="F71" s="16" t="s">
        <v>34</v>
      </c>
      <c r="G71" s="39">
        <v>0</v>
      </c>
    </row>
    <row r="72" spans="2:7">
      <c r="B72" s="38" t="s">
        <v>161</v>
      </c>
      <c r="C72" s="16" t="s">
        <v>162</v>
      </c>
      <c r="D72" s="38" t="s">
        <v>163</v>
      </c>
      <c r="E72" s="16" t="s">
        <v>164</v>
      </c>
      <c r="F72" s="16" t="s">
        <v>34</v>
      </c>
      <c r="G72" s="39">
        <v>0</v>
      </c>
    </row>
    <row r="73" spans="2:7">
      <c r="B73" s="38" t="s">
        <v>165</v>
      </c>
      <c r="C73" s="16" t="s">
        <v>166</v>
      </c>
      <c r="D73" s="38" t="s">
        <v>163</v>
      </c>
      <c r="E73" s="16" t="s">
        <v>164</v>
      </c>
      <c r="F73" s="16" t="s">
        <v>34</v>
      </c>
      <c r="G73" s="39">
        <v>0</v>
      </c>
    </row>
    <row r="74" spans="2:7">
      <c r="B74" s="38" t="s">
        <v>167</v>
      </c>
      <c r="C74" s="16" t="s">
        <v>168</v>
      </c>
      <c r="D74" s="38" t="s">
        <v>163</v>
      </c>
      <c r="E74" s="16" t="s">
        <v>164</v>
      </c>
      <c r="F74" s="16" t="s">
        <v>34</v>
      </c>
      <c r="G74" s="39">
        <v>0</v>
      </c>
    </row>
    <row r="75" spans="2:7">
      <c r="B75" s="38" t="s">
        <v>169</v>
      </c>
      <c r="C75" s="16" t="s">
        <v>170</v>
      </c>
      <c r="D75" s="38" t="s">
        <v>171</v>
      </c>
      <c r="E75" s="16" t="s">
        <v>172</v>
      </c>
      <c r="F75" s="16" t="s">
        <v>34</v>
      </c>
      <c r="G75" s="39">
        <v>0</v>
      </c>
    </row>
    <row r="76" spans="2:7">
      <c r="B76" s="38" t="s">
        <v>173</v>
      </c>
      <c r="C76" s="16" t="s">
        <v>174</v>
      </c>
      <c r="D76" s="38" t="s">
        <v>171</v>
      </c>
      <c r="E76" s="16" t="s">
        <v>175</v>
      </c>
      <c r="F76" s="16" t="s">
        <v>34</v>
      </c>
      <c r="G76" s="39">
        <v>0</v>
      </c>
    </row>
    <row r="77" spans="2:7">
      <c r="B77" s="38" t="s">
        <v>176</v>
      </c>
      <c r="C77" s="16" t="s">
        <v>177</v>
      </c>
      <c r="D77" s="38" t="s">
        <v>171</v>
      </c>
      <c r="E77" s="16" t="s">
        <v>178</v>
      </c>
      <c r="F77" s="16" t="s">
        <v>34</v>
      </c>
      <c r="G77" s="39">
        <v>0</v>
      </c>
    </row>
    <row r="78" spans="2:7">
      <c r="B78" s="38" t="s">
        <v>179</v>
      </c>
      <c r="C78" s="16" t="s">
        <v>180</v>
      </c>
      <c r="D78" s="38" t="s">
        <v>171</v>
      </c>
      <c r="E78" s="16" t="s">
        <v>181</v>
      </c>
      <c r="F78" s="16" t="s">
        <v>34</v>
      </c>
      <c r="G78" s="39">
        <v>0</v>
      </c>
    </row>
    <row r="79" spans="2:7">
      <c r="B79" s="38" t="s">
        <v>182</v>
      </c>
      <c r="C79" s="16" t="s">
        <v>183</v>
      </c>
      <c r="D79" s="38" t="s">
        <v>171</v>
      </c>
      <c r="E79" s="16" t="s">
        <v>184</v>
      </c>
      <c r="F79" s="16" t="s">
        <v>34</v>
      </c>
      <c r="G79" s="39">
        <v>0</v>
      </c>
    </row>
    <row r="80" spans="2:7">
      <c r="B80" s="38" t="s">
        <v>185</v>
      </c>
      <c r="C80" s="16" t="s">
        <v>186</v>
      </c>
      <c r="D80" s="38" t="s">
        <v>171</v>
      </c>
      <c r="E80" s="16" t="s">
        <v>187</v>
      </c>
      <c r="F80" s="16" t="s">
        <v>34</v>
      </c>
      <c r="G80" s="39">
        <v>0</v>
      </c>
    </row>
    <row r="81" spans="2:7">
      <c r="B81" s="38" t="s">
        <v>188</v>
      </c>
      <c r="C81" s="16" t="s">
        <v>189</v>
      </c>
      <c r="D81" s="38" t="s">
        <v>190</v>
      </c>
      <c r="E81" s="16" t="s">
        <v>191</v>
      </c>
      <c r="F81" s="16" t="s">
        <v>34</v>
      </c>
      <c r="G81" s="39">
        <v>0</v>
      </c>
    </row>
    <row r="82" spans="2:7">
      <c r="B82" s="38" t="s">
        <v>192</v>
      </c>
      <c r="C82" s="16" t="s">
        <v>193</v>
      </c>
      <c r="D82" s="38" t="s">
        <v>190</v>
      </c>
      <c r="E82" s="16" t="s">
        <v>194</v>
      </c>
      <c r="F82" s="16" t="s">
        <v>195</v>
      </c>
      <c r="G82" s="39">
        <v>0</v>
      </c>
    </row>
    <row r="83" spans="2:7">
      <c r="B83" s="38" t="s">
        <v>196</v>
      </c>
      <c r="C83" s="16" t="s">
        <v>197</v>
      </c>
      <c r="D83" s="38" t="s">
        <v>190</v>
      </c>
      <c r="E83" s="16" t="s">
        <v>198</v>
      </c>
      <c r="F83" s="16" t="s">
        <v>195</v>
      </c>
      <c r="G83" s="39">
        <v>150000000</v>
      </c>
    </row>
    <row r="84" spans="2:7">
      <c r="B84" s="38" t="s">
        <v>199</v>
      </c>
      <c r="C84" s="16" t="s">
        <v>200</v>
      </c>
      <c r="D84" s="38" t="s">
        <v>190</v>
      </c>
      <c r="E84" s="16" t="s">
        <v>201</v>
      </c>
      <c r="F84" s="16" t="s">
        <v>195</v>
      </c>
      <c r="G84" s="39">
        <v>0</v>
      </c>
    </row>
    <row r="85" spans="2:7">
      <c r="B85" s="38" t="s">
        <v>202</v>
      </c>
      <c r="C85" s="16" t="s">
        <v>203</v>
      </c>
      <c r="D85" s="38" t="s">
        <v>190</v>
      </c>
      <c r="E85" s="16" t="s">
        <v>201</v>
      </c>
      <c r="F85" s="16" t="s">
        <v>195</v>
      </c>
      <c r="G85" s="39">
        <v>0</v>
      </c>
    </row>
    <row r="86" spans="2:7">
      <c r="B86" s="38" t="s">
        <v>204</v>
      </c>
      <c r="C86" s="16" t="s">
        <v>205</v>
      </c>
      <c r="D86" s="38" t="s">
        <v>190</v>
      </c>
      <c r="E86" s="16" t="s">
        <v>206</v>
      </c>
      <c r="F86" s="16" t="s">
        <v>195</v>
      </c>
      <c r="G86" s="39">
        <v>0</v>
      </c>
    </row>
    <row r="87" spans="2:7">
      <c r="B87" s="38" t="s">
        <v>207</v>
      </c>
      <c r="C87" s="16" t="s">
        <v>208</v>
      </c>
      <c r="D87" s="38" t="s">
        <v>190</v>
      </c>
      <c r="E87" s="16" t="s">
        <v>206</v>
      </c>
      <c r="F87" s="16" t="s">
        <v>195</v>
      </c>
      <c r="G87" s="39">
        <v>0</v>
      </c>
    </row>
    <row r="88" spans="2:7">
      <c r="B88" s="38" t="s">
        <v>209</v>
      </c>
      <c r="C88" s="16" t="s">
        <v>210</v>
      </c>
      <c r="D88" s="38" t="s">
        <v>190</v>
      </c>
      <c r="E88" s="16" t="s">
        <v>206</v>
      </c>
      <c r="F88" s="16" t="s">
        <v>195</v>
      </c>
      <c r="G88" s="39">
        <v>0</v>
      </c>
    </row>
    <row r="89" spans="2:7">
      <c r="B89" s="38" t="s">
        <v>211</v>
      </c>
      <c r="C89" s="16" t="s">
        <v>212</v>
      </c>
      <c r="D89" s="38" t="s">
        <v>190</v>
      </c>
      <c r="E89" s="16" t="s">
        <v>213</v>
      </c>
      <c r="F89" s="16" t="s">
        <v>195</v>
      </c>
      <c r="G89" s="39">
        <v>0</v>
      </c>
    </row>
    <row r="90" spans="2:7">
      <c r="B90" s="38" t="s">
        <v>214</v>
      </c>
      <c r="C90" s="16" t="s">
        <v>215</v>
      </c>
      <c r="D90" s="38" t="s">
        <v>190</v>
      </c>
      <c r="E90" s="16" t="s">
        <v>216</v>
      </c>
      <c r="F90" s="16" t="s">
        <v>195</v>
      </c>
      <c r="G90" s="39">
        <v>0</v>
      </c>
    </row>
    <row r="91" spans="2:7">
      <c r="B91" s="38" t="s">
        <v>217</v>
      </c>
      <c r="C91" s="16" t="s">
        <v>218</v>
      </c>
      <c r="D91" s="38" t="s">
        <v>190</v>
      </c>
      <c r="E91" s="16" t="s">
        <v>219</v>
      </c>
      <c r="F91" s="16" t="s">
        <v>195</v>
      </c>
      <c r="G91" s="39">
        <v>0</v>
      </c>
    </row>
    <row r="92" spans="2:7">
      <c r="B92" s="38" t="s">
        <v>220</v>
      </c>
      <c r="C92" s="16" t="s">
        <v>221</v>
      </c>
      <c r="D92" s="38" t="s">
        <v>190</v>
      </c>
      <c r="E92" s="16" t="s">
        <v>213</v>
      </c>
      <c r="F92" s="16" t="s">
        <v>195</v>
      </c>
      <c r="G92" s="39">
        <v>0</v>
      </c>
    </row>
    <row r="93" spans="2:7">
      <c r="B93" s="38" t="s">
        <v>222</v>
      </c>
      <c r="C93" s="16" t="s">
        <v>223</v>
      </c>
      <c r="D93" s="38" t="s">
        <v>190</v>
      </c>
      <c r="E93" s="16" t="s">
        <v>213</v>
      </c>
      <c r="F93" s="16" t="s">
        <v>195</v>
      </c>
      <c r="G93" s="39">
        <v>0</v>
      </c>
    </row>
    <row r="94" spans="2:7">
      <c r="B94" s="38" t="s">
        <v>224</v>
      </c>
      <c r="C94" s="16" t="s">
        <v>225</v>
      </c>
      <c r="D94" s="38" t="s">
        <v>190</v>
      </c>
      <c r="E94" s="16" t="s">
        <v>213</v>
      </c>
      <c r="F94" s="16" t="s">
        <v>195</v>
      </c>
      <c r="G94" s="39">
        <v>0</v>
      </c>
    </row>
    <row r="95" spans="2:7">
      <c r="B95" s="38" t="s">
        <v>226</v>
      </c>
      <c r="C95" s="16" t="s">
        <v>227</v>
      </c>
      <c r="D95" s="38" t="s">
        <v>190</v>
      </c>
      <c r="E95" s="16" t="s">
        <v>206</v>
      </c>
      <c r="F95" s="16" t="s">
        <v>195</v>
      </c>
      <c r="G95" s="39">
        <v>0</v>
      </c>
    </row>
    <row r="96" spans="2:7">
      <c r="B96" s="38" t="s">
        <v>228</v>
      </c>
      <c r="C96" s="16" t="s">
        <v>229</v>
      </c>
      <c r="D96" s="38" t="s">
        <v>190</v>
      </c>
      <c r="E96" s="16" t="s">
        <v>213</v>
      </c>
      <c r="F96" s="16" t="s">
        <v>195</v>
      </c>
      <c r="G96" s="39">
        <v>0</v>
      </c>
    </row>
    <row r="97" spans="2:7">
      <c r="B97" s="38" t="s">
        <v>230</v>
      </c>
      <c r="C97" s="16" t="s">
        <v>231</v>
      </c>
      <c r="D97" s="38" t="s">
        <v>190</v>
      </c>
      <c r="E97" s="16" t="s">
        <v>232</v>
      </c>
      <c r="F97" s="16" t="s">
        <v>195</v>
      </c>
      <c r="G97" s="39">
        <v>0</v>
      </c>
    </row>
    <row r="98" spans="2:7">
      <c r="B98" s="38" t="s">
        <v>233</v>
      </c>
      <c r="C98" s="16" t="s">
        <v>234</v>
      </c>
      <c r="D98" s="38" t="s">
        <v>190</v>
      </c>
      <c r="E98" s="16" t="s">
        <v>206</v>
      </c>
      <c r="F98" s="16" t="s">
        <v>195</v>
      </c>
      <c r="G98" s="39">
        <v>0</v>
      </c>
    </row>
    <row r="99" spans="2:7">
      <c r="B99" s="38" t="s">
        <v>235</v>
      </c>
      <c r="C99" s="16" t="s">
        <v>236</v>
      </c>
      <c r="D99" s="38" t="s">
        <v>190</v>
      </c>
      <c r="E99" s="16" t="s">
        <v>201</v>
      </c>
      <c r="F99" s="16" t="s">
        <v>195</v>
      </c>
      <c r="G99" s="39">
        <v>0</v>
      </c>
    </row>
    <row r="100" spans="2:7">
      <c r="B100" s="38" t="s">
        <v>237</v>
      </c>
      <c r="C100" s="16" t="s">
        <v>238</v>
      </c>
      <c r="D100" s="38" t="s">
        <v>190</v>
      </c>
      <c r="E100" s="16" t="s">
        <v>219</v>
      </c>
      <c r="F100" s="16" t="s">
        <v>195</v>
      </c>
      <c r="G100" s="39">
        <v>0</v>
      </c>
    </row>
    <row r="101" spans="2:7">
      <c r="B101" s="38" t="s">
        <v>239</v>
      </c>
      <c r="C101" s="16" t="s">
        <v>240</v>
      </c>
      <c r="D101" s="38" t="s">
        <v>241</v>
      </c>
      <c r="E101" s="16" t="s">
        <v>242</v>
      </c>
      <c r="F101" s="16" t="s">
        <v>34</v>
      </c>
      <c r="G101" s="39">
        <v>2000000000</v>
      </c>
    </row>
    <row r="102" spans="2:7">
      <c r="B102" s="38" t="s">
        <v>243</v>
      </c>
      <c r="C102" s="16" t="s">
        <v>244</v>
      </c>
      <c r="D102" s="38" t="s">
        <v>241</v>
      </c>
      <c r="E102" s="16" t="s">
        <v>245</v>
      </c>
      <c r="F102" s="16" t="s">
        <v>34</v>
      </c>
      <c r="G102" s="39">
        <v>0</v>
      </c>
    </row>
    <row r="103" spans="2:7">
      <c r="B103" s="38" t="s">
        <v>246</v>
      </c>
      <c r="C103" s="16" t="s">
        <v>247</v>
      </c>
      <c r="D103" s="38" t="s">
        <v>241</v>
      </c>
      <c r="E103" s="16" t="s">
        <v>248</v>
      </c>
      <c r="F103" s="16" t="s">
        <v>34</v>
      </c>
      <c r="G103" s="39">
        <v>0</v>
      </c>
    </row>
    <row r="104" spans="2:7">
      <c r="B104" s="38" t="s">
        <v>249</v>
      </c>
      <c r="C104" s="16" t="s">
        <v>250</v>
      </c>
      <c r="D104" s="38" t="s">
        <v>251</v>
      </c>
      <c r="E104" s="16" t="s">
        <v>252</v>
      </c>
      <c r="F104" s="16" t="s">
        <v>34</v>
      </c>
      <c r="G104" s="39">
        <v>0</v>
      </c>
    </row>
    <row r="105" spans="2:7">
      <c r="B105" s="38" t="s">
        <v>253</v>
      </c>
      <c r="C105" s="16" t="s">
        <v>254</v>
      </c>
      <c r="D105" s="38" t="s">
        <v>255</v>
      </c>
      <c r="E105" s="16" t="s">
        <v>256</v>
      </c>
      <c r="F105" s="16" t="s">
        <v>34</v>
      </c>
      <c r="G105" s="39">
        <v>-2650000000</v>
      </c>
    </row>
    <row r="106" spans="2:7">
      <c r="B106" s="38" t="s">
        <v>257</v>
      </c>
      <c r="C106" s="16" t="s">
        <v>258</v>
      </c>
      <c r="D106" s="38" t="s">
        <v>259</v>
      </c>
      <c r="E106" s="16" t="s">
        <v>260</v>
      </c>
      <c r="F106" s="16" t="s">
        <v>34</v>
      </c>
      <c r="G106" s="39">
        <v>0</v>
      </c>
    </row>
    <row r="107" spans="2:7">
      <c r="B107" s="38" t="s">
        <v>261</v>
      </c>
      <c r="C107" s="16" t="s">
        <v>262</v>
      </c>
      <c r="D107" s="38" t="s">
        <v>263</v>
      </c>
      <c r="E107" s="16" t="s">
        <v>264</v>
      </c>
      <c r="F107" s="16" t="s">
        <v>265</v>
      </c>
      <c r="G107" s="39">
        <v>0</v>
      </c>
    </row>
    <row r="108" spans="2:7">
      <c r="B108" s="38" t="s">
        <v>266</v>
      </c>
      <c r="C108" s="16" t="s">
        <v>267</v>
      </c>
      <c r="D108" s="38" t="s">
        <v>263</v>
      </c>
      <c r="E108" s="16" t="s">
        <v>264</v>
      </c>
      <c r="F108" s="16" t="s">
        <v>265</v>
      </c>
      <c r="G108" s="39">
        <v>0</v>
      </c>
    </row>
    <row r="109" spans="2:7">
      <c r="B109" s="38" t="s">
        <v>268</v>
      </c>
      <c r="C109" s="16" t="s">
        <v>269</v>
      </c>
      <c r="D109" s="38" t="s">
        <v>263</v>
      </c>
      <c r="E109" s="16" t="s">
        <v>264</v>
      </c>
      <c r="F109" s="16" t="s">
        <v>265</v>
      </c>
      <c r="G109" s="39">
        <v>0</v>
      </c>
    </row>
    <row r="110" spans="2:7">
      <c r="B110" s="38" t="s">
        <v>270</v>
      </c>
      <c r="C110" s="16" t="s">
        <v>271</v>
      </c>
      <c r="D110" s="38" t="s">
        <v>263</v>
      </c>
      <c r="E110" s="16" t="s">
        <v>264</v>
      </c>
      <c r="F110" s="16" t="s">
        <v>265</v>
      </c>
      <c r="G110" s="39">
        <v>0</v>
      </c>
    </row>
    <row r="111" spans="2:7">
      <c r="B111" s="38" t="s">
        <v>272</v>
      </c>
      <c r="C111" s="16" t="s">
        <v>273</v>
      </c>
      <c r="D111" s="38" t="s">
        <v>263</v>
      </c>
      <c r="E111" s="16" t="s">
        <v>264</v>
      </c>
      <c r="F111" s="16" t="s">
        <v>265</v>
      </c>
      <c r="G111" s="39">
        <v>0</v>
      </c>
    </row>
    <row r="112" spans="2:7">
      <c r="B112" s="38" t="s">
        <v>274</v>
      </c>
      <c r="C112" s="16" t="s">
        <v>275</v>
      </c>
      <c r="D112" s="38" t="s">
        <v>263</v>
      </c>
      <c r="E112" s="16" t="s">
        <v>264</v>
      </c>
      <c r="F112" s="16" t="s">
        <v>265</v>
      </c>
      <c r="G112" s="39">
        <v>0</v>
      </c>
    </row>
    <row r="113" spans="2:7">
      <c r="B113" s="38" t="s">
        <v>276</v>
      </c>
      <c r="C113" s="16" t="s">
        <v>277</v>
      </c>
      <c r="D113" s="38" t="s">
        <v>263</v>
      </c>
      <c r="E113" s="16" t="s">
        <v>264</v>
      </c>
      <c r="F113" s="16" t="s">
        <v>265</v>
      </c>
      <c r="G113" s="39">
        <v>0</v>
      </c>
    </row>
    <row r="114" spans="2:7">
      <c r="B114" s="38" t="s">
        <v>278</v>
      </c>
      <c r="C114" s="16" t="s">
        <v>279</v>
      </c>
      <c r="D114" s="38" t="s">
        <v>263</v>
      </c>
      <c r="E114" s="16" t="s">
        <v>264</v>
      </c>
      <c r="F114" s="16" t="s">
        <v>265</v>
      </c>
      <c r="G114" s="39">
        <v>0</v>
      </c>
    </row>
    <row r="115" spans="2:7">
      <c r="B115" s="38" t="s">
        <v>280</v>
      </c>
      <c r="C115" s="16" t="s">
        <v>281</v>
      </c>
      <c r="D115" s="38" t="s">
        <v>263</v>
      </c>
      <c r="E115" s="16" t="s">
        <v>264</v>
      </c>
      <c r="F115" s="16" t="s">
        <v>265</v>
      </c>
      <c r="G115" s="39">
        <v>0</v>
      </c>
    </row>
    <row r="116" spans="2:7">
      <c r="B116" s="38" t="s">
        <v>282</v>
      </c>
      <c r="C116" s="16" t="s">
        <v>283</v>
      </c>
      <c r="D116" s="38" t="s">
        <v>263</v>
      </c>
      <c r="E116" s="16" t="s">
        <v>264</v>
      </c>
      <c r="F116" s="16" t="s">
        <v>265</v>
      </c>
      <c r="G116" s="39">
        <v>0</v>
      </c>
    </row>
    <row r="117" spans="2:7">
      <c r="B117" s="40" t="s">
        <v>284</v>
      </c>
      <c r="C117" s="40"/>
      <c r="D117" s="40"/>
      <c r="E117" s="40"/>
      <c r="F117" s="40"/>
      <c r="G117" s="39">
        <v>0</v>
      </c>
    </row>
    <row r="118" spans="2:7">
      <c r="B118" s="40" t="s">
        <v>285</v>
      </c>
      <c r="C118" s="40"/>
      <c r="D118" s="40"/>
      <c r="E118" s="40"/>
      <c r="F118" s="40"/>
      <c r="G118" s="39">
        <v>0</v>
      </c>
    </row>
    <row r="119" spans="2:7">
      <c r="B119" s="40" t="s">
        <v>286</v>
      </c>
      <c r="C119" s="40"/>
      <c r="D119" s="40"/>
      <c r="E119" s="40"/>
      <c r="F119" s="40"/>
      <c r="G119" s="39">
        <v>0</v>
      </c>
    </row>
    <row r="120" spans="2:7">
      <c r="B120" s="40" t="s">
        <v>287</v>
      </c>
      <c r="C120" s="40"/>
      <c r="D120" s="40"/>
      <c r="E120" s="40"/>
      <c r="F120" s="40"/>
      <c r="G120" s="39">
        <v>0</v>
      </c>
    </row>
    <row r="121" spans="2:7">
      <c r="B121" s="40" t="s">
        <v>288</v>
      </c>
      <c r="C121" s="40"/>
      <c r="D121" s="40"/>
      <c r="E121" s="40"/>
      <c r="F121" s="40"/>
      <c r="G121" s="39">
        <v>0</v>
      </c>
    </row>
    <row r="122" spans="2:7">
      <c r="B122" s="40" t="s">
        <v>289</v>
      </c>
      <c r="C122" s="40"/>
      <c r="D122" s="40"/>
      <c r="E122" s="40"/>
      <c r="F122" s="40"/>
      <c r="G122" s="39">
        <v>0</v>
      </c>
    </row>
    <row r="123" spans="2:7">
      <c r="B123" s="40" t="s">
        <v>290</v>
      </c>
      <c r="C123" s="40"/>
      <c r="D123" s="40"/>
      <c r="E123" s="40"/>
      <c r="F123" s="40"/>
      <c r="G123" s="39">
        <v>0</v>
      </c>
    </row>
    <row r="124" spans="2:7">
      <c r="B124" s="40" t="s">
        <v>291</v>
      </c>
      <c r="C124" s="40"/>
      <c r="D124" s="40"/>
      <c r="E124" s="40"/>
      <c r="F124" s="40"/>
      <c r="G124" s="39">
        <v>0</v>
      </c>
    </row>
    <row r="125" spans="2:7">
      <c r="B125" s="40" t="s">
        <v>292</v>
      </c>
      <c r="C125" s="40"/>
      <c r="D125" s="40"/>
      <c r="E125" s="40"/>
      <c r="F125" s="40"/>
      <c r="G125" s="39">
        <v>0</v>
      </c>
    </row>
    <row r="126" spans="2:7">
      <c r="B126" s="40" t="s">
        <v>293</v>
      </c>
      <c r="C126" s="40"/>
      <c r="D126" s="40"/>
      <c r="E126" s="40"/>
      <c r="F126" s="40"/>
      <c r="G126" s="39">
        <v>0</v>
      </c>
    </row>
    <row r="127" spans="2:7">
      <c r="B127" s="40" t="s">
        <v>294</v>
      </c>
      <c r="C127" s="40"/>
      <c r="D127" s="40"/>
      <c r="E127" s="40"/>
      <c r="F127" s="40"/>
      <c r="G127" s="39">
        <v>0</v>
      </c>
    </row>
    <row r="128" spans="2:7">
      <c r="B128" s="40" t="s">
        <v>295</v>
      </c>
      <c r="C128" s="40"/>
      <c r="D128" s="40"/>
      <c r="E128" s="40"/>
      <c r="F128" s="40"/>
      <c r="G128" s="39">
        <v>0</v>
      </c>
    </row>
    <row r="129" spans="2:7">
      <c r="B129" s="40" t="s">
        <v>296</v>
      </c>
      <c r="C129" s="40"/>
      <c r="D129" s="40"/>
      <c r="E129" s="40"/>
      <c r="F129" s="40"/>
      <c r="G129" s="39">
        <v>0</v>
      </c>
    </row>
    <row r="130" spans="2:7">
      <c r="B130" s="40" t="s">
        <v>297</v>
      </c>
      <c r="C130" s="40"/>
      <c r="D130" s="40"/>
      <c r="E130" s="40"/>
      <c r="F130" s="40"/>
      <c r="G130" s="39">
        <v>0</v>
      </c>
    </row>
    <row r="131" spans="2:7">
      <c r="B131" s="40" t="s">
        <v>298</v>
      </c>
      <c r="C131" s="40"/>
      <c r="D131" s="40"/>
      <c r="E131" s="40"/>
      <c r="F131" s="40"/>
      <c r="G131" s="39">
        <v>0</v>
      </c>
    </row>
    <row r="132" spans="2:7">
      <c r="B132" s="40" t="s">
        <v>299</v>
      </c>
      <c r="C132" s="40"/>
      <c r="D132" s="40"/>
      <c r="E132" s="40"/>
      <c r="F132" s="40"/>
      <c r="G132" s="39">
        <v>0</v>
      </c>
    </row>
    <row r="133" spans="2:7">
      <c r="B133" s="40" t="s">
        <v>300</v>
      </c>
      <c r="C133" s="40"/>
      <c r="D133" s="40"/>
      <c r="E133" s="40"/>
      <c r="F133" s="40"/>
      <c r="G133" s="39">
        <v>0</v>
      </c>
    </row>
    <row r="134" spans="2:7">
      <c r="B134" s="40" t="s">
        <v>301</v>
      </c>
      <c r="C134" s="40"/>
      <c r="D134" s="40"/>
      <c r="E134" s="40"/>
      <c r="F134" s="40"/>
      <c r="G134" s="39">
        <v>0</v>
      </c>
    </row>
    <row r="135" spans="2:7">
      <c r="B135" s="40" t="s">
        <v>302</v>
      </c>
      <c r="C135" s="40"/>
      <c r="D135" s="40"/>
      <c r="E135" s="40"/>
      <c r="F135" s="40"/>
      <c r="G135" s="39">
        <v>0</v>
      </c>
    </row>
    <row r="136" spans="2:7">
      <c r="B136" s="40" t="s">
        <v>303</v>
      </c>
      <c r="C136" s="40"/>
      <c r="D136" s="40"/>
      <c r="E136" s="40"/>
      <c r="F136" s="40"/>
      <c r="G136" s="39">
        <v>0</v>
      </c>
    </row>
    <row r="137" spans="2:7">
      <c r="B137" s="40" t="s">
        <v>304</v>
      </c>
      <c r="C137" s="40"/>
      <c r="D137" s="40"/>
      <c r="E137" s="40"/>
      <c r="F137" s="40"/>
      <c r="G137" s="39">
        <v>0</v>
      </c>
    </row>
    <row r="138" spans="2:7">
      <c r="B138" s="40" t="s">
        <v>305</v>
      </c>
      <c r="C138" s="40"/>
      <c r="D138" s="40"/>
      <c r="E138" s="40"/>
      <c r="F138" s="40"/>
      <c r="G138" s="39">
        <v>0</v>
      </c>
    </row>
    <row r="139" spans="2:7">
      <c r="B139" s="40" t="s">
        <v>306</v>
      </c>
      <c r="C139" s="40"/>
      <c r="D139" s="40"/>
      <c r="E139" s="40"/>
      <c r="F139" s="40"/>
      <c r="G139" s="39">
        <v>0</v>
      </c>
    </row>
    <row r="140" spans="2:7">
      <c r="B140" s="40" t="s">
        <v>307</v>
      </c>
      <c r="C140" s="40"/>
      <c r="D140" s="40"/>
      <c r="E140" s="40"/>
      <c r="F140" s="40"/>
      <c r="G140" s="39">
        <v>0</v>
      </c>
    </row>
    <row r="141" spans="2:7">
      <c r="B141" s="40" t="s">
        <v>308</v>
      </c>
      <c r="C141" s="40"/>
      <c r="D141" s="40"/>
      <c r="E141" s="40"/>
      <c r="F141" s="40"/>
      <c r="G141" s="39">
        <v>0</v>
      </c>
    </row>
    <row r="142" spans="2:7">
      <c r="B142" s="40" t="s">
        <v>309</v>
      </c>
      <c r="C142" s="40"/>
      <c r="D142" s="40"/>
      <c r="E142" s="40"/>
      <c r="F142" s="40"/>
      <c r="G142" s="39">
        <v>0</v>
      </c>
    </row>
    <row r="143" spans="2:7">
      <c r="B143" s="40" t="s">
        <v>310</v>
      </c>
      <c r="C143" s="40"/>
      <c r="D143" s="40"/>
      <c r="E143" s="40"/>
      <c r="F143" s="40"/>
      <c r="G143" s="39">
        <v>0</v>
      </c>
    </row>
    <row r="144" spans="2:7">
      <c r="B144" s="40" t="s">
        <v>311</v>
      </c>
      <c r="C144" s="40"/>
      <c r="D144" s="40"/>
      <c r="E144" s="40"/>
      <c r="F144" s="40"/>
      <c r="G144" s="39">
        <v>0</v>
      </c>
    </row>
    <row r="145" spans="2:7">
      <c r="B145" s="40" t="s">
        <v>312</v>
      </c>
      <c r="C145" s="40"/>
      <c r="D145" s="40"/>
      <c r="E145" s="40"/>
      <c r="F145" s="40"/>
      <c r="G145" s="39">
        <v>0</v>
      </c>
    </row>
    <row r="146" spans="2:7">
      <c r="B146" s="40" t="s">
        <v>313</v>
      </c>
      <c r="C146" s="40"/>
      <c r="D146" s="40"/>
      <c r="E146" s="40"/>
      <c r="F146" s="40"/>
      <c r="G146" s="39">
        <v>0</v>
      </c>
    </row>
    <row r="147" spans="2:7">
      <c r="B147" s="40" t="s">
        <v>314</v>
      </c>
      <c r="C147" s="40"/>
      <c r="D147" s="40"/>
      <c r="E147" s="40"/>
      <c r="F147" s="40"/>
      <c r="G147" s="39">
        <v>0</v>
      </c>
    </row>
    <row r="148" spans="2:7">
      <c r="B148" s="40" t="s">
        <v>315</v>
      </c>
      <c r="C148" s="40"/>
      <c r="D148" s="40"/>
      <c r="E148" s="40"/>
      <c r="F148" s="40"/>
      <c r="G148" s="39">
        <v>0</v>
      </c>
    </row>
    <row r="149" spans="2:7">
      <c r="B149" s="40" t="s">
        <v>316</v>
      </c>
      <c r="C149" s="40"/>
      <c r="D149" s="40"/>
      <c r="E149" s="40"/>
      <c r="F149" s="40"/>
      <c r="G149" s="39">
        <v>0</v>
      </c>
    </row>
    <row r="150" spans="2:7">
      <c r="B150" s="40" t="s">
        <v>317</v>
      </c>
      <c r="C150" s="40"/>
      <c r="D150" s="40"/>
      <c r="E150" s="40"/>
      <c r="F150" s="40"/>
      <c r="G150" s="39">
        <v>0</v>
      </c>
    </row>
    <row r="151" spans="2:7">
      <c r="B151" s="40" t="s">
        <v>318</v>
      </c>
      <c r="C151" s="40"/>
      <c r="D151" s="40"/>
      <c r="E151" s="40"/>
      <c r="F151" s="40"/>
      <c r="G151" s="39">
        <v>0</v>
      </c>
    </row>
    <row r="152" spans="2:7">
      <c r="B152" s="40" t="s">
        <v>319</v>
      </c>
      <c r="C152" s="40"/>
      <c r="D152" s="40"/>
      <c r="E152" s="40"/>
      <c r="F152" s="40"/>
      <c r="G152" s="39">
        <v>0</v>
      </c>
    </row>
    <row r="153" spans="2:7">
      <c r="B153" s="40" t="s">
        <v>320</v>
      </c>
      <c r="C153" s="40"/>
      <c r="D153" s="40"/>
      <c r="E153" s="40"/>
      <c r="F153" s="40"/>
      <c r="G153" s="39">
        <v>0</v>
      </c>
    </row>
    <row r="154" spans="2:7">
      <c r="B154" s="40" t="s">
        <v>321</v>
      </c>
      <c r="C154" s="40"/>
      <c r="D154" s="40"/>
      <c r="E154" s="40"/>
      <c r="F154" s="40"/>
      <c r="G154" s="39">
        <v>0</v>
      </c>
    </row>
    <row r="155" spans="2:7">
      <c r="B155" s="40" t="s">
        <v>322</v>
      </c>
      <c r="C155" s="40"/>
      <c r="D155" s="40"/>
      <c r="E155" s="40"/>
      <c r="F155" s="40"/>
      <c r="G155" s="39">
        <v>0</v>
      </c>
    </row>
    <row r="156" spans="2:7">
      <c r="B156" s="40" t="s">
        <v>323</v>
      </c>
      <c r="C156" s="40"/>
      <c r="D156" s="40"/>
      <c r="E156" s="40"/>
      <c r="F156" s="40"/>
      <c r="G156" s="39">
        <v>0</v>
      </c>
    </row>
    <row r="157" spans="2:7">
      <c r="B157" s="40" t="s">
        <v>324</v>
      </c>
      <c r="C157" s="40"/>
      <c r="D157" s="40"/>
      <c r="E157" s="40"/>
      <c r="F157" s="40"/>
      <c r="G157" s="39">
        <v>0</v>
      </c>
    </row>
    <row r="158" spans="2:7">
      <c r="B158" s="40" t="s">
        <v>325</v>
      </c>
      <c r="C158" s="40"/>
      <c r="D158" s="40"/>
      <c r="E158" s="40"/>
      <c r="F158" s="40"/>
      <c r="G158" s="39">
        <v>0</v>
      </c>
    </row>
    <row r="159" spans="2:7">
      <c r="B159" s="40" t="s">
        <v>326</v>
      </c>
      <c r="C159" s="40"/>
      <c r="D159" s="40"/>
      <c r="E159" s="40"/>
      <c r="F159" s="40"/>
      <c r="G159" s="39">
        <v>0</v>
      </c>
    </row>
    <row r="160" spans="2:7">
      <c r="B160" s="40" t="s">
        <v>327</v>
      </c>
      <c r="C160" s="40"/>
      <c r="D160" s="40"/>
      <c r="E160" s="40"/>
      <c r="F160" s="40"/>
      <c r="G160" s="39">
        <v>0</v>
      </c>
    </row>
    <row r="161" spans="2:7">
      <c r="B161" s="40" t="s">
        <v>328</v>
      </c>
      <c r="C161" s="40"/>
      <c r="D161" s="40"/>
      <c r="E161" s="40"/>
      <c r="F161" s="40"/>
      <c r="G161" s="39">
        <v>0</v>
      </c>
    </row>
    <row r="162" spans="2:7">
      <c r="B162" s="40" t="s">
        <v>329</v>
      </c>
      <c r="C162" s="40"/>
      <c r="D162" s="40"/>
      <c r="E162" s="40"/>
      <c r="F162" s="40"/>
      <c r="G162" s="39">
        <v>0</v>
      </c>
    </row>
    <row r="163" spans="2:7">
      <c r="B163" s="40" t="s">
        <v>330</v>
      </c>
      <c r="C163" s="40"/>
      <c r="D163" s="40"/>
      <c r="E163" s="40"/>
      <c r="F163" s="40"/>
      <c r="G163" s="39">
        <v>0</v>
      </c>
    </row>
    <row r="164" spans="2:7">
      <c r="B164" s="40" t="s">
        <v>331</v>
      </c>
      <c r="C164" s="40"/>
      <c r="D164" s="40"/>
      <c r="E164" s="40"/>
      <c r="F164" s="40"/>
      <c r="G164" s="39">
        <v>0</v>
      </c>
    </row>
    <row r="165" spans="2:7">
      <c r="B165" s="40" t="s">
        <v>332</v>
      </c>
      <c r="C165" s="40"/>
      <c r="D165" s="40"/>
      <c r="E165" s="40"/>
      <c r="F165" s="40"/>
      <c r="G165" s="39">
        <v>0</v>
      </c>
    </row>
    <row r="166" spans="2:7">
      <c r="B166" s="40" t="s">
        <v>333</v>
      </c>
      <c r="C166" s="40"/>
      <c r="D166" s="40"/>
      <c r="E166" s="40"/>
      <c r="F166" s="40"/>
      <c r="G166" s="39">
        <v>0</v>
      </c>
    </row>
    <row r="167" spans="2:7">
      <c r="B167" s="40" t="s">
        <v>334</v>
      </c>
      <c r="C167" s="40"/>
      <c r="D167" s="40"/>
      <c r="E167" s="40"/>
      <c r="F167" s="40"/>
      <c r="G167" s="39">
        <v>0</v>
      </c>
    </row>
    <row r="168" spans="2:7">
      <c r="B168" s="40" t="s">
        <v>335</v>
      </c>
      <c r="C168" s="40"/>
      <c r="D168" s="40"/>
      <c r="E168" s="40"/>
      <c r="F168" s="40"/>
      <c r="G168" s="39">
        <v>0</v>
      </c>
    </row>
    <row r="169" spans="2:7">
      <c r="B169" s="40" t="s">
        <v>336</v>
      </c>
      <c r="C169" s="40"/>
      <c r="D169" s="40"/>
      <c r="E169" s="40"/>
      <c r="F169" s="40"/>
      <c r="G169" s="39">
        <v>0</v>
      </c>
    </row>
    <row r="170" spans="2:7">
      <c r="B170" s="40" t="s">
        <v>337</v>
      </c>
      <c r="C170" s="40"/>
      <c r="D170" s="40"/>
      <c r="E170" s="40"/>
      <c r="F170" s="40"/>
      <c r="G170" s="39">
        <v>0</v>
      </c>
    </row>
    <row r="171" spans="2:7">
      <c r="B171" s="40" t="s">
        <v>338</v>
      </c>
      <c r="C171" s="40"/>
      <c r="D171" s="40"/>
      <c r="E171" s="40"/>
      <c r="F171" s="40"/>
      <c r="G171" s="39">
        <v>0</v>
      </c>
    </row>
    <row r="172" spans="2:7">
      <c r="B172" s="40" t="s">
        <v>339</v>
      </c>
      <c r="C172" s="40"/>
      <c r="D172" s="40"/>
      <c r="E172" s="40"/>
      <c r="F172" s="40"/>
      <c r="G172" s="39">
        <v>0</v>
      </c>
    </row>
    <row r="173" spans="2:7">
      <c r="B173" s="40" t="s">
        <v>340</v>
      </c>
      <c r="C173" s="40"/>
      <c r="D173" s="40"/>
      <c r="E173" s="40"/>
      <c r="F173" s="40"/>
      <c r="G173" s="39">
        <v>0</v>
      </c>
    </row>
    <row r="174" spans="2:7">
      <c r="B174" s="40" t="s">
        <v>341</v>
      </c>
      <c r="C174" s="40"/>
      <c r="D174" s="40"/>
      <c r="E174" s="40"/>
      <c r="F174" s="40"/>
      <c r="G174" s="39">
        <v>0</v>
      </c>
    </row>
    <row r="175" spans="2:7">
      <c r="B175" s="40" t="s">
        <v>342</v>
      </c>
      <c r="C175" s="40"/>
      <c r="D175" s="40"/>
      <c r="E175" s="40"/>
      <c r="F175" s="40"/>
      <c r="G175" s="39">
        <v>0</v>
      </c>
    </row>
    <row r="176" spans="2:7">
      <c r="B176" s="40" t="s">
        <v>343</v>
      </c>
      <c r="C176" s="40"/>
      <c r="D176" s="40"/>
      <c r="E176" s="40"/>
      <c r="F176" s="40"/>
      <c r="G176" s="39">
        <v>0</v>
      </c>
    </row>
    <row r="177" spans="2:7">
      <c r="B177" s="40" t="s">
        <v>344</v>
      </c>
      <c r="C177" s="40"/>
      <c r="D177" s="40"/>
      <c r="E177" s="40"/>
      <c r="F177" s="40"/>
      <c r="G177" s="39">
        <v>0</v>
      </c>
    </row>
    <row r="178" spans="2:7">
      <c r="B178" s="40" t="s">
        <v>345</v>
      </c>
      <c r="C178" s="40"/>
      <c r="D178" s="40"/>
      <c r="E178" s="40"/>
      <c r="F178" s="40"/>
      <c r="G178" s="39">
        <v>0</v>
      </c>
    </row>
    <row r="179" spans="2:7">
      <c r="B179" s="40" t="s">
        <v>346</v>
      </c>
      <c r="C179" s="40"/>
      <c r="D179" s="40"/>
      <c r="E179" s="40"/>
      <c r="F179" s="40"/>
      <c r="G179" s="39">
        <v>0</v>
      </c>
    </row>
    <row r="180" spans="2:7">
      <c r="B180" s="40" t="s">
        <v>347</v>
      </c>
      <c r="C180" s="40"/>
      <c r="D180" s="40"/>
      <c r="E180" s="40"/>
      <c r="F180" s="40"/>
      <c r="G180" s="39">
        <v>0</v>
      </c>
    </row>
    <row r="181" spans="2:7">
      <c r="B181" s="40" t="s">
        <v>348</v>
      </c>
      <c r="C181" s="40"/>
      <c r="D181" s="40"/>
      <c r="E181" s="40"/>
      <c r="F181" s="40"/>
      <c r="G181" s="39">
        <v>0</v>
      </c>
    </row>
    <row r="182" spans="2:7">
      <c r="B182" s="40" t="s">
        <v>349</v>
      </c>
      <c r="C182" s="40"/>
      <c r="D182" s="40"/>
      <c r="E182" s="40"/>
      <c r="F182" s="40"/>
      <c r="G182" s="39">
        <v>0</v>
      </c>
    </row>
    <row r="183" spans="2:7">
      <c r="B183" s="40" t="s">
        <v>350</v>
      </c>
      <c r="C183" s="40"/>
      <c r="D183" s="40"/>
      <c r="E183" s="40"/>
      <c r="F183" s="40"/>
      <c r="G183" s="39">
        <v>0</v>
      </c>
    </row>
    <row r="184" spans="2:7">
      <c r="B184" s="40" t="s">
        <v>351</v>
      </c>
      <c r="C184" s="40"/>
      <c r="D184" s="40"/>
      <c r="E184" s="40"/>
      <c r="F184" s="40"/>
      <c r="G184" s="39">
        <v>0</v>
      </c>
    </row>
    <row r="185" spans="2:7">
      <c r="B185" s="40" t="s">
        <v>352</v>
      </c>
      <c r="C185" s="40"/>
      <c r="D185" s="40"/>
      <c r="E185" s="40"/>
      <c r="F185" s="40"/>
      <c r="G185" s="39">
        <v>0</v>
      </c>
    </row>
    <row r="186" spans="2:7">
      <c r="B186" s="40" t="s">
        <v>353</v>
      </c>
      <c r="C186" s="40"/>
      <c r="D186" s="40"/>
      <c r="E186" s="40"/>
      <c r="F186" s="40"/>
      <c r="G186" s="39">
        <v>0</v>
      </c>
    </row>
    <row r="187" spans="2:7">
      <c r="B187" s="40" t="s">
        <v>354</v>
      </c>
      <c r="C187" s="40"/>
      <c r="D187" s="40"/>
      <c r="E187" s="40"/>
      <c r="F187" s="40"/>
      <c r="G187" s="39">
        <v>0</v>
      </c>
    </row>
    <row r="188" spans="2:7">
      <c r="B188" s="40" t="s">
        <v>355</v>
      </c>
      <c r="C188" s="40"/>
      <c r="D188" s="40"/>
      <c r="E188" s="40"/>
      <c r="F188" s="40"/>
      <c r="G188" s="39">
        <v>0</v>
      </c>
    </row>
    <row r="189" spans="2:7">
      <c r="B189" s="40" t="s">
        <v>356</v>
      </c>
      <c r="C189" s="40"/>
      <c r="D189" s="40"/>
      <c r="E189" s="40"/>
      <c r="F189" s="40"/>
      <c r="G189" s="39">
        <v>0</v>
      </c>
    </row>
    <row r="190" spans="2:7">
      <c r="B190" s="40" t="s">
        <v>357</v>
      </c>
      <c r="C190" s="40"/>
      <c r="D190" s="40"/>
      <c r="E190" s="40"/>
      <c r="F190" s="40"/>
      <c r="G190" s="39">
        <v>0</v>
      </c>
    </row>
    <row r="191" spans="2:7">
      <c r="B191" s="40" t="s">
        <v>358</v>
      </c>
      <c r="C191" s="40"/>
      <c r="D191" s="40"/>
      <c r="E191" s="40"/>
      <c r="F191" s="40"/>
      <c r="G191" s="39">
        <v>0</v>
      </c>
    </row>
    <row r="192" spans="2:7">
      <c r="B192" s="40" t="s">
        <v>359</v>
      </c>
      <c r="C192" s="40"/>
      <c r="D192" s="40"/>
      <c r="E192" s="40"/>
      <c r="F192" s="40"/>
      <c r="G192" s="39">
        <v>0</v>
      </c>
    </row>
    <row r="193" spans="2:7">
      <c r="B193" s="40" t="s">
        <v>360</v>
      </c>
      <c r="C193" s="40"/>
      <c r="D193" s="40"/>
      <c r="E193" s="40"/>
      <c r="F193" s="40"/>
      <c r="G193" s="39">
        <v>0</v>
      </c>
    </row>
    <row r="194" spans="2:7">
      <c r="B194" s="40" t="s">
        <v>361</v>
      </c>
      <c r="C194" s="40"/>
      <c r="D194" s="40"/>
      <c r="E194" s="40"/>
      <c r="F194" s="40"/>
      <c r="G194" s="39">
        <v>0</v>
      </c>
    </row>
    <row r="195" spans="2:7">
      <c r="B195" s="40" t="s">
        <v>362</v>
      </c>
      <c r="C195" s="40"/>
      <c r="D195" s="40"/>
      <c r="E195" s="40"/>
      <c r="F195" s="40"/>
      <c r="G195" s="39">
        <v>0</v>
      </c>
    </row>
    <row r="196" spans="2:7">
      <c r="B196" s="40" t="s">
        <v>363</v>
      </c>
      <c r="C196" s="40"/>
      <c r="D196" s="40"/>
      <c r="E196" s="40"/>
      <c r="F196" s="40"/>
      <c r="G196" s="39">
        <v>0</v>
      </c>
    </row>
    <row r="197" spans="2:7">
      <c r="B197" s="40" t="s">
        <v>364</v>
      </c>
      <c r="C197" s="40"/>
      <c r="D197" s="40"/>
      <c r="E197" s="40"/>
      <c r="F197" s="40"/>
      <c r="G197" s="39">
        <v>0</v>
      </c>
    </row>
    <row r="198" spans="2:7">
      <c r="B198" s="40" t="s">
        <v>365</v>
      </c>
      <c r="C198" s="40"/>
      <c r="D198" s="40"/>
      <c r="E198" s="40"/>
      <c r="F198" s="40"/>
      <c r="G198" s="39">
        <v>0</v>
      </c>
    </row>
    <row r="199" spans="2:7">
      <c r="B199" s="40" t="s">
        <v>366</v>
      </c>
      <c r="C199" s="40"/>
      <c r="D199" s="40"/>
      <c r="E199" s="40"/>
      <c r="F199" s="40"/>
      <c r="G199" s="39">
        <v>0</v>
      </c>
    </row>
    <row r="200" spans="2:7">
      <c r="B200" s="40" t="s">
        <v>367</v>
      </c>
      <c r="C200" s="40"/>
      <c r="D200" s="40"/>
      <c r="E200" s="40"/>
      <c r="F200" s="40"/>
      <c r="G200" s="39">
        <v>0</v>
      </c>
    </row>
    <row r="201" spans="2:7">
      <c r="B201" s="40" t="s">
        <v>368</v>
      </c>
      <c r="C201" s="40"/>
      <c r="D201" s="40"/>
      <c r="E201" s="40"/>
      <c r="F201" s="40"/>
      <c r="G201" s="39">
        <v>0</v>
      </c>
    </row>
    <row r="202" spans="2:7">
      <c r="B202" s="40" t="s">
        <v>369</v>
      </c>
      <c r="C202" s="40"/>
      <c r="D202" s="40"/>
      <c r="E202" s="40"/>
      <c r="F202" s="40"/>
      <c r="G202" s="39">
        <v>0</v>
      </c>
    </row>
    <row r="203" spans="2:7">
      <c r="B203" s="40" t="s">
        <v>370</v>
      </c>
      <c r="C203" s="40"/>
      <c r="D203" s="40"/>
      <c r="E203" s="40"/>
      <c r="F203" s="40"/>
      <c r="G203" s="39">
        <v>0</v>
      </c>
    </row>
    <row r="204" spans="2:7">
      <c r="B204" s="40" t="s">
        <v>371</v>
      </c>
      <c r="C204" s="40"/>
      <c r="D204" s="40"/>
      <c r="E204" s="40"/>
      <c r="F204" s="40"/>
      <c r="G204" s="39">
        <v>0</v>
      </c>
    </row>
    <row r="205" spans="2:7">
      <c r="B205" s="40" t="s">
        <v>372</v>
      </c>
      <c r="C205" s="40"/>
      <c r="D205" s="40"/>
      <c r="E205" s="40"/>
      <c r="F205" s="40"/>
      <c r="G205" s="39">
        <v>0</v>
      </c>
    </row>
    <row r="206" spans="2:7">
      <c r="B206" s="40" t="s">
        <v>373</v>
      </c>
      <c r="C206" s="40"/>
      <c r="D206" s="40"/>
      <c r="E206" s="40"/>
      <c r="F206" s="40"/>
      <c r="G206" s="39">
        <v>0</v>
      </c>
    </row>
    <row r="207" spans="2:7">
      <c r="B207" s="40" t="s">
        <v>374</v>
      </c>
      <c r="C207" s="40"/>
      <c r="D207" s="40"/>
      <c r="E207" s="40"/>
      <c r="F207" s="40"/>
      <c r="G207" s="39">
        <v>0</v>
      </c>
    </row>
    <row r="208" spans="2:7">
      <c r="B208" s="40" t="s">
        <v>375</v>
      </c>
      <c r="C208" s="40"/>
      <c r="D208" s="40"/>
      <c r="E208" s="40"/>
      <c r="F208" s="40"/>
      <c r="G208" s="39">
        <v>0</v>
      </c>
    </row>
    <row r="209" spans="2:7">
      <c r="B209" s="40" t="s">
        <v>376</v>
      </c>
      <c r="C209" s="40"/>
      <c r="D209" s="40"/>
      <c r="E209" s="40"/>
      <c r="F209" s="40"/>
      <c r="G209" s="39">
        <v>0</v>
      </c>
    </row>
    <row r="210" spans="2:7">
      <c r="B210" s="40" t="s">
        <v>377</v>
      </c>
      <c r="C210" s="40"/>
      <c r="D210" s="40"/>
      <c r="E210" s="40"/>
      <c r="F210" s="40"/>
      <c r="G210" s="39">
        <v>0</v>
      </c>
    </row>
    <row r="211" spans="2:7">
      <c r="B211" s="40" t="s">
        <v>378</v>
      </c>
      <c r="C211" s="40"/>
      <c r="D211" s="40"/>
      <c r="E211" s="40"/>
      <c r="F211" s="40"/>
      <c r="G211" s="39">
        <v>0</v>
      </c>
    </row>
    <row r="212" spans="2:7">
      <c r="B212" s="40" t="s">
        <v>379</v>
      </c>
      <c r="C212" s="40"/>
      <c r="D212" s="40"/>
      <c r="E212" s="40"/>
      <c r="F212" s="40"/>
      <c r="G212" s="39">
        <v>0</v>
      </c>
    </row>
    <row r="213" spans="2:7">
      <c r="B213" s="40" t="s">
        <v>380</v>
      </c>
      <c r="C213" s="40"/>
      <c r="D213" s="40"/>
      <c r="E213" s="40"/>
      <c r="F213" s="40"/>
      <c r="G213" s="39">
        <v>0</v>
      </c>
    </row>
    <row r="214" spans="2:7">
      <c r="B214" s="40" t="s">
        <v>381</v>
      </c>
      <c r="C214" s="40"/>
      <c r="D214" s="40"/>
      <c r="E214" s="40"/>
      <c r="F214" s="40"/>
      <c r="G214" s="39">
        <v>0</v>
      </c>
    </row>
    <row r="215" spans="2:7">
      <c r="B215" s="40" t="s">
        <v>382</v>
      </c>
      <c r="C215" s="40"/>
      <c r="D215" s="40"/>
      <c r="E215" s="40"/>
      <c r="F215" s="40"/>
      <c r="G215" s="39">
        <v>0</v>
      </c>
    </row>
    <row r="216" spans="2:7">
      <c r="B216" s="40" t="s">
        <v>383</v>
      </c>
      <c r="C216" s="40"/>
      <c r="D216" s="40"/>
      <c r="E216" s="40"/>
      <c r="F216" s="40"/>
      <c r="G216" s="39">
        <v>0</v>
      </c>
    </row>
    <row r="217" spans="2:7">
      <c r="B217" s="40" t="s">
        <v>384</v>
      </c>
      <c r="C217" s="40"/>
      <c r="D217" s="40"/>
      <c r="E217" s="40"/>
      <c r="F217" s="40"/>
      <c r="G217" s="39">
        <v>0</v>
      </c>
    </row>
    <row r="218" spans="2:7">
      <c r="B218" s="40" t="s">
        <v>385</v>
      </c>
      <c r="C218" s="40"/>
      <c r="D218" s="40"/>
      <c r="E218" s="40"/>
      <c r="F218" s="40"/>
      <c r="G218" s="39">
        <v>0</v>
      </c>
    </row>
    <row r="219" spans="2:7">
      <c r="B219" s="40" t="s">
        <v>386</v>
      </c>
      <c r="C219" s="40"/>
      <c r="D219" s="40"/>
      <c r="E219" s="40"/>
      <c r="F219" s="40"/>
      <c r="G219" s="39">
        <v>0</v>
      </c>
    </row>
    <row r="220" spans="2:7">
      <c r="B220" s="40" t="s">
        <v>387</v>
      </c>
      <c r="C220" s="40"/>
      <c r="D220" s="40"/>
      <c r="E220" s="40"/>
      <c r="F220" s="40"/>
      <c r="G220" s="39">
        <v>0</v>
      </c>
    </row>
    <row r="221" spans="2:7">
      <c r="B221" s="40" t="s">
        <v>388</v>
      </c>
      <c r="C221" s="40"/>
      <c r="D221" s="40"/>
      <c r="E221" s="40"/>
      <c r="F221" s="40"/>
      <c r="G221" s="39">
        <v>0</v>
      </c>
    </row>
    <row r="222" spans="2:7">
      <c r="B222" s="40" t="s">
        <v>389</v>
      </c>
      <c r="C222" s="40"/>
      <c r="D222" s="40"/>
      <c r="E222" s="40"/>
      <c r="F222" s="40"/>
      <c r="G222" s="39">
        <v>0</v>
      </c>
    </row>
    <row r="223" spans="2:7">
      <c r="B223" s="40" t="s">
        <v>390</v>
      </c>
      <c r="C223" s="40"/>
      <c r="D223" s="40"/>
      <c r="E223" s="40"/>
      <c r="F223" s="40"/>
      <c r="G223" s="39">
        <v>0</v>
      </c>
    </row>
    <row r="224" spans="2:7">
      <c r="B224" s="40" t="s">
        <v>391</v>
      </c>
      <c r="C224" s="40"/>
      <c r="D224" s="40"/>
      <c r="E224" s="40"/>
      <c r="F224" s="40"/>
      <c r="G224" s="39">
        <v>0</v>
      </c>
    </row>
    <row r="225" spans="2:7">
      <c r="B225" s="40" t="s">
        <v>392</v>
      </c>
      <c r="C225" s="40"/>
      <c r="D225" s="40"/>
      <c r="E225" s="40"/>
      <c r="F225" s="40"/>
      <c r="G225" s="39">
        <v>0</v>
      </c>
    </row>
    <row r="226" spans="2:7">
      <c r="B226" s="40" t="s">
        <v>393</v>
      </c>
      <c r="C226" s="40"/>
      <c r="D226" s="40"/>
      <c r="E226" s="40"/>
      <c r="F226" s="40"/>
      <c r="G226" s="39">
        <v>0</v>
      </c>
    </row>
    <row r="227" spans="2:7">
      <c r="B227" s="40" t="s">
        <v>394</v>
      </c>
      <c r="C227" s="40"/>
      <c r="D227" s="40"/>
      <c r="E227" s="40"/>
      <c r="F227" s="40"/>
      <c r="G227" s="39">
        <v>0</v>
      </c>
    </row>
    <row r="228" spans="2:7">
      <c r="B228" s="40" t="s">
        <v>395</v>
      </c>
      <c r="C228" s="40"/>
      <c r="D228" s="40"/>
      <c r="E228" s="40"/>
      <c r="F228" s="40"/>
      <c r="G228" s="39">
        <v>0</v>
      </c>
    </row>
    <row r="229" spans="2:7">
      <c r="B229" s="40" t="s">
        <v>396</v>
      </c>
      <c r="C229" s="40"/>
      <c r="D229" s="40"/>
      <c r="E229" s="40"/>
      <c r="F229" s="40"/>
      <c r="G229" s="39">
        <v>0</v>
      </c>
    </row>
    <row r="230" spans="2:7">
      <c r="B230" s="40" t="s">
        <v>397</v>
      </c>
      <c r="C230" s="40"/>
      <c r="D230" s="40"/>
      <c r="E230" s="40"/>
      <c r="F230" s="40"/>
      <c r="G230" s="39">
        <v>0</v>
      </c>
    </row>
    <row r="231" spans="2:7">
      <c r="B231" s="40" t="s">
        <v>398</v>
      </c>
      <c r="C231" s="40"/>
      <c r="D231" s="40"/>
      <c r="E231" s="40"/>
      <c r="F231" s="40"/>
      <c r="G231" s="39">
        <v>0</v>
      </c>
    </row>
    <row r="232" spans="2:7">
      <c r="B232" s="40" t="s">
        <v>399</v>
      </c>
      <c r="C232" s="40"/>
      <c r="D232" s="40"/>
      <c r="E232" s="40"/>
      <c r="F232" s="40"/>
      <c r="G232" s="39">
        <v>0</v>
      </c>
    </row>
    <row r="233" spans="2:7">
      <c r="B233" s="40" t="s">
        <v>400</v>
      </c>
      <c r="C233" s="40"/>
      <c r="D233" s="40"/>
      <c r="E233" s="40"/>
      <c r="F233" s="40"/>
      <c r="G233" s="39">
        <v>0</v>
      </c>
    </row>
    <row r="234" spans="2:7">
      <c r="B234" s="40" t="s">
        <v>401</v>
      </c>
      <c r="C234" s="40"/>
      <c r="D234" s="40"/>
      <c r="E234" s="40"/>
      <c r="F234" s="40"/>
      <c r="G234" s="39">
        <v>0</v>
      </c>
    </row>
    <row r="235" spans="2:7">
      <c r="B235" s="40" t="s">
        <v>402</v>
      </c>
      <c r="C235" s="40"/>
      <c r="D235" s="40"/>
      <c r="E235" s="40"/>
      <c r="F235" s="40"/>
      <c r="G235" s="39">
        <v>0</v>
      </c>
    </row>
    <row r="236" spans="2:7">
      <c r="B236" s="40" t="s">
        <v>403</v>
      </c>
      <c r="C236" s="40"/>
      <c r="D236" s="40"/>
      <c r="E236" s="40"/>
      <c r="F236" s="40"/>
      <c r="G236" s="39">
        <v>0</v>
      </c>
    </row>
    <row r="237" spans="2:7">
      <c r="B237" s="40" t="s">
        <v>404</v>
      </c>
      <c r="C237" s="40"/>
      <c r="D237" s="40"/>
      <c r="E237" s="40"/>
      <c r="F237" s="40"/>
      <c r="G237" s="39">
        <v>0</v>
      </c>
    </row>
    <row r="238" spans="2:7">
      <c r="B238" s="40" t="s">
        <v>405</v>
      </c>
      <c r="C238" s="40"/>
      <c r="D238" s="40"/>
      <c r="E238" s="40"/>
      <c r="F238" s="40"/>
      <c r="G238" s="39">
        <v>0</v>
      </c>
    </row>
    <row r="239" spans="2:7">
      <c r="B239" s="40" t="s">
        <v>406</v>
      </c>
      <c r="C239" s="40"/>
      <c r="D239" s="40"/>
      <c r="E239" s="40"/>
      <c r="F239" s="40"/>
      <c r="G239" s="39">
        <v>0</v>
      </c>
    </row>
    <row r="240" spans="2:7">
      <c r="B240" s="40" t="s">
        <v>407</v>
      </c>
      <c r="C240" s="40"/>
      <c r="D240" s="40"/>
      <c r="E240" s="40"/>
      <c r="F240" s="40"/>
      <c r="G240" s="39">
        <v>0</v>
      </c>
    </row>
    <row r="241" spans="2:7">
      <c r="B241" s="40" t="s">
        <v>408</v>
      </c>
      <c r="C241" s="40"/>
      <c r="D241" s="40"/>
      <c r="E241" s="40"/>
      <c r="F241" s="40"/>
      <c r="G241" s="39">
        <v>0</v>
      </c>
    </row>
    <row r="242" spans="2:7">
      <c r="B242" s="40" t="s">
        <v>409</v>
      </c>
      <c r="C242" s="40"/>
      <c r="D242" s="40"/>
      <c r="E242" s="40"/>
      <c r="F242" s="40"/>
      <c r="G242" s="39">
        <v>0</v>
      </c>
    </row>
    <row r="243" spans="2:7">
      <c r="B243" s="40" t="s">
        <v>410</v>
      </c>
      <c r="C243" s="40"/>
      <c r="D243" s="40"/>
      <c r="E243" s="40"/>
      <c r="F243" s="40"/>
      <c r="G243" s="39">
        <v>0</v>
      </c>
    </row>
    <row r="244" spans="2:7">
      <c r="B244" s="40" t="s">
        <v>411</v>
      </c>
      <c r="C244" s="40"/>
      <c r="D244" s="40"/>
      <c r="E244" s="40"/>
      <c r="F244" s="40"/>
      <c r="G244" s="39">
        <v>0</v>
      </c>
    </row>
    <row r="245" spans="2:7">
      <c r="B245" s="40" t="s">
        <v>412</v>
      </c>
      <c r="C245" s="40"/>
      <c r="D245" s="40"/>
      <c r="E245" s="40"/>
      <c r="F245" s="40"/>
      <c r="G245" s="39">
        <v>0</v>
      </c>
    </row>
    <row r="246" spans="2:7">
      <c r="B246" s="40" t="s">
        <v>413</v>
      </c>
      <c r="C246" s="40"/>
      <c r="D246" s="40"/>
      <c r="E246" s="40"/>
      <c r="F246" s="40"/>
      <c r="G246" s="39">
        <v>0</v>
      </c>
    </row>
    <row r="247" spans="2:7">
      <c r="B247" s="40" t="s">
        <v>414</v>
      </c>
      <c r="C247" s="40"/>
      <c r="D247" s="40"/>
      <c r="E247" s="40"/>
      <c r="F247" s="40"/>
      <c r="G247" s="39">
        <v>0</v>
      </c>
    </row>
    <row r="248" spans="2:7">
      <c r="B248" s="40" t="s">
        <v>415</v>
      </c>
      <c r="C248" s="40"/>
      <c r="D248" s="40"/>
      <c r="E248" s="40"/>
      <c r="F248" s="40"/>
      <c r="G248" s="39">
        <v>0</v>
      </c>
    </row>
    <row r="249" spans="2:7">
      <c r="B249" s="40" t="s">
        <v>416</v>
      </c>
      <c r="C249" s="40"/>
      <c r="D249" s="40"/>
      <c r="E249" s="40"/>
      <c r="F249" s="40"/>
      <c r="G249" s="39">
        <v>0</v>
      </c>
    </row>
    <row r="250" spans="2:7">
      <c r="B250" s="40" t="s">
        <v>417</v>
      </c>
      <c r="C250" s="40"/>
      <c r="D250" s="40"/>
      <c r="E250" s="40"/>
      <c r="F250" s="40"/>
      <c r="G250" s="39">
        <v>0</v>
      </c>
    </row>
    <row r="251" spans="2:7">
      <c r="B251" s="40" t="s">
        <v>418</v>
      </c>
      <c r="C251" s="40"/>
      <c r="D251" s="40"/>
      <c r="E251" s="40"/>
      <c r="F251" s="40"/>
      <c r="G251" s="39">
        <v>0</v>
      </c>
    </row>
    <row r="252" spans="2:7">
      <c r="B252" s="40" t="s">
        <v>419</v>
      </c>
      <c r="C252" s="40"/>
      <c r="D252" s="40"/>
      <c r="E252" s="40"/>
      <c r="F252" s="40"/>
      <c r="G252" s="39">
        <v>0</v>
      </c>
    </row>
    <row r="253" spans="2:7">
      <c r="B253" s="40" t="s">
        <v>420</v>
      </c>
      <c r="C253" s="40"/>
      <c r="D253" s="40"/>
      <c r="E253" s="40"/>
      <c r="F253" s="40"/>
      <c r="G253" s="39">
        <v>0</v>
      </c>
    </row>
    <row r="254" spans="2:7">
      <c r="B254" s="40" t="s">
        <v>421</v>
      </c>
      <c r="C254" s="40"/>
      <c r="D254" s="40"/>
      <c r="E254" s="40"/>
      <c r="F254" s="40"/>
      <c r="G254" s="39">
        <v>0</v>
      </c>
    </row>
    <row r="255" spans="2:7">
      <c r="B255" s="40" t="s">
        <v>422</v>
      </c>
      <c r="C255" s="40"/>
      <c r="D255" s="40"/>
      <c r="E255" s="40"/>
      <c r="F255" s="40"/>
      <c r="G255" s="39">
        <v>0</v>
      </c>
    </row>
    <row r="256" spans="2:7">
      <c r="B256" s="40" t="s">
        <v>423</v>
      </c>
      <c r="C256" s="40"/>
      <c r="D256" s="40"/>
      <c r="E256" s="40"/>
      <c r="F256" s="40"/>
      <c r="G256" s="39">
        <v>0</v>
      </c>
    </row>
    <row r="257" spans="2:7">
      <c r="B257" s="40" t="s">
        <v>424</v>
      </c>
      <c r="C257" s="40"/>
      <c r="D257" s="40"/>
      <c r="E257" s="40"/>
      <c r="F257" s="40"/>
      <c r="G257" s="39">
        <v>0</v>
      </c>
    </row>
    <row r="258" spans="2:7">
      <c r="B258" s="40" t="s">
        <v>425</v>
      </c>
      <c r="C258" s="40"/>
      <c r="D258" s="40"/>
      <c r="E258" s="40"/>
      <c r="F258" s="40"/>
      <c r="G258" s="39">
        <v>0</v>
      </c>
    </row>
    <row r="259" spans="2:7">
      <c r="B259" s="40" t="s">
        <v>426</v>
      </c>
      <c r="C259" s="40"/>
      <c r="D259" s="40"/>
      <c r="E259" s="40"/>
      <c r="F259" s="40"/>
      <c r="G259" s="39">
        <v>0</v>
      </c>
    </row>
  </sheetData>
  <sheetProtection sheet="1" objects="1" scenarios="1" selectUnlockedCells="1"/>
  <mergeCells count="17">
    <mergeCell ref="A1:M1"/>
    <mergeCell ref="A2:M2"/>
    <mergeCell ref="A3:M3"/>
    <mergeCell ref="B8:G8"/>
    <mergeCell ref="B9:G9"/>
    <mergeCell ref="I8:W8"/>
    <mergeCell ref="I9:W9"/>
    <mergeCell ref="Y8:AF8"/>
    <mergeCell ref="Y9:AF9"/>
    <mergeCell ref="AH8:AI8"/>
    <mergeCell ref="AH9:AI9"/>
    <mergeCell ref="AK8:AN8"/>
    <mergeCell ref="AK9:AN9"/>
    <mergeCell ref="AO8:AP8"/>
    <mergeCell ref="AO9:AP9"/>
    <mergeCell ref="AR8:AS8"/>
    <mergeCell ref="AR9:AS9"/>
  </mergeCells>
  <pageMargins left="0.25" right="0.25" top="0.4" bottom="0.4" header="0.3" footer="0.3"/>
  <pageSetup orientation="landscape" paperSize="9" fitToWidth="1" fitToHeight="0"/>
  <headerFooter>
    <oddHeader>&amp;Lمازندشت — سامانه حسابداری سورتینگ&amp;C&amp;"B Nazanin,Bold"&amp;10 MAZANDASHT · INVOICE&amp;R&amp;A</oddHeader>
    <oddFooter>&amp;Lمازندشت — سورتینگ و بسته‌بندی مرکبات&amp;Cصفحه &amp;P از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I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41" t="s">
        <v>14</v>
      </c>
      <c r="B1" s="41"/>
      <c r="C1" s="41"/>
      <c r="D1" s="41"/>
      <c r="E1" s="42" t="s">
        <v>617</v>
      </c>
      <c r="F1" s="42"/>
      <c r="G1" s="42"/>
      <c r="H1" s="42"/>
      <c r="I1" s="42"/>
    </row>
    <row r="2" spans="1:9" ht="38.25" customHeight="1">
      <c r="A2" s="43" t="s">
        <v>618</v>
      </c>
      <c r="B2" s="43"/>
      <c r="C2" s="43"/>
      <c r="D2" s="43"/>
      <c r="E2" s="43"/>
      <c r="F2" s="43"/>
      <c r="G2" s="43"/>
      <c r="H2" s="43"/>
      <c r="I2" s="43"/>
    </row>
    <row r="3" spans="1:9" ht="45.75" customHeight="1">
      <c r="A3" s="44" t="s">
        <v>619</v>
      </c>
      <c r="B3" s="44"/>
      <c r="C3" s="44"/>
      <c r="D3" s="44"/>
      <c r="E3" s="44"/>
      <c r="F3" s="44"/>
      <c r="G3" s="44"/>
      <c r="H3" s="44"/>
      <c r="I3" s="44"/>
    </row>
    <row r="4" spans="1:9" ht="24" customHeight="1">
      <c r="A4" s="45" t="s">
        <v>620</v>
      </c>
      <c r="B4" s="46" t="s">
        <v>621</v>
      </c>
      <c r="C4" s="47" t="s">
        <v>442</v>
      </c>
      <c r="D4" s="48" t="s">
        <v>430</v>
      </c>
      <c r="E4" s="49" t="s">
        <v>437</v>
      </c>
      <c r="F4" s="50" t="s">
        <v>622</v>
      </c>
      <c r="G4" s="51" t="s">
        <v>623</v>
      </c>
      <c r="H4" s="51"/>
      <c r="I4" s="51"/>
    </row>
    <row r="5" spans="1:9" ht="17.25" customHeight="1">
      <c r="A5" s="14"/>
      <c r="B5" s="14"/>
      <c r="C5" s="14"/>
      <c r="D5" s="14"/>
      <c r="E5" s="14"/>
      <c r="F5" s="14"/>
      <c r="G5" s="14"/>
      <c r="H5" s="14"/>
      <c r="I5" s="14"/>
    </row>
    <row r="6" spans="1:9" ht="33" customHeight="1">
      <c r="A6" s="14"/>
      <c r="B6" s="14"/>
      <c r="C6" s="14"/>
      <c r="D6" s="14"/>
      <c r="E6" s="14"/>
      <c r="F6" s="14"/>
      <c r="G6" s="14"/>
      <c r="H6" s="14"/>
      <c r="I6" s="14"/>
    </row>
    <row r="7" spans="1:9" ht="6.75" customHeight="1">
      <c r="A7" s="52"/>
      <c r="B7" s="52"/>
      <c r="C7" s="52"/>
      <c r="D7" s="52"/>
      <c r="E7" s="52"/>
      <c r="F7" s="52"/>
      <c r="G7" s="52"/>
      <c r="H7" s="52"/>
      <c r="I7" s="52"/>
    </row>
    <row r="11" spans="1:9" ht="30" customHeight="1">
      <c r="A11" s="53"/>
      <c r="B11" s="54" t="s">
        <v>624</v>
      </c>
      <c r="C11" s="55" t="s">
        <v>625</v>
      </c>
      <c r="D11" s="55"/>
      <c r="E11" s="55"/>
      <c r="F11" s="55"/>
      <c r="G11" s="55"/>
      <c r="H11" s="55"/>
      <c r="I11" s="55"/>
    </row>
    <row r="12" spans="1:9" ht="36" customHeight="1">
      <c r="A12" s="56" t="s">
        <v>626</v>
      </c>
      <c r="B12" s="56"/>
      <c r="C12" s="56"/>
      <c r="D12" s="56"/>
      <c r="E12" s="56"/>
      <c r="F12" s="56"/>
      <c r="G12" s="56"/>
      <c r="H12" s="56"/>
      <c r="I12" s="56"/>
    </row>
    <row r="14" spans="1:9" ht="30" customHeight="1">
      <c r="A14" s="53"/>
      <c r="B14" s="54" t="s">
        <v>624</v>
      </c>
      <c r="C14" s="55" t="s">
        <v>627</v>
      </c>
      <c r="D14" s="55"/>
      <c r="E14" s="55"/>
      <c r="F14" s="55"/>
      <c r="G14" s="55"/>
      <c r="H14" s="55"/>
      <c r="I14" s="55"/>
    </row>
    <row r="15" spans="1:9" ht="36" customHeight="1">
      <c r="A15" s="56" t="s">
        <v>628</v>
      </c>
      <c r="B15" s="56"/>
      <c r="C15" s="56"/>
      <c r="D15" s="56"/>
      <c r="E15" s="56"/>
      <c r="F15" s="56"/>
      <c r="G15" s="56"/>
      <c r="H15" s="56"/>
      <c r="I15" s="56"/>
    </row>
    <row r="17" spans="1:9" ht="30" customHeight="1">
      <c r="A17" s="53"/>
      <c r="B17" s="54" t="s">
        <v>624</v>
      </c>
      <c r="C17" s="55" t="s">
        <v>629</v>
      </c>
      <c r="D17" s="55"/>
      <c r="E17" s="55"/>
      <c r="F17" s="55"/>
      <c r="G17" s="55"/>
      <c r="H17" s="55"/>
      <c r="I17" s="55"/>
    </row>
    <row r="18" spans="1:9" ht="36" customHeight="1">
      <c r="A18" s="56" t="s">
        <v>630</v>
      </c>
      <c r="B18" s="56"/>
      <c r="C18" s="56"/>
      <c r="D18" s="56"/>
      <c r="E18" s="56"/>
      <c r="F18" s="56"/>
      <c r="G18" s="56"/>
      <c r="H18" s="56"/>
      <c r="I18" s="56"/>
    </row>
    <row r="20" spans="1:9" ht="30" customHeight="1">
      <c r="A20" s="53"/>
      <c r="B20" s="54" t="s">
        <v>624</v>
      </c>
      <c r="C20" s="55" t="s">
        <v>631</v>
      </c>
      <c r="D20" s="55"/>
      <c r="E20" s="55"/>
      <c r="F20" s="55"/>
      <c r="G20" s="55"/>
      <c r="H20" s="55"/>
      <c r="I20" s="55"/>
    </row>
    <row r="21" spans="1:9" ht="36" customHeight="1">
      <c r="A21" s="56" t="s">
        <v>632</v>
      </c>
      <c r="B21" s="56"/>
      <c r="C21" s="56"/>
      <c r="D21" s="56"/>
      <c r="E21" s="56"/>
      <c r="F21" s="56"/>
      <c r="G21" s="56"/>
      <c r="H21" s="56"/>
      <c r="I21" s="56"/>
    </row>
    <row r="23" spans="1:9" ht="30" customHeight="1">
      <c r="A23" s="53"/>
      <c r="B23" s="54" t="s">
        <v>624</v>
      </c>
      <c r="C23" s="55" t="s">
        <v>633</v>
      </c>
      <c r="D23" s="55"/>
      <c r="E23" s="55"/>
      <c r="F23" s="55"/>
      <c r="G23" s="55"/>
      <c r="H23" s="55"/>
      <c r="I23" s="55"/>
    </row>
    <row r="24" spans="1:9" ht="21" customHeight="1">
      <c r="A24" s="56" t="s">
        <v>634</v>
      </c>
      <c r="B24" s="56"/>
      <c r="C24" s="56"/>
      <c r="D24" s="56"/>
      <c r="E24" s="56"/>
      <c r="F24" s="56"/>
      <c r="G24" s="56"/>
      <c r="H24" s="56"/>
      <c r="I24" s="56"/>
    </row>
    <row r="27" spans="1:9" ht="30" customHeight="1">
      <c r="A27" s="57" t="s">
        <v>635</v>
      </c>
      <c r="B27" s="57"/>
      <c r="C27" s="57"/>
      <c r="D27" s="57"/>
      <c r="E27" s="57"/>
      <c r="F27" s="57"/>
      <c r="G27" s="57"/>
      <c r="H27" s="57"/>
      <c r="I27" s="57"/>
    </row>
  </sheetData>
  <sheetProtection sheet="1" objects="1" scenarios="1" selectUnlockedCells="1"/>
  <mergeCells count="18">
    <mergeCell ref="A1:D1"/>
    <mergeCell ref="E1:I1"/>
    <mergeCell ref="A2:I2"/>
    <mergeCell ref="A3:I3"/>
    <mergeCell ref="G4:I4"/>
    <mergeCell ref="A5:I6"/>
    <mergeCell ref="A7:I7"/>
    <mergeCell ref="C11:I11"/>
    <mergeCell ref="A12:I12"/>
    <mergeCell ref="C14:I14"/>
    <mergeCell ref="A15:I15"/>
    <mergeCell ref="C17:I17"/>
    <mergeCell ref="A18:I18"/>
    <mergeCell ref="C20:I20"/>
    <mergeCell ref="A21:I21"/>
    <mergeCell ref="C23:I23"/>
    <mergeCell ref="A24:I24"/>
    <mergeCell ref="A27:I27"/>
  </mergeCells>
  <printOptions horizontalCentered="1"/>
  <pageMargins left="0.28" right="0.28" top="0.45" bottom="0.5" header="0.3" footer="0.3"/>
  <pageSetup orientation="portrait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45</vt:i4>
      </vt:variant>
    </vt:vector>
  </HeadingPairs>
  <TitlesOfParts>
    <vt:vector size="49" baseType="lpstr">
      <vt:lpstr>Data</vt:lpstr>
      <vt:lpstr>Invoice</vt:lpstr>
      <vt:lpstr>Sync</vt:lpstr>
      <vt:lpstr>Help</vt:lpstr>
      <vt:lpstr>AcctCodes</vt:lpstr>
      <vt:lpstr>AcctTbl</vt:lpstr>
      <vt:lpstr>BankCodes</vt:lpstr>
      <vt:lpstr>BankTbl</vt:lpstr>
      <vt:lpstr>BasketCodeCol</vt:lpstr>
      <vt:lpstr>BasketTbl</vt:lpstr>
      <vt:lpstr>GroupTbl</vt:lpstr>
      <vt:lpstr>ListAllCodes</vt:lpstr>
      <vt:lpstr>ListBanks</vt:lpstr>
      <vt:lpstr>ListBasketOps</vt:lpstr>
      <vt:lpstr>ListBaskets</vt:lpstr>
      <vt:lpstr>ListBasketSellerCodes</vt:lpstr>
      <vt:lpstr>ListBaskolOps</vt:lpstr>
      <vt:lpstr>ListCategories</vt:lpstr>
      <vt:lpstr>ListChequeStatus</vt:lpstr>
      <vt:lpstr>ListColorKeys</vt:lpstr>
      <vt:lpstr>ListDirections</vt:lpstr>
      <vt:lpstr>ListGroups</vt:lpstr>
      <vt:lpstr>ListGrowerCodes</vt:lpstr>
      <vt:lpstr>ListInclude</vt:lpstr>
      <vt:lpstr>ListLoadBuyerCodes</vt:lpstr>
      <vt:lpstr>ListManualRoles</vt:lpstr>
      <vt:lpstr>ListOpCategories</vt:lpstr>
      <vt:lpstr>ListOps</vt:lpstr>
      <vt:lpstr>ListOtherScaleCodes</vt:lpstr>
      <vt:lpstr>ListPartyBasis</vt:lpstr>
      <vt:lpstr>ListPartyTypes</vt:lpstr>
      <vt:lpstr>ListPayMethods</vt:lpstr>
      <vt:lpstr>ListPosEffects</vt:lpstr>
      <vt:lpstr>ListProducts</vt:lpstr>
      <vt:lpstr>ListReportSheets</vt:lpstr>
      <vt:lpstr>ListSeasons</vt:lpstr>
      <vt:lpstr>ListSides</vt:lpstr>
      <vt:lpstr>ListStatus</vt:lpstr>
      <vt:lpstr>ListSubgroups</vt:lpstr>
      <vt:lpstr>ListTxnDirections</vt:lpstr>
      <vt:lpstr>ListUnits</vt:lpstr>
      <vt:lpstr>ListYesNo</vt:lpstr>
      <vt:lpstr>OpTbl</vt:lpstr>
      <vt:lpstr>ParamTbl</vt:lpstr>
      <vt:lpstr>Help!Print_Area</vt:lpstr>
      <vt:lpstr>Inv!Print_Area</vt:lpstr>
      <vt:lpstr>Sync!Print_Area</vt:lpstr>
      <vt:lpstr>Help!Print_Titles</vt:lpstr>
      <vt:lpstr>ProductTbl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فاکتور و صورت‌حساب (۰۴)</dc:title>
  <dc:subject>انتخاب حساب، تیک زدن سطرها و چاپ فاکتور — نسخه ۰۱</dc:subject>
  <dc:creator>مازندشت</dc:creator>
  <dc:description>نسخه ۰۱ — سازگار با Excel 2013 — بدون ماکرو</dc:description>
  <cp:lastModifiedBy>مازندشت</cp:lastModifiedBy>
  <dcterms:created xsi:type="dcterms:W3CDTF">2026-10-23T20:17:17Z</dcterms:created>
  <dcterms:modified xsi:type="dcterms:W3CDTF">2026-10-23T20:17:17Z</dcterms:modified>
</cp:coreProperties>
</file>