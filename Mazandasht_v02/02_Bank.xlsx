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" sheetId="1" r:id="rId1"/>
    <sheet name="Txn" sheetId="2" r:id="rId2"/>
    <sheet name="Chq" sheetId="3" r:id="rId3"/>
    <sheet name="Rec" sheetId="4" r:id="rId4"/>
    <sheet name="Sum" sheetId="5" r:id="rId5"/>
    <sheet name="Sync" sheetId="6" r:id="rId6"/>
    <sheet name="Help" sheetId="7" r:id="rId7"/>
  </sheets>
  <externalReferences>
    <externalReference r:id="rId11"/>
  </externalReferences>
  <definedNames>
    <definedName name="_xlnm._FilterDatabase" localSheetId="2" hidden="1">Chq!$A$8:$N$159</definedName>
    <definedName name="_xlnm._FilterDatabase" localSheetId="1" hidden="1">Txn!$A$8:$R$159</definedName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2">Chq!$A$1:$N$159</definedName>
    <definedName name="_xlnm.Print_Area" localSheetId="6">Help!$A$1:$I$31</definedName>
    <definedName name="_xlnm.Print_Area" localSheetId="0">Ov!$A$1:$J$27</definedName>
    <definedName name="_xlnm.Print_Area" localSheetId="3">Rec!$A$1:$I$22</definedName>
    <definedName name="_xlnm.Print_Area" localSheetId="4">Sum!$A$1:$K$24</definedName>
    <definedName name="_xlnm.Print_Area" localSheetId="5">Sync!$A$1:$CR$260</definedName>
    <definedName name="_xlnm.Print_Area" localSheetId="1">Txn!$A$1:$R$159</definedName>
    <definedName name="_xlnm.Print_Titles" localSheetId="2">Chq!$8:$9</definedName>
    <definedName name="_xlnm.Print_Titles" localSheetId="6">Help!$7:$9</definedName>
    <definedName name="_xlnm.Print_Titles" localSheetId="0">Ov!$7:$9</definedName>
    <definedName name="_xlnm.Print_Titles" localSheetId="3">Rec!$7:$9</definedName>
    <definedName name="_xlnm.Print_Titles" localSheetId="4">Sum!$7:$9</definedName>
    <definedName name="_xlnm.Print_Titles" localSheetId="1">Txn!$8:$9</definedName>
    <definedName name="ProductTbl">Sync!$AH$10:$AI$29</definedName>
  </definedNames>
  <calcPr calcId="124519" fullCalcOnLoad="1"/>
</workbook>
</file>

<file path=xl/comments1.xml><?xml version="1.0" encoding="utf-8"?>
<comments xmlns="http://schemas.openxmlformats.org/spreadsheetml/2006/main">
  <authors>
    <author>راهنمای مازندشت</author>
  </authors>
  <commentList>
    <comment ref="C8" authorId="0">
      <text>
        <r>
          <rPr>
            <sz val="8"/>
            <color indexed="81"/>
            <rFont val="Tahoma"/>
            <family val="2"/>
          </rPr>
          <t>پرداخت یا دریافت؛ از ثبت.</t>
        </r>
      </text>
    </comment>
    <comment ref="D8" authorId="0">
      <text>
        <r>
          <rPr>
            <sz val="8"/>
            <color indexed="81"/>
            <rFont val="Tahoma"/>
            <family val="2"/>
          </rPr>
          <t>نقد، چک، پاس چک، انتقال.</t>
        </r>
      </text>
    </comment>
    <comment ref="E8" authorId="0">
      <text>
        <r>
          <rPr>
            <sz val="8"/>
            <color indexed="81"/>
            <rFont val="Tahoma"/>
            <family val="2"/>
          </rPr>
          <t>طرف حساب.</t>
        </r>
      </text>
    </comment>
    <comment ref="F8" authorId="0">
      <text>
        <r>
          <rPr>
            <sz val="8"/>
            <color indexed="81"/>
            <rFont val="Tahoma"/>
            <family val="2"/>
          </rPr>
          <t>خودکار از INFO.</t>
        </r>
      </text>
    </comment>
    <comment ref="K8" authorId="0">
      <text>
        <r>
          <rPr>
            <sz val="8"/>
            <color indexed="81"/>
            <rFont val="Tahoma"/>
            <family val="2"/>
          </rPr>
          <t>در جریان / پاس شده / برگشتی.</t>
        </r>
      </text>
    </comment>
    <comment ref="M8" authorId="0">
      <text>
        <r>
          <rPr>
            <sz val="8"/>
            <color indexed="81"/>
            <rFont val="Tahoma"/>
            <family val="2"/>
          </rPr>
          <t>انتقال داخلی در جمع بانک‌ها شمرده نمی‌شود.</t>
        </r>
      </text>
    </comment>
  </commentList>
</comments>
</file>

<file path=xl/comments2.xml><?xml version="1.0" encoding="utf-8"?>
<comments xmlns="http://schemas.openxmlformats.org/spreadsheetml/2006/main">
  <authors>
    <author>راهنمای مازندشت</author>
  </authors>
  <commentList>
    <comment ref="C8" authorId="0">
      <text>
        <r>
          <rPr>
            <sz val="8"/>
            <color indexed="81"/>
            <rFont val="Tahoma"/>
            <family val="2"/>
          </rPr>
          <t>کلید اتصال به ثبت.</t>
        </r>
      </text>
    </comment>
    <comment ref="E8" authorId="0">
      <text>
        <r>
          <rPr>
            <sz val="8"/>
            <color indexed="81"/>
            <rFont val="Tahoma"/>
            <family val="2"/>
          </rPr>
          <t>کد حساب طرف چک.</t>
        </r>
      </text>
    </comment>
    <comment ref="G8" authorId="0">
      <text>
        <r>
          <rPr>
            <sz val="8"/>
            <color indexed="81"/>
            <rFont val="Tahoma"/>
            <family val="2"/>
          </rPr>
          <t>تاریخ سررسید شمسی.</t>
        </r>
      </text>
    </comment>
    <comment ref="I8" authorId="0">
      <text>
        <r>
          <rPr>
            <sz val="8"/>
            <color indexed="81"/>
            <rFont val="Tahoma"/>
            <family val="2"/>
          </rPr>
          <t>در جریان / پاس شده / برگشتی.</t>
        </r>
      </text>
    </comment>
  </commentList>
</comments>
</file>

<file path=xl/sharedStrings.xml><?xml version="1.0" encoding="utf-8"?>
<sst xmlns="http://schemas.openxmlformats.org/spreadsheetml/2006/main" count="1447" uniqueCount="708">
  <si>
    <t>مازندشت — سورتینگ و بسته‌بندی مرکبات</t>
  </si>
  <si>
    <t>MAZANDASHT  ·  CITRUS SORTING &amp; PACKING</t>
  </si>
  <si>
    <t>بانک، چک و مغایرت‌گیری</t>
  </si>
  <si>
    <t>همه پرداخت‌ها و دریافت‌های ثبت روزانه، به‌اضافه پیگیری چک‌ها  ·  نسخه ۰۲</t>
  </si>
  <si>
    <t>۰۱</t>
  </si>
  <si>
    <t>خلاصه بانک  —  جمع دریافت و پرداخت از شیت تراکنش‌ها</t>
  </si>
  <si>
    <t>تعداد تراکنش</t>
  </si>
  <si>
    <t>جمع دریافت</t>
  </si>
  <si>
    <t>جمع پرداخت</t>
  </si>
  <si>
    <t>مانده گردش</t>
  </si>
  <si>
    <t>چک در جریان</t>
  </si>
  <si>
    <t>چک پاس‌شده</t>
  </si>
  <si>
    <t>تراکنش‌ها</t>
  </si>
  <si>
    <t>همه پرداخت‌ها و دریافت‌ها با بانک، چک و طرف حساب</t>
  </si>
  <si>
    <t>چک‌ها</t>
  </si>
  <si>
    <t>شماره چک، سررسید، وضعیت و طرف حساب</t>
  </si>
  <si>
    <t>مغایرت‌گیری</t>
  </si>
  <si>
    <t>مانده دفتر در برابر مانده صورت‌حساب بانک</t>
  </si>
  <si>
    <t>خلاصه ماهانه</t>
  </si>
  <si>
    <t>دریافت و پرداخت هر ماه به تفکیک بانک</t>
  </si>
  <si>
    <t>این فایل داده‌ای وارد نمی‌کند؛ همه سطرها از «ثبت روزانه» خوانده می‌شود. اگر اعداد صفر بود: Data ← Edit Links ← Update Values.</t>
  </si>
  <si>
    <t>تراکنش‌های بانکی</t>
  </si>
  <si>
    <t>کپی زنده از شیت پرداخت در ثبت روزانه  ·  دست نزنید؛ در ثبت ویرایش کنید</t>
  </si>
  <si>
    <t>راهنما</t>
  </si>
  <si>
    <t>ورود دستی</t>
  </si>
  <si>
    <t>خودکار</t>
  </si>
  <si>
    <t>ورود</t>
  </si>
  <si>
    <t>خروج</t>
  </si>
  <si>
    <t>هشدار</t>
  </si>
  <si>
    <t>ستون‌های زرد = ورود شما  |  ستون‌های خاکستری = محاسبه خودکار  |  روی سرستون‌ها بایستید تا راهنما باز شود</t>
  </si>
  <si>
    <t>دریافت</t>
  </si>
  <si>
    <t>پرداخت</t>
  </si>
  <si>
    <t>مانده</t>
  </si>
  <si>
    <t>چک باز</t>
  </si>
  <si>
    <t>تعداد</t>
  </si>
  <si>
    <t>تاریخ</t>
  </si>
  <si>
    <t>Date</t>
  </si>
  <si>
    <t>سند</t>
  </si>
  <si>
    <t>Doc</t>
  </si>
  <si>
    <t>نوع</t>
  </si>
  <si>
    <t>Type</t>
  </si>
  <si>
    <t>روش</t>
  </si>
  <si>
    <t>Method</t>
  </si>
  <si>
    <t>کد حساب</t>
  </si>
  <si>
    <t>Account</t>
  </si>
  <si>
    <t>نام حساب</t>
  </si>
  <si>
    <t>Name</t>
  </si>
  <si>
    <t>گروه</t>
  </si>
  <si>
    <t>Group</t>
  </si>
  <si>
    <t>بانک</t>
  </si>
  <si>
    <t>Bank</t>
  </si>
  <si>
    <t>شماره چک</t>
  </si>
  <si>
    <t>Cheque</t>
  </si>
  <si>
    <t>مبلغ</t>
  </si>
  <si>
    <t>Amount</t>
  </si>
  <si>
    <t>وضعیت چک</t>
  </si>
  <si>
    <t>Chq status</t>
  </si>
  <si>
    <t>سررسید</t>
  </si>
  <si>
    <t>Due</t>
  </si>
  <si>
    <t>In</t>
  </si>
  <si>
    <t>Out</t>
  </si>
  <si>
    <t>شرح</t>
  </si>
  <si>
    <t>Notes</t>
  </si>
  <si>
    <t>منبع</t>
  </si>
  <si>
    <t>Source</t>
  </si>
  <si>
    <t>روش و طرف</t>
  </si>
  <si>
    <t>بانک و چک</t>
  </si>
  <si>
    <t>مبلغ و وضعیت</t>
  </si>
  <si>
    <t>دریافت / پرداخت</t>
  </si>
  <si>
    <t>پیگیری چک‌ها</t>
  </si>
  <si>
    <t>هر سطر یک چک  ·  وضعیت را در ثبت روزانه تغییر دهید (در جریان / پاس شده / برگشتی)</t>
  </si>
  <si>
    <t>تعداد چک</t>
  </si>
  <si>
    <t>در جریان</t>
  </si>
  <si>
    <t>پاس شده</t>
  </si>
  <si>
    <t>برگشتی</t>
  </si>
  <si>
    <t>مبلغ در جریان</t>
  </si>
  <si>
    <t>طرف حساب</t>
  </si>
  <si>
    <t>Party</t>
  </si>
  <si>
    <t>وضعیت</t>
  </si>
  <si>
    <t>Status</t>
  </si>
  <si>
    <t>چند روز مانده</t>
  </si>
  <si>
    <t>Days</t>
  </si>
  <si>
    <t>Alert</t>
  </si>
  <si>
    <t>مغایرت‌گیری بانکی</t>
  </si>
  <si>
    <t>مانده دفتر (خودکار) را با مانده واقعی صورت‌حساب بانک مقایسه کنید</t>
  </si>
  <si>
    <t>جمع مانده دفتر</t>
  </si>
  <si>
    <t>جمع مانده بانک</t>
  </si>
  <si>
    <t>مغایرت</t>
  </si>
  <si>
    <t>مانده هر بانک  —  ستون «مانده بانک» را از صورت‌حساب وارد کنید؛ مغایرت خودکار حساب می‌شود</t>
  </si>
  <si>
    <t>کد</t>
  </si>
  <si>
    <t>مانده اولیه</t>
  </si>
  <si>
    <t>مانده دفتر</t>
  </si>
  <si>
    <t>مانده بانک (ورود دستی)</t>
  </si>
  <si>
    <t>صادرات ۹۰۰۹ — جاری اصلی</t>
  </si>
  <si>
    <t>BANK01</t>
  </si>
  <si>
    <t>صادرات ۲۰۰۶ — پوز باسکول</t>
  </si>
  <si>
    <t>BANK02</t>
  </si>
  <si>
    <t>ملت</t>
  </si>
  <si>
    <t>BANK03</t>
  </si>
  <si>
    <t>کشاورزی</t>
  </si>
  <si>
    <t>BANK04</t>
  </si>
  <si>
    <t>سپه</t>
  </si>
  <si>
    <t>BANK05</t>
  </si>
  <si>
    <t>مهر ایران</t>
  </si>
  <si>
    <t>BANK06</t>
  </si>
  <si>
    <t>تجارت</t>
  </si>
  <si>
    <t>BANK07</t>
  </si>
  <si>
    <t>پاسارگاد</t>
  </si>
  <si>
    <t>BANK08</t>
  </si>
  <si>
    <t>رفاه</t>
  </si>
  <si>
    <t>BANK09</t>
  </si>
  <si>
    <t>قرض‌الحسنه</t>
  </si>
  <si>
    <t>BANK10</t>
  </si>
  <si>
    <t>خلاصه ماهانه بانک</t>
  </si>
  <si>
    <t>دریافت و پرداخت هر ماه شمسی  ·  بر اساس ماه تاریخ سند</t>
  </si>
  <si>
    <t>ماه</t>
  </si>
  <si>
    <t>مانده ماه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</si>
  <si>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</si>
  <si>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</si>
  <si>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</si>
  <si>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</si>
  <si>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</si>
  <si>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</si>
  <si>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</si>
  <si>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</si>
  <si>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</si>
  <si>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</si>
  <si>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</si>
  <si>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</si>
  <si>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داده‌های ثابت — کپی کامل از 00_Master.xlsx (بدون وابستگی)</t>
  </si>
  <si>
    <t>این شیت فقط نمایش است و قفل شده. همه کشوها و فرمول‌ها از همین‌جا می‌خوانند؛ برای تغییر، 00_Master.xlsx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این فایل از ثبت روزانه می‌خواند.</t>
  </si>
  <si>
    <t>MAZANDASHT · INFO MASTER DATA (READ ONLY)</t>
  </si>
  <si>
    <t>حساب‌ها — کد، نام، گروه، زیرگروه، نوع و مانده اولیه</t>
  </si>
  <si>
    <t>ACCOUNTS</t>
  </si>
  <si>
    <t>C001</t>
  </si>
  <si>
    <t>زینب زاهدی</t>
  </si>
  <si>
    <t>باغدار</t>
  </si>
  <si>
    <t>عمده</t>
  </si>
  <si>
    <t>C002</t>
  </si>
  <si>
    <t>سید عباس موسوی</t>
  </si>
  <si>
    <t>صادراتی</t>
  </si>
  <si>
    <t>C003</t>
  </si>
  <si>
    <t>حاج احمد عیسی پور</t>
  </si>
  <si>
    <t>خرده‌فروش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</si>
  <si>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</si>
  <si>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</si>
  <si>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</si>
  <si>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</si>
  <si>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</si>
  <si>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</si>
  <si>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</si>
  <si>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</si>
  <si>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</si>
  <si>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</si>
  <si>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</si>
  <si>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</si>
  <si>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</si>
  <si>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</si>
  <si>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</si>
  <si>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</si>
  <si>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</si>
  <si>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</si>
  <si>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</si>
  <si>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</si>
  <si>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</si>
  <si>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</si>
  <si>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</si>
  <si>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</si>
  <si>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</si>
  <si>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</si>
  <si>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</si>
  <si>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</si>
  <si>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</si>
  <si>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</si>
  <si>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</si>
  <si>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</si>
  <si>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</si>
  <si>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</si>
  <si>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</si>
  <si>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</si>
  <si>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</si>
  <si>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</si>
  <si>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</si>
  <si>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</si>
  <si>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</si>
  <si>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</si>
  <si>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</si>
  <si>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</si>
  <si>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</si>
  <si>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</si>
  <si>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</si>
  <si>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</si>
  <si>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</si>
  <si>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</si>
  <si>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</si>
  <si>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</si>
  <si>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</si>
  <si>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</si>
  <si>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</si>
  <si>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</si>
  <si>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</si>
  <si>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</si>
  <si>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</si>
  <si>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</si>
  <si>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</si>
  <si>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</si>
  <si>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</si>
  <si>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</si>
  <si>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</si>
  <si>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</si>
  <si>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</si>
  <si>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</si>
  <si>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</si>
  <si>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</si>
  <si>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</si>
  <si>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</si>
  <si>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</si>
  <si>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</si>
  <si>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</si>
  <si>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</si>
  <si>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</si>
  <si>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</si>
  <si>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</si>
  <si>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</si>
  <si>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</si>
  <si>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</si>
  <si>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</si>
  <si>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</si>
  <si>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</si>
  <si>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</si>
  <si>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</si>
  <si>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</si>
  <si>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</si>
  <si>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</si>
  <si>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</si>
  <si>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</si>
  <si>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</si>
  <si>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</si>
  <si>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</si>
  <si>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</si>
  <si>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</si>
  <si>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</si>
  <si>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</si>
  <si>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</si>
  <si>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</si>
  <si>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</si>
  <si>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</si>
  <si>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</si>
  <si>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</si>
  <si>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</si>
  <si>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</si>
  <si>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</si>
  <si>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SL001</t>
  </si>
  <si>
    <t>قم — سید حسین حسینی</t>
  </si>
  <si>
    <t>بارفروش</t>
  </si>
  <si>
    <t>میدان بار شهرستان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</si>
  <si>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</si>
  <si>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</si>
  <si>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</si>
  <si>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</si>
  <si>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</si>
  <si>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</si>
  <si>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</si>
  <si>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</si>
  <si>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S001</t>
  </si>
  <si>
    <t>حسن کوچک‌زاده</t>
  </si>
  <si>
    <t>فروشنده سبد</t>
  </si>
  <si>
    <t>سبد پلاستیکی</t>
  </si>
  <si>
    <t>S002</t>
  </si>
  <si>
    <t>سید محمد موسویان</t>
  </si>
  <si>
    <t>S003</t>
  </si>
  <si>
    <t>سید ربیع موسویان</t>
  </si>
  <si>
    <t>E001</t>
  </si>
  <si>
    <t>قاسم زاهدی تیر</t>
  </si>
  <si>
    <t>کارمند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</si>
  <si>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</si>
  <si>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</si>
  <si>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</si>
  <si>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</si>
  <si>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</si>
  <si>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</si>
  <si>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</si>
  <si>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</si>
  <si>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</si>
  <si>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</si>
  <si>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</si>
  <si>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</si>
  <si>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</si>
  <si>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</si>
  <si>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</si>
  <si>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</si>
  <si>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</si>
  <si>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</si>
  <si>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سایر حساب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</si>
  <si>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</si>
  <si>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</si>
  <si>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</si>
  <si>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</si>
  <si>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</si>
  <si>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</si>
  <si>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</si>
  <si>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</si>
  <si>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</si>
  <si>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</si>
  <si>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</si>
  <si>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</si>
  <si>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موجودی سبد و ظروف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</si>
  <si>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</si>
  <si>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</si>
  <si>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</si>
  <si>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</si>
  <si>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</si>
  <si>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</si>
  <si>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</si>
  <si>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</si>
  <si>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</si>
  <si>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</si>
  <si>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</si>
  <si>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</si>
  <si>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</si>
  <si>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</si>
  <si>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</si>
  <si>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حساب واسط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</si>
  <si>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</si>
  <si>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</si>
  <si>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</si>
  <si>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</si>
  <si>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</si>
  <si>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</si>
  <si>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</si>
  <si>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</si>
  <si>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</si>
  <si>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</si>
  <si>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</si>
  <si>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</si>
  <si>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</si>
  <si>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</si>
  <si>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</si>
  <si>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</si>
  <si>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</si>
  <si>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</si>
  <si>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</si>
  <si>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</si>
  <si>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</si>
  <si>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دارایی ثابت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</si>
  <si>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</si>
  <si>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</si>
  <si>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</si>
  <si>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</si>
  <si>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</si>
  <si>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</si>
  <si>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</si>
  <si>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</si>
  <si>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</si>
  <si>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و تسهیلات</t>
  </si>
  <si>
    <t>وام بانکی</t>
  </si>
  <si>
    <t>CAP001</t>
  </si>
  <si>
    <t>سرمایه و آورده صاحبان (نمونه)</t>
  </si>
  <si>
    <t>سرمایه و آورده صاحبان</t>
  </si>
  <si>
    <t>سرمایه اولیه</t>
  </si>
  <si>
    <t>BD001</t>
  </si>
  <si>
    <t>باسکول میدان بار (نمونه)</t>
  </si>
  <si>
    <t>باسکول دیگران</t>
  </si>
  <si>
    <t>باسکول محلی</t>
  </si>
  <si>
    <t>BN01</t>
  </si>
  <si>
    <t>بانک و صندوق</t>
  </si>
  <si>
    <t>حساب‌های بانکی</t>
  </si>
  <si>
    <t>BN02</t>
  </si>
  <si>
    <t>BN03</t>
  </si>
  <si>
    <t>بانک ملت</t>
  </si>
  <si>
    <t>BN04</t>
  </si>
  <si>
    <t>بانک کشاورزی</t>
  </si>
  <si>
    <t>BN05</t>
  </si>
  <si>
    <t>بانک سپه</t>
  </si>
  <si>
    <t>BN06</t>
  </si>
  <si>
    <t>بانک مهر ایران</t>
  </si>
  <si>
    <t>BN07</t>
  </si>
  <si>
    <t>بانک تجارت</t>
  </si>
  <si>
    <t>BN08</t>
  </si>
  <si>
    <t>بانک پاسارگاد</t>
  </si>
  <si>
    <t>BN09</t>
  </si>
  <si>
    <t>بانک رفاه</t>
  </si>
  <si>
    <t>BN10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</si>
  <si>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</si>
  <si>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</si>
  <si>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</si>
  <si>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</si>
  <si>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</si>
  <si>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</si>
  <si>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</si>
  <si>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</si>
  <si>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</si>
  <si>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</si>
  <si>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</si>
  <si>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</si>
  <si>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</si>
  <si>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</si>
  <si>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</si>
  <si>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</si>
  <si>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</si>
  <si>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</si>
  <si>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</si>
  <si>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</si>
  <si>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</si>
  <si>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</si>
  <si>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</si>
  <si>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</si>
  <si>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</si>
  <si>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</si>
  <si>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</si>
  <si>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</si>
  <si>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</si>
  <si>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</si>
  <si>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</si>
  <si>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</si>
  <si>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</si>
  <si>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</si>
  <si>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</si>
  <si>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</si>
  <si>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</si>
  <si>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</si>
  <si>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</si>
  <si>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</si>
  <si>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</si>
  <si>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</si>
  <si>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</si>
  <si>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</si>
  <si>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</si>
  <si>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</si>
  <si>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</si>
  <si>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</si>
  <si>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</si>
  <si>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</si>
  <si>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</si>
  <si>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</si>
  <si>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</si>
  <si>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</si>
  <si>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</si>
  <si>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</si>
  <si>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</si>
  <si>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</si>
  <si>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</si>
  <si>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</si>
  <si>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</si>
  <si>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</si>
  <si>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</si>
  <si>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</si>
  <si>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</si>
  <si>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</si>
  <si>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</si>
  <si>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</si>
  <si>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</si>
  <si>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</si>
  <si>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</si>
  <si>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</si>
  <si>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</si>
  <si>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</si>
  <si>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</si>
  <si>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</si>
  <si>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</si>
  <si>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</si>
  <si>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</si>
  <si>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</si>
  <si>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</si>
  <si>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</si>
  <si>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</si>
  <si>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</si>
  <si>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</si>
  <si>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</si>
  <si>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</si>
  <si>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</si>
  <si>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</si>
  <si>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</si>
  <si>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</si>
  <si>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</si>
  <si>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</si>
  <si>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</si>
  <si>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</si>
  <si>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</si>
  <si>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</si>
  <si>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</si>
  <si>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</si>
  <si>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</si>
  <si>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</si>
  <si>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</si>
  <si>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</si>
  <si>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</si>
  <si>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</si>
  <si>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</si>
  <si>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</si>
  <si>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</si>
  <si>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</si>
  <si>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</si>
  <si>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</si>
  <si>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</si>
  <si>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</si>
  <si>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</si>
  <si>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</si>
  <si>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</si>
  <si>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</si>
  <si>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</si>
  <si>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</si>
  <si>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</si>
  <si>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</si>
  <si>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</si>
  <si>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</si>
  <si>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</si>
  <si>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</si>
  <si>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</si>
  <si>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</si>
  <si>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</si>
  <si>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</si>
  <si>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</si>
  <si>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</si>
  <si>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</si>
  <si>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</si>
  <si>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</si>
  <si>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</si>
  <si>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</si>
  <si>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</si>
  <si>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</si>
  <si>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</si>
  <si>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</si>
  <si>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</si>
  <si>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</si>
  <si>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</si>
  <si>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</si>
  <si>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</si>
  <si>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 مرکبات</t>
  </si>
  <si>
    <t>خرید</t>
  </si>
  <si>
    <t>بله</t>
  </si>
  <si>
    <t>وزن</t>
  </si>
  <si>
    <t>بستانکار</t>
  </si>
  <si>
    <t>بدهکار</t>
  </si>
  <si>
    <t>افزودن</t>
  </si>
  <si>
    <t>—</t>
  </si>
  <si>
    <t>فروش بار (بارفروش)</t>
  </si>
  <si>
    <t>فروش</t>
  </si>
  <si>
    <t>پوز</t>
  </si>
  <si>
    <t>فروش متفرقه / صادراتی</t>
  </si>
  <si>
    <t>آبگیری</t>
  </si>
  <si>
    <t>هیچ</t>
  </si>
  <si>
    <t>انعام</t>
  </si>
  <si>
    <t>خیر</t>
  </si>
  <si>
    <t>درآمد پوز باسکول (بدون طرف)</t>
  </si>
  <si>
    <t>مرجوعی خرید</t>
  </si>
  <si>
    <t>مرجوعی فروش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</si>
  <si>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</si>
  <si>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</si>
  <si>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</si>
  <si>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</si>
  <si>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</si>
  <si>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</si>
  <si>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</si>
  <si>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خرید سبد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</si>
  <si>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</si>
  <si>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</si>
  <si>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</si>
  <si>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</si>
  <si>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</si>
  <si>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 – ۶ک مشکی</t>
  </si>
  <si>
    <t>BK01</t>
  </si>
  <si>
    <t>۶ک مشکی</t>
  </si>
  <si>
    <t>BK02 – درب‌۶ک</t>
  </si>
  <si>
    <t>BK02</t>
  </si>
  <si>
    <t>درب‌۶ک</t>
  </si>
  <si>
    <t>BK03 – ۹ک مشکی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</si>
  <si>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</si>
  <si>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</si>
  <si>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</si>
  <si>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</si>
  <si>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</si>
  <si>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</si>
  <si>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</si>
  <si>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</si>
  <si>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</si>
  <si>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</si>
  <si>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</si>
  <si>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</si>
  <si>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</si>
  <si>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</si>
  <si>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</si>
  <si>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</si>
  <si>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</si>
  <si>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</si>
  <si>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</si>
  <si>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</si>
  <si>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</si>
  <si>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</si>
  <si>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</si>
  <si>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</si>
  <si>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</si>
  <si>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</si>
  <si>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 تامسون</t>
  </si>
  <si>
    <t>پرتقال</t>
  </si>
  <si>
    <t>پرتقال خونی</t>
  </si>
  <si>
    <t>پرتقال کاراکارا</t>
  </si>
  <si>
    <t>پرتقال بیروتی</t>
  </si>
  <si>
    <t>پرتقال یافا</t>
  </si>
  <si>
    <t>نارنگی پیچ</t>
  </si>
  <si>
    <t>نارنگی</t>
  </si>
  <si>
    <t>نارنگی ژاپنی</t>
  </si>
  <si>
    <t>نارنگی اونشو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</si>
  <si>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</si>
  <si>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</si>
  <si>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</si>
  <si>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</si>
  <si>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</si>
  <si>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</si>
  <si>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</si>
  <si>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</si>
  <si>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</si>
  <si>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</si>
  <si>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</si>
  <si>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</si>
  <si>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</si>
  <si>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</si>
  <si>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</si>
  <si>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</si>
  <si>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</si>
  <si>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</si>
  <si>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</si>
  <si>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</si>
  <si>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</si>
  <si>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</si>
  <si>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</si>
  <si>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</si>
  <si>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</si>
  <si>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</si>
  <si>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</si>
  <si>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</si>
  <si>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</si>
  <si>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</si>
  <si>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</si>
  <si>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</si>
  <si>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</si>
  <si>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</si>
  <si>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</si>
  <si>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</si>
  <si>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</si>
  <si>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</si>
  <si>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تأمین‌کننده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</si>
  <si>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</si>
  <si>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</si>
  <si>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</si>
  <si>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</si>
  <si>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</si>
  <si>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</si>
  <si>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</si>
  <si>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</si>
  <si>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</si>
  <si>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</si>
  <si>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</si>
  <si>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</si>
  <si>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</si>
  <si>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</si>
  <si>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</si>
  <si>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سبد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</si>
  <si>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</si>
  <si>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</si>
  <si>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</si>
  <si>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</si>
  <si>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</si>
  <si>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</si>
  <si>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</si>
  <si>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</si>
  <si>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</si>
  <si>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باطل</t>
  </si>
  <si>
    <t>☑</t>
  </si>
  <si>
    <t>☐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</si>
  <si>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</si>
  <si>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</si>
  <si>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</si>
  <si>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</si>
  <si>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</si>
  <si>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</si>
  <si>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</si>
  <si>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</si>
  <si>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</si>
  <si>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</si>
  <si>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</si>
  <si>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</si>
  <si>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</si>
  <si>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</si>
  <si>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</si>
  <si>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</si>
  <si>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</si>
  <si>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</si>
  <si>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</si>
  <si>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</si>
  <si>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</si>
  <si>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</si>
  <si>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</si>
  <si>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</si>
  <si>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</si>
  <si>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راهنمای فایل بانک</t>
  </si>
  <si>
    <t>همه چیز درباره گردش بانکی و چک‌ها</t>
  </si>
  <si>
    <t>•</t>
  </si>
  <si>
    <t>این فایل چه می‌کند؟</t>
  </si>
  <si>
    <t>فایل بانک هیچ داده‌ای وارد نمی‌کند. همه تراکنش‌ها و چک‌ها را از فایل «ثبت روزانه» می‌خواند و آن‌ها را به شکل بانکی مرتب می‌کند: دریافت، پرداخت، انتقال بین بانک‌ها، چک در جریان و چک پاس‌شده.</t>
  </si>
  <si>
    <t>چرا اعداد صفر است؟</t>
  </si>
  <si>
    <t>چون این فایل به 01_Entry.xlsx لینک است. وقتی فایل را باز کردید و پیام «به‌روزرسانی پیوندها» آمد، گزینه Update را بزنید. اگر پیام نیامد: Data ← Edit Links ← Update Values. همه فایل‌ها باید در یک پوشه باشند.</t>
  </si>
  <si>
    <t>شیت‌ها</t>
  </si>
  <si>
    <t>تراکنش‌ها: کپی زنده از ثبت. چک‌ها: فقط چک‌ها با وضعیت و سررسید. مغایرت‌گیری: مانده دفتر با مانده صورت‌حساب بانک مقایسه می‌شود. خلاصه: جمع ماهانه.</t>
  </si>
  <si>
    <t>«در جریان» یعنی چک صادر یا دریافت شده و هنوز پاس نشده. وقتی در ثبت روزانه ردیف «پاس چک» ثبت کنید، وضعیت همان شماره چک را «پاس شده» بگذارید. برای برگشت، «برگشتی».</t>
  </si>
  <si>
    <t>قاعده انتقال داخلی</t>
  </si>
  <si>
    <t>انتقال بین دو بانک خودمان در گزارش دریافت/پرداخت شمرده نمی‌شود تا جمع بانک‌ها دو برابر نشود؛ فقط در شیت مغایرت‌گیری هر دو بانک با هم دیده می‌شوند.</t>
  </si>
  <si>
    <t>برای تغییر داده‌ها همیشه به فایل ثبت روزانه برگردید.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</si>
</sst>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51">
    <font>
      <sz val="11"/>
      <color theme="1"/>
      <name val="Calibri"/>
      <family val="2"/>
      <scheme val="minor"/>
    </font>
    <font>
      <b/>
      <sz val="10"/>
      <color rgb="FF14453D"/>
      <name val="B Nazanin"/>
      <family val="2"/>
    </font>
    <font>
      <b/>
      <sz val="7"/>
      <color rgb="FFC89B3C"/>
      <name val="Tahoma"/>
      <family val="2"/>
    </font>
    <font>
      <b/>
      <sz val="19"/>
      <color rgb="FF14453D"/>
      <name val="B Nazanin"/>
      <family val="2"/>
    </font>
    <font>
      <sz val="10.5"/>
      <color rgb="FF6B7A76"/>
      <name val="B Nazanin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b/>
      <sz val="10"/>
      <color rgb="FFFFFFFF"/>
      <name val="B Nazanin"/>
      <family val="2"/>
    </font>
    <font>
      <b/>
      <sz val="13"/>
      <color rgb="FF14453D"/>
      <name val="Tahoma"/>
      <family val="2"/>
    </font>
    <font>
      <b/>
      <sz val="13"/>
      <color rgb="FF2E6B4F"/>
      <name val="Tahoma"/>
      <family val="2"/>
    </font>
    <font>
      <b/>
      <sz val="13"/>
      <color rgb="FFB4452F"/>
      <name val="Tahoma"/>
      <family val="2"/>
    </font>
    <font>
      <b/>
      <sz val="13"/>
      <color rgb="FFC89B3C"/>
      <name val="Tahoma"/>
      <family val="2"/>
    </font>
    <font>
      <b/>
      <sz val="13"/>
      <color rgb="FFE0A458"/>
      <name val="Tahoma"/>
      <family val="2"/>
    </font>
    <font>
      <b/>
      <sz val="13"/>
      <color rgb="FF7FA99B"/>
      <name val="Tahoma"/>
      <family val="2"/>
    </font>
    <font>
      <b/>
      <sz val="11"/>
      <color rgb="FFFFFFFF"/>
      <name val="B Nazanin"/>
      <family val="2"/>
    </font>
    <font>
      <sz val="7.5"/>
      <color rgb="FF6B7A76"/>
      <name val="Tahoma"/>
      <family val="2"/>
    </font>
    <font>
      <sz val="9.5"/>
      <color rgb="FF6B7A76"/>
      <name val="B Nazanin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sz val="7.5"/>
      <color rgb="FFB4452F"/>
      <name val="Tahoma"/>
      <family val="2"/>
    </font>
    <font>
      <sz val="10"/>
      <color rgb="FF6B7A76"/>
      <name val="B Nazanin"/>
      <family val="2"/>
    </font>
    <font>
      <b/>
      <sz val="7.5"/>
      <color rgb="FF6B7A76"/>
      <name val="Tahoma"/>
      <family val="2"/>
    </font>
    <font>
      <b/>
      <sz val="17"/>
      <color rgb="FF2E6B4F"/>
      <name val="B Nazanin"/>
      <family val="2"/>
    </font>
    <font>
      <b/>
      <sz val="17"/>
      <color rgb="FFB4452F"/>
      <name val="B Nazanin"/>
      <family val="2"/>
    </font>
    <font>
      <b/>
      <sz val="17"/>
      <color rgb="FFC89B3C"/>
      <name val="B Nazanin"/>
      <family val="2"/>
    </font>
    <font>
      <b/>
      <sz val="17"/>
      <color rgb="FFE0A458"/>
      <name val="B Nazanin"/>
      <family val="2"/>
    </font>
    <font>
      <b/>
      <sz val="17"/>
      <color rgb="FF14453D"/>
      <name val="B Nazanin"/>
      <family val="2"/>
    </font>
    <font>
      <b/>
      <sz val="8"/>
      <color rgb="FF14453D"/>
      <name val="Tahoma"/>
      <family val="2"/>
    </font>
    <font>
      <i/>
      <sz val="6.5"/>
      <color rgb="FFCFE0D8"/>
      <name val="Tahoma"/>
      <family val="2"/>
    </font>
    <font>
      <sz val="8.5"/>
      <color theme="1"/>
      <name val="Tahoma"/>
      <family val="2"/>
    </font>
    <font>
      <sz val="9"/>
      <color theme="1"/>
      <name val="B Nazanin"/>
      <family val="2"/>
    </font>
    <font>
      <sz val="9"/>
      <color theme="1"/>
      <name val="Tahoma"/>
      <family val="2"/>
    </font>
    <font>
      <sz val="9"/>
      <color rgb="FF3A3327"/>
      <name val="Tahoma"/>
      <family val="2"/>
    </font>
    <font>
      <b/>
      <sz val="17"/>
      <color rgb="FFC4623F"/>
      <name val="B Nazanin"/>
      <family val="2"/>
    </font>
    <font>
      <b/>
      <sz val="9"/>
      <color rgb="FFFFFFFF"/>
      <name val="B Nazanin"/>
      <family val="2"/>
    </font>
    <font>
      <sz val="10"/>
      <color theme="1"/>
      <name val="B Nazanin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9"/>
      <color rgb="FF14453D"/>
      <name val="Tahoma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sz val="10"/>
      <color rgb="FF1E2A2B"/>
      <name val="B Nazanin"/>
      <family val="2"/>
    </font>
    <font>
      <sz val="8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14453D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B4452F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DCE9E2"/>
        <bgColor indexed="64"/>
      </patternFill>
    </fill>
    <fill>
      <patternFill patternType="solid">
        <fgColor rgb="FFF0EBF7"/>
        <bgColor indexed="64"/>
      </patternFill>
    </fill>
    <fill>
      <patternFill patternType="solid">
        <fgColor rgb="FFF3EA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FCFAF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C89B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medium">
        <color rgb="FFC89B3C"/>
      </bottom>
      <diagonal/>
    </border>
    <border>
      <left style="thin">
        <color rgb="FFEBD9AE"/>
      </left>
      <right style="thin">
        <color rgb="FFEBD9AE"/>
      </right>
      <top style="thin">
        <color rgb="FFEBD9AE"/>
      </top>
      <bottom style="thin">
        <color rgb="FFEBD9AE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right" vertical="center"/>
    </xf>
    <xf numFmtId="164" fontId="8" fillId="7" borderId="0" xfId="0" applyNumberFormat="1" applyFont="1" applyFill="1" applyAlignment="1">
      <alignment horizontal="center" vertical="center"/>
    </xf>
    <xf numFmtId="0" fontId="0" fillId="7" borderId="3" xfId="0" applyFill="1" applyBorder="1"/>
    <xf numFmtId="164" fontId="9" fillId="7" borderId="0" xfId="0" applyNumberFormat="1" applyFont="1" applyFill="1" applyAlignment="1">
      <alignment horizontal="center" vertical="center"/>
    </xf>
    <xf numFmtId="164" fontId="10" fillId="7" borderId="0" xfId="0" applyNumberFormat="1" applyFont="1" applyFill="1" applyAlignment="1">
      <alignment horizontal="center" vertical="center"/>
    </xf>
    <xf numFmtId="0" fontId="7" fillId="2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right" vertical="center"/>
    </xf>
    <xf numFmtId="164" fontId="11" fillId="7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center" vertical="center"/>
    </xf>
    <xf numFmtId="164" fontId="13" fillId="7" borderId="0" xfId="0" applyNumberFormat="1" applyFont="1" applyFill="1" applyAlignment="1">
      <alignment horizontal="center" vertical="center"/>
    </xf>
    <xf numFmtId="0" fontId="14" fillId="4" borderId="4" xfId="0" applyFont="1" applyFill="1" applyBorder="1" applyAlignment="1">
      <alignment horizontal="right" vertical="center"/>
    </xf>
    <xf numFmtId="0" fontId="14" fillId="4" borderId="5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 vertical="center"/>
    </xf>
    <xf numFmtId="0" fontId="14" fillId="10" borderId="4" xfId="0" applyFont="1" applyFill="1" applyBorder="1" applyAlignment="1">
      <alignment horizontal="right" vertical="center"/>
    </xf>
    <xf numFmtId="0" fontId="14" fillId="10" borderId="5" xfId="0" applyFont="1" applyFill="1" applyBorder="1" applyAlignment="1">
      <alignment horizontal="right" vertical="center"/>
    </xf>
    <xf numFmtId="0" fontId="14" fillId="9" borderId="4" xfId="0" applyFont="1" applyFill="1" applyBorder="1" applyAlignment="1">
      <alignment horizontal="right" vertical="center"/>
    </xf>
    <xf numFmtId="0" fontId="14" fillId="9" borderId="5" xfId="0" applyFont="1" applyFill="1" applyBorder="1" applyAlignment="1">
      <alignment horizontal="right" vertical="center"/>
    </xf>
    <xf numFmtId="0" fontId="15" fillId="7" borderId="3" xfId="0" applyFont="1" applyFill="1" applyBorder="1" applyAlignment="1">
      <alignment horizontal="right" vertical="top" wrapText="1"/>
    </xf>
    <xf numFmtId="0" fontId="16" fillId="11" borderId="6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top" wrapText="1"/>
    </xf>
    <xf numFmtId="0" fontId="21" fillId="4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5" fillId="15" borderId="4" xfId="0" applyFont="1" applyFill="1" applyBorder="1" applyAlignment="1">
      <alignment horizontal="center" vertical="center"/>
    </xf>
    <xf numFmtId="0" fontId="26" fillId="16" borderId="4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8" fillId="3" borderId="7" xfId="0" applyFont="1" applyFill="1" applyBorder="1" applyAlignment="1">
      <alignment horizontal="center" vertical="center"/>
    </xf>
    <xf numFmtId="164" fontId="29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164" fontId="31" fillId="7" borderId="3" xfId="0" applyNumberFormat="1" applyFont="1" applyFill="1" applyBorder="1" applyAlignment="1">
      <alignment horizontal="center" vertical="center"/>
    </xf>
    <xf numFmtId="164" fontId="32" fillId="7" borderId="3" xfId="0" applyNumberFormat="1" applyFont="1" applyFill="1" applyBorder="1" applyAlignment="1">
      <alignment horizontal="center" vertical="center"/>
    </xf>
    <xf numFmtId="164" fontId="33" fillId="7" borderId="3" xfId="0" applyNumberFormat="1" applyFont="1" applyFill="1" applyBorder="1" applyAlignment="1">
      <alignment horizontal="center" vertical="center"/>
    </xf>
    <xf numFmtId="0" fontId="34" fillId="17" borderId="4" xfId="0" applyFont="1" applyFill="1" applyBorder="1" applyAlignment="1">
      <alignment horizontal="center" vertical="center"/>
    </xf>
    <xf numFmtId="0" fontId="34" fillId="15" borderId="4" xfId="0" applyFont="1" applyFill="1" applyBorder="1" applyAlignment="1">
      <alignment horizontal="center" vertical="center"/>
    </xf>
    <xf numFmtId="0" fontId="34" fillId="18" borderId="4" xfId="0" applyFont="1" applyFill="1" applyBorder="1" applyAlignment="1">
      <alignment horizontal="center" vertical="center"/>
    </xf>
    <xf numFmtId="0" fontId="34" fillId="19" borderId="4" xfId="0" applyFont="1" applyFill="1" applyBorder="1" applyAlignment="1">
      <alignment horizontal="center" vertical="center"/>
    </xf>
    <xf numFmtId="0" fontId="34" fillId="14" borderId="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0" fontId="37" fillId="20" borderId="6" xfId="0" applyFont="1" applyFill="1" applyBorder="1" applyAlignment="1">
      <alignment horizontal="right" vertical="center"/>
    </xf>
    <xf numFmtId="164" fontId="38" fillId="20" borderId="6" xfId="0" applyNumberFormat="1" applyFont="1" applyFill="1" applyBorder="1" applyAlignment="1">
      <alignment horizontal="center" vertical="center"/>
    </xf>
    <xf numFmtId="164" fontId="39" fillId="12" borderId="10" xfId="0" applyNumberFormat="1" applyFont="1" applyFill="1" applyBorder="1" applyAlignment="1">
      <alignment horizontal="center" vertical="center" wrapText="1"/>
    </xf>
    <xf numFmtId="164" fontId="40" fillId="7" borderId="3" xfId="0" applyNumberFormat="1" applyFont="1" applyFill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right" vertical="center"/>
    </xf>
    <xf numFmtId="164" fontId="43" fillId="7" borderId="6" xfId="0" applyNumberFormat="1" applyFont="1" applyFill="1" applyBorder="1" applyAlignment="1">
      <alignment horizontal="center" vertical="center"/>
    </xf>
    <xf numFmtId="164" fontId="43" fillId="0" borderId="6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41" fillId="4" borderId="4" xfId="0" applyFont="1" applyFill="1" applyBorder="1" applyAlignment="1">
      <alignment horizontal="center" vertical="center"/>
    </xf>
    <xf numFmtId="0" fontId="41" fillId="10" borderId="4" xfId="0" applyFont="1" applyFill="1" applyBorder="1" applyAlignment="1">
      <alignment horizontal="center" vertical="center"/>
    </xf>
    <xf numFmtId="0" fontId="41" fillId="21" borderId="4" xfId="0" applyFont="1" applyFill="1" applyBorder="1" applyAlignment="1">
      <alignment horizontal="center" vertical="center"/>
    </xf>
    <xf numFmtId="0" fontId="41" fillId="8" borderId="4" xfId="0" applyFont="1" applyFill="1" applyBorder="1" applyAlignment="1">
      <alignment horizontal="center" vertical="center"/>
    </xf>
    <xf numFmtId="0" fontId="41" fillId="5" borderId="4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  <xf numFmtId="0" fontId="41" fillId="9" borderId="4" xfId="0" applyFont="1" applyFill="1" applyBorder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0" fontId="48" fillId="20" borderId="6" xfId="0" applyFont="1" applyFill="1" applyBorder="1" applyAlignment="1">
      <alignment horizontal="center" vertical="center"/>
    </xf>
    <xf numFmtId="164" fontId="36" fillId="20" borderId="6" xfId="0" applyNumberFormat="1" applyFont="1" applyFill="1" applyBorder="1" applyAlignment="1">
      <alignment horizontal="center" vertical="center"/>
    </xf>
    <xf numFmtId="0" fontId="48" fillId="22" borderId="11" xfId="0" applyFont="1" applyFill="1" applyBorder="1" applyAlignment="1">
      <alignment horizontal="center" vertical="center"/>
    </xf>
    <xf numFmtId="0" fontId="0" fillId="7" borderId="0" xfId="0" applyFill="1"/>
    <xf numFmtId="0" fontId="0" fillId="2" borderId="0" xfId="0" applyFill="1"/>
    <xf numFmtId="0" fontId="0" fillId="20" borderId="0" xfId="0" applyFill="1"/>
    <xf numFmtId="0" fontId="49" fillId="20" borderId="12" xfId="0" applyFont="1" applyFill="1" applyBorder="1" applyAlignment="1">
      <alignment horizontal="right" vertical="center" wrapText="1"/>
    </xf>
  </cellXfs>
  <cellStyles count="1">
    <cellStyle name="Normal" xfId="0" builtinId="0"/>
  </cellStyles>
  <dxfs count="7">
    <dxf>
      <fill>
        <patternFill>
          <bgColor rgb="FFEAF4EC"/>
        </patternFill>
      </fill>
    </dxf>
    <dxf>
      <fill>
        <patternFill>
          <bgColor rgb="FFFBEDE7"/>
        </patternFill>
      </fill>
    </dxf>
    <dxf>
      <fill>
        <patternFill>
          <bgColor rgb="FFF3EADB"/>
        </patternFill>
      </fill>
    </dxf>
    <dxf>
      <fill>
        <patternFill>
          <bgColor rgb="FFEAF1F7"/>
        </patternFill>
      </fill>
    </dxf>
    <dxf>
      <font>
        <color rgb="FFCDC7B8"/>
      </font>
    </dxf>
    <dxf>
      <font>
        <b/>
        <color rgb="FFB4452F"/>
      </font>
      <fill>
        <patternFill>
          <bgColor rgb="FFFBEDE7"/>
        </patternFill>
      </fill>
    </dxf>
    <dxf>
      <font>
        <color rgb="FFB4452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Entr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cale"/>
      <sheetName val="Crate"/>
      <sheetName val="Pay"/>
      <sheetName val="Book"/>
      <sheetName val="Sum"/>
    </sheetNames>
    <sheetDataSet>
      <sheetData sheetId="0"/>
      <sheetData sheetId="1"/>
      <sheetData sheetId="2">
        <row r="10">
          <cell r="B10" t="str">
            <v>1405/07/06</v>
          </cell>
          <cell r="C10" t="str">
            <v>PV-001</v>
          </cell>
          <cell r="D10" t="str">
            <v>پرداخت</v>
          </cell>
          <cell r="E10" t="str">
            <v>نقد</v>
          </cell>
          <cell r="F10" t="str">
            <v>C001</v>
          </cell>
          <cell r="G10" t="str">
            <v>زینب زاهدی</v>
          </cell>
          <cell r="H10" t="str">
            <v>باغدار</v>
          </cell>
          <cell r="I10" t="str">
            <v>empty</v>
          </cell>
          <cell r="K10">
            <v>150000000</v>
          </cell>
          <cell r="L10" t="str">
            <v>empty</v>
          </cell>
          <cell r="P10" t="str">
            <v>علی‌الحساب خرید</v>
          </cell>
        </row>
        <row r="11">
          <cell r="B11" t="str">
            <v>1405/07/06</v>
          </cell>
          <cell r="C11" t="str">
            <v>RV-001</v>
          </cell>
          <cell r="D11" t="str">
            <v>دریافت</v>
          </cell>
          <cell r="E11" t="str">
            <v>انتقال بانکی</v>
          </cell>
          <cell r="F11" t="str">
            <v>SL001</v>
          </cell>
          <cell r="G11" t="str">
            <v>قم — سید حسین حسینی</v>
          </cell>
          <cell r="H11" t="str">
            <v>بارفروش</v>
          </cell>
          <cell r="I11" t="str">
            <v>BANK01</v>
          </cell>
          <cell r="K11">
            <v>300000000</v>
          </cell>
          <cell r="L11" t="str">
            <v>empty</v>
          </cell>
          <cell r="P11" t="str">
            <v>تسویه بار</v>
          </cell>
        </row>
        <row r="12">
          <cell r="B12" t="str">
            <v>1405/07/07</v>
          </cell>
          <cell r="C12" t="str">
            <v>PV-002</v>
          </cell>
          <cell r="D12" t="str">
            <v>پرداخت</v>
          </cell>
          <cell r="E12" t="str">
            <v>چک</v>
          </cell>
          <cell r="F12" t="str">
            <v>C002</v>
          </cell>
          <cell r="G12" t="str">
            <v>سید عباس موسوی</v>
          </cell>
          <cell r="H12" t="str">
            <v>باغدار</v>
          </cell>
          <cell r="I12" t="str">
            <v>BANK01</v>
          </cell>
          <cell r="J12" t="str">
            <v>CHQ-1001</v>
          </cell>
          <cell r="K12">
            <v>200000000</v>
          </cell>
          <cell r="L12" t="str">
            <v>در جریان</v>
          </cell>
          <cell r="P12" t="str">
            <v>چک ۳۰ روزه</v>
          </cell>
        </row>
        <row r="13">
          <cell r="B13" t="str">
            <v>1405/07/08</v>
          </cell>
          <cell r="C13" t="str">
            <v>PV-003</v>
          </cell>
          <cell r="D13" t="str">
            <v>پرداخت</v>
          </cell>
          <cell r="E13" t="str">
            <v>انتقال بانکی</v>
          </cell>
          <cell r="F13" t="str">
            <v>C003</v>
          </cell>
          <cell r="G13" t="str">
            <v>حاج احمد عیسی پور</v>
          </cell>
          <cell r="H13" t="str">
            <v>باغدار</v>
          </cell>
          <cell r="I13" t="str">
            <v>BANK02</v>
          </cell>
          <cell r="K13">
            <v>80000000</v>
          </cell>
          <cell r="L13" t="str">
            <v>empty</v>
          </cell>
          <cell r="P13" t="str">
            <v>empty</v>
          </cell>
        </row>
        <row r="14">
          <cell r="B14" t="str">
            <v>1405/07/09</v>
          </cell>
          <cell r="C14" t="str">
            <v>RV-002</v>
          </cell>
          <cell r="D14" t="str">
            <v>دریافت</v>
          </cell>
          <cell r="E14" t="str">
            <v>کارت/پوز</v>
          </cell>
          <cell r="F14" t="str">
            <v>SL002</v>
          </cell>
          <cell r="G14" t="str">
            <v>مشهد — محمد توکلی</v>
          </cell>
          <cell r="H14" t="str">
            <v>بارفروش</v>
          </cell>
          <cell r="I14" t="str">
            <v>BANK02</v>
          </cell>
          <cell r="K14">
            <v>120000000</v>
          </cell>
          <cell r="L14" t="str">
            <v>empty</v>
          </cell>
          <cell r="P14" t="str">
            <v>empty</v>
          </cell>
        </row>
        <row r="15">
          <cell r="B15" t="str">
            <v>1405/07/10</v>
          </cell>
          <cell r="C15" t="str">
            <v>PV-004</v>
          </cell>
          <cell r="D15" t="str">
            <v>پرداخت</v>
          </cell>
          <cell r="E15" t="str">
            <v>پاس چک</v>
          </cell>
          <cell r="F15" t="str">
            <v>X010</v>
          </cell>
          <cell r="G15" t="str">
            <v>چک‌های پرداختی (در جریان)</v>
          </cell>
          <cell r="H15" t="str">
            <v>سایر حساب</v>
          </cell>
          <cell r="I15" t="str">
            <v>BANK01</v>
          </cell>
          <cell r="J15" t="str">
            <v>CHQ-1001</v>
          </cell>
          <cell r="K15">
            <v>200000000</v>
          </cell>
          <cell r="L15" t="str">
            <v>پاس شده</v>
          </cell>
          <cell r="P15" t="str">
            <v>پاس شدن چک</v>
          </cell>
        </row>
        <row r="16">
          <cell r="B16" t="str">
            <v>1405/07/10</v>
          </cell>
          <cell r="C16" t="str">
            <v>PV-005</v>
          </cell>
          <cell r="D16" t="str">
            <v>پرداخت</v>
          </cell>
          <cell r="E16" t="str">
            <v>نقد</v>
          </cell>
          <cell r="F16" t="str">
            <v>C006</v>
          </cell>
          <cell r="G16" t="str">
            <v>هوشنگ عیسی پور</v>
          </cell>
          <cell r="H16" t="str">
            <v>باغدار</v>
          </cell>
          <cell r="I16" t="str">
            <v>empty</v>
          </cell>
          <cell r="K16">
            <v>30000000</v>
          </cell>
          <cell r="L16" t="str">
            <v>empty</v>
          </cell>
          <cell r="P16" t="str">
            <v>empty</v>
          </cell>
        </row>
        <row r="17">
          <cell r="B17" t="str">
            <v>1405/07/11</v>
          </cell>
          <cell r="C17" t="str">
            <v>RV-003</v>
          </cell>
          <cell r="D17" t="str">
            <v>دریافت</v>
          </cell>
          <cell r="E17" t="str">
            <v>انتقال بانکی</v>
          </cell>
          <cell r="F17" t="str">
            <v>SL001</v>
          </cell>
          <cell r="G17" t="str">
            <v>قم — سید حسین حسینی</v>
          </cell>
          <cell r="H17" t="str">
            <v>بارفروش</v>
          </cell>
          <cell r="I17" t="str">
            <v>BANK02</v>
          </cell>
          <cell r="K17">
            <v>100000000</v>
          </cell>
          <cell r="L17" t="str">
            <v>empty</v>
          </cell>
          <cell r="P17" t="str">
            <v>empty</v>
          </cell>
        </row>
        <row r="18">
          <cell r="B18" t="str">
            <v>1405/07/11</v>
          </cell>
          <cell r="C18" t="str">
            <v>PV-006</v>
          </cell>
          <cell r="D18" t="str">
            <v>پرداخت</v>
          </cell>
          <cell r="E18" t="str">
            <v>نقد</v>
          </cell>
          <cell r="F18" t="str">
            <v>X001</v>
          </cell>
          <cell r="G18" t="str">
            <v>انعام مصطفی</v>
          </cell>
          <cell r="H18" t="str">
            <v>سایر حساب</v>
          </cell>
          <cell r="I18" t="str">
            <v>empty</v>
          </cell>
          <cell r="K18">
            <v>500000</v>
          </cell>
          <cell r="L18" t="str">
            <v>empty</v>
          </cell>
          <cell r="P18" t="str">
            <v>تسویه انعام مصطفی</v>
          </cell>
        </row>
        <row r="19">
          <cell r="B19" t="str">
            <v>1405/07/12</v>
          </cell>
          <cell r="C19" t="str">
            <v>PV-007</v>
          </cell>
          <cell r="D19" t="str">
            <v>پرداخت</v>
          </cell>
          <cell r="E19" t="str">
            <v>انتقال داخلی</v>
          </cell>
          <cell r="F19" t="str">
            <v>BANK02</v>
          </cell>
          <cell r="G19" t="str">
            <v>کد ناشناخته</v>
          </cell>
          <cell r="I19" t="str">
            <v>BANK01</v>
          </cell>
          <cell r="K19">
            <v>50000000</v>
          </cell>
          <cell r="L19" t="str">
            <v>empty</v>
          </cell>
          <cell r="P19" t="str">
            <v>انتقال بین بانکی</v>
          </cell>
        </row>
        <row r="20">
          <cell r="B20" t="str">
            <v>1405/07/07</v>
          </cell>
          <cell r="C20" t="str">
            <v>PV-008</v>
          </cell>
          <cell r="D20" t="str">
            <v>پرداخت</v>
          </cell>
          <cell r="E20" t="str">
            <v>چک</v>
          </cell>
          <cell r="F20" t="str">
            <v>C004</v>
          </cell>
          <cell r="G20" t="str">
            <v>امید زاهدی</v>
          </cell>
          <cell r="H20" t="str">
            <v>باغدار</v>
          </cell>
          <cell r="I20" t="str">
            <v>BANK03</v>
          </cell>
          <cell r="J20" t="str">
            <v>CHQ-1002</v>
          </cell>
          <cell r="K20">
            <v>60000000</v>
          </cell>
          <cell r="L20" t="str">
            <v>در جریان</v>
          </cell>
          <cell r="P20" t="str">
            <v>در جریان</v>
          </cell>
        </row>
        <row r="21">
          <cell r="B21" t="str">
            <v>1405/07/12</v>
          </cell>
          <cell r="C21" t="str">
            <v>RV-004</v>
          </cell>
          <cell r="D21" t="str">
            <v>دریافت</v>
          </cell>
          <cell r="E21" t="str">
            <v>انتقال بانکی</v>
          </cell>
          <cell r="F21" t="str">
            <v>SL002</v>
          </cell>
          <cell r="G21" t="str">
            <v>مشهد — محمد توکلی</v>
          </cell>
          <cell r="H21" t="str">
            <v>بارفروش</v>
          </cell>
          <cell r="I21" t="str">
            <v>BANK01</v>
          </cell>
          <cell r="K21">
            <v>50000000</v>
          </cell>
          <cell r="L21" t="str">
            <v>empty</v>
          </cell>
          <cell r="P21" t="str">
            <v>empty</v>
          </cell>
        </row>
        <row r="22">
          <cell r="B22" t="str">
            <v>empty</v>
          </cell>
          <cell r="C22" t="str">
            <v>empty</v>
          </cell>
          <cell r="D22" t="str">
            <v>empty</v>
          </cell>
          <cell r="E22" t="str">
            <v>empty</v>
          </cell>
          <cell r="F22" t="str">
            <v>empty</v>
          </cell>
          <cell r="I22" t="str">
            <v>empty</v>
          </cell>
          <cell r="K22" t="str">
            <v>empty</v>
          </cell>
          <cell r="L22" t="str">
            <v>empty</v>
          </cell>
          <cell r="P22" t="str">
            <v>empty</v>
          </cell>
        </row>
        <row r="23">
          <cell r="B23" t="str">
            <v>empty</v>
          </cell>
          <cell r="C23" t="str">
            <v>empty</v>
          </cell>
          <cell r="D23" t="str">
            <v>empty</v>
          </cell>
          <cell r="E23" t="str">
            <v>empty</v>
          </cell>
          <cell r="F23" t="str">
            <v>empty</v>
          </cell>
          <cell r="I23" t="str">
            <v>empty</v>
          </cell>
          <cell r="K23" t="str">
            <v>empty</v>
          </cell>
          <cell r="L23" t="str">
            <v>empty</v>
          </cell>
          <cell r="P23" t="str">
            <v>empty</v>
          </cell>
        </row>
        <row r="24">
          <cell r="B24" t="str">
            <v>empty</v>
          </cell>
          <cell r="C24" t="str">
            <v>empty</v>
          </cell>
          <cell r="D24" t="str">
            <v>empty</v>
          </cell>
          <cell r="E24" t="str">
            <v>empty</v>
          </cell>
          <cell r="F24" t="str">
            <v>empty</v>
          </cell>
          <cell r="I24" t="str">
            <v>empty</v>
          </cell>
          <cell r="K24" t="str">
            <v>empty</v>
          </cell>
          <cell r="L24" t="str">
            <v>empty</v>
          </cell>
          <cell r="P24" t="str">
            <v>empty</v>
          </cell>
        </row>
        <row r="25">
          <cell r="B25" t="str">
            <v>empty</v>
          </cell>
          <cell r="C25" t="str">
            <v>empty</v>
          </cell>
          <cell r="D25" t="str">
            <v>empty</v>
          </cell>
          <cell r="E25" t="str">
            <v>empty</v>
          </cell>
          <cell r="F25" t="str">
            <v>empty</v>
          </cell>
          <cell r="I25" t="str">
            <v>empty</v>
          </cell>
          <cell r="K25" t="str">
            <v>empty</v>
          </cell>
          <cell r="L25" t="str">
            <v>empty</v>
          </cell>
          <cell r="P25" t="str">
            <v>empty</v>
          </cell>
        </row>
        <row r="26">
          <cell r="B26" t="str">
            <v>empty</v>
          </cell>
          <cell r="C26" t="str">
            <v>empty</v>
          </cell>
          <cell r="D26" t="str">
            <v>empty</v>
          </cell>
          <cell r="E26" t="str">
            <v>empty</v>
          </cell>
          <cell r="F26" t="str">
            <v>empty</v>
          </cell>
          <cell r="I26" t="str">
            <v>empty</v>
          </cell>
          <cell r="K26" t="str">
            <v>empty</v>
          </cell>
          <cell r="L26" t="str">
            <v>empty</v>
          </cell>
          <cell r="P26" t="str">
            <v>empty</v>
          </cell>
        </row>
        <row r="27">
          <cell r="B27" t="str">
            <v>empty</v>
          </cell>
          <cell r="C27" t="str">
            <v>empty</v>
          </cell>
          <cell r="D27" t="str">
            <v>empty</v>
          </cell>
          <cell r="E27" t="str">
            <v>empty</v>
          </cell>
          <cell r="F27" t="str">
            <v>empty</v>
          </cell>
          <cell r="I27" t="str">
            <v>empty</v>
          </cell>
          <cell r="K27" t="str">
            <v>empty</v>
          </cell>
          <cell r="L27" t="str">
            <v>empty</v>
          </cell>
          <cell r="P27" t="str">
            <v>empty</v>
          </cell>
        </row>
        <row r="28">
          <cell r="B28" t="str">
            <v>empty</v>
          </cell>
          <cell r="C28" t="str">
            <v>empty</v>
          </cell>
          <cell r="D28" t="str">
            <v>empty</v>
          </cell>
          <cell r="E28" t="str">
            <v>empty</v>
          </cell>
          <cell r="F28" t="str">
            <v>empty</v>
          </cell>
          <cell r="I28" t="str">
            <v>empty</v>
          </cell>
          <cell r="K28" t="str">
            <v>empty</v>
          </cell>
          <cell r="L28" t="str">
            <v>empty</v>
          </cell>
          <cell r="P28" t="str">
            <v>empty</v>
          </cell>
        </row>
        <row r="29">
          <cell r="B29" t="str">
            <v>empty</v>
          </cell>
          <cell r="C29" t="str">
            <v>empty</v>
          </cell>
          <cell r="D29" t="str">
            <v>empty</v>
          </cell>
          <cell r="E29" t="str">
            <v>empty</v>
          </cell>
          <cell r="F29" t="str">
            <v>empty</v>
          </cell>
          <cell r="I29" t="str">
            <v>empty</v>
          </cell>
          <cell r="K29" t="str">
            <v>empty</v>
          </cell>
          <cell r="L29" t="str">
            <v>empty</v>
          </cell>
          <cell r="P29" t="str">
            <v>empty</v>
          </cell>
        </row>
        <row r="30">
          <cell r="B30" t="str">
            <v>empty</v>
          </cell>
          <cell r="C30" t="str">
            <v>empty</v>
          </cell>
          <cell r="D30" t="str">
            <v>empty</v>
          </cell>
          <cell r="E30" t="str">
            <v>empty</v>
          </cell>
          <cell r="F30" t="str">
            <v>empty</v>
          </cell>
          <cell r="I30" t="str">
            <v>empty</v>
          </cell>
          <cell r="K30" t="str">
            <v>empty</v>
          </cell>
          <cell r="L30" t="str">
            <v>empty</v>
          </cell>
          <cell r="P30" t="str">
            <v>empty</v>
          </cell>
        </row>
        <row r="31">
          <cell r="B31" t="str">
            <v>empty</v>
          </cell>
          <cell r="C31" t="str">
            <v>empty</v>
          </cell>
          <cell r="D31" t="str">
            <v>empty</v>
          </cell>
          <cell r="E31" t="str">
            <v>empty</v>
          </cell>
          <cell r="F31" t="str">
            <v>empty</v>
          </cell>
          <cell r="I31" t="str">
            <v>empty</v>
          </cell>
          <cell r="K31" t="str">
            <v>empty</v>
          </cell>
          <cell r="L31" t="str">
            <v>empty</v>
          </cell>
          <cell r="P31" t="str">
            <v>empty</v>
          </cell>
        </row>
        <row r="32">
          <cell r="B32" t="str">
            <v>empty</v>
          </cell>
          <cell r="C32" t="str">
            <v>empty</v>
          </cell>
          <cell r="D32" t="str">
            <v>empty</v>
          </cell>
          <cell r="E32" t="str">
            <v>empty</v>
          </cell>
          <cell r="F32" t="str">
            <v>empty</v>
          </cell>
          <cell r="I32" t="str">
            <v>empty</v>
          </cell>
          <cell r="K32" t="str">
            <v>empty</v>
          </cell>
          <cell r="L32" t="str">
            <v>empty</v>
          </cell>
          <cell r="P32" t="str">
            <v>empty</v>
          </cell>
        </row>
        <row r="33">
          <cell r="B33" t="str">
            <v>empty</v>
          </cell>
          <cell r="C33" t="str">
            <v>empty</v>
          </cell>
          <cell r="D33" t="str">
            <v>empty</v>
          </cell>
          <cell r="E33" t="str">
            <v>empty</v>
          </cell>
          <cell r="F33" t="str">
            <v>empty</v>
          </cell>
          <cell r="I33" t="str">
            <v>empty</v>
          </cell>
          <cell r="K33" t="str">
            <v>empty</v>
          </cell>
          <cell r="L33" t="str">
            <v>empty</v>
          </cell>
          <cell r="P33" t="str">
            <v>empty</v>
          </cell>
        </row>
        <row r="34">
          <cell r="B34" t="str">
            <v>empty</v>
          </cell>
          <cell r="C34" t="str">
            <v>empty</v>
          </cell>
          <cell r="D34" t="str">
            <v>empty</v>
          </cell>
          <cell r="E34" t="str">
            <v>empty</v>
          </cell>
          <cell r="F34" t="str">
            <v>empty</v>
          </cell>
          <cell r="I34" t="str">
            <v>empty</v>
          </cell>
          <cell r="K34" t="str">
            <v>empty</v>
          </cell>
          <cell r="L34" t="str">
            <v>empty</v>
          </cell>
          <cell r="P34" t="str">
            <v>empty</v>
          </cell>
        </row>
        <row r="35">
          <cell r="B35" t="str">
            <v>empty</v>
          </cell>
          <cell r="C35" t="str">
            <v>empty</v>
          </cell>
          <cell r="D35" t="str">
            <v>empty</v>
          </cell>
          <cell r="E35" t="str">
            <v>empty</v>
          </cell>
          <cell r="F35" t="str">
            <v>empty</v>
          </cell>
          <cell r="I35" t="str">
            <v>empty</v>
          </cell>
          <cell r="K35" t="str">
            <v>empty</v>
          </cell>
          <cell r="L35" t="str">
            <v>empty</v>
          </cell>
          <cell r="P35" t="str">
            <v>empty</v>
          </cell>
        </row>
        <row r="36">
          <cell r="B36" t="str">
            <v>empty</v>
          </cell>
          <cell r="C36" t="str">
            <v>empty</v>
          </cell>
          <cell r="D36" t="str">
            <v>empty</v>
          </cell>
          <cell r="E36" t="str">
            <v>empty</v>
          </cell>
          <cell r="F36" t="str">
            <v>empty</v>
          </cell>
          <cell r="I36" t="str">
            <v>empty</v>
          </cell>
          <cell r="K36" t="str">
            <v>empty</v>
          </cell>
          <cell r="L36" t="str">
            <v>empty</v>
          </cell>
          <cell r="P36" t="str">
            <v>empty</v>
          </cell>
        </row>
        <row r="37">
          <cell r="B37" t="str">
            <v>empty</v>
          </cell>
          <cell r="C37" t="str">
            <v>empty</v>
          </cell>
          <cell r="D37" t="str">
            <v>empty</v>
          </cell>
          <cell r="E37" t="str">
            <v>empty</v>
          </cell>
          <cell r="F37" t="str">
            <v>empty</v>
          </cell>
          <cell r="I37" t="str">
            <v>empty</v>
          </cell>
          <cell r="K37" t="str">
            <v>empty</v>
          </cell>
          <cell r="L37" t="str">
            <v>empty</v>
          </cell>
          <cell r="P37" t="str">
            <v>empty</v>
          </cell>
        </row>
        <row r="38">
          <cell r="B38" t="str">
            <v>empty</v>
          </cell>
          <cell r="C38" t="str">
            <v>empty</v>
          </cell>
          <cell r="D38" t="str">
            <v>empty</v>
          </cell>
          <cell r="E38" t="str">
            <v>empty</v>
          </cell>
          <cell r="F38" t="str">
            <v>empty</v>
          </cell>
          <cell r="I38" t="str">
            <v>empty</v>
          </cell>
          <cell r="K38" t="str">
            <v>empty</v>
          </cell>
          <cell r="L38" t="str">
            <v>empty</v>
          </cell>
          <cell r="P38" t="str">
            <v>empty</v>
          </cell>
        </row>
        <row r="39">
          <cell r="B39" t="str">
            <v>empty</v>
          </cell>
          <cell r="C39" t="str">
            <v>empty</v>
          </cell>
          <cell r="D39" t="str">
            <v>empty</v>
          </cell>
          <cell r="E39" t="str">
            <v>empty</v>
          </cell>
          <cell r="F39" t="str">
            <v>empty</v>
          </cell>
          <cell r="I39" t="str">
            <v>empty</v>
          </cell>
          <cell r="K39" t="str">
            <v>empty</v>
          </cell>
          <cell r="L39" t="str">
            <v>empty</v>
          </cell>
          <cell r="P39" t="str">
            <v>empty</v>
          </cell>
        </row>
        <row r="40">
          <cell r="B40" t="str">
            <v>empty</v>
          </cell>
          <cell r="C40" t="str">
            <v>empty</v>
          </cell>
          <cell r="D40" t="str">
            <v>empty</v>
          </cell>
          <cell r="E40" t="str">
            <v>empty</v>
          </cell>
          <cell r="F40" t="str">
            <v>empty</v>
          </cell>
          <cell r="I40" t="str">
            <v>empty</v>
          </cell>
          <cell r="K40" t="str">
            <v>empty</v>
          </cell>
          <cell r="L40" t="str">
            <v>empty</v>
          </cell>
          <cell r="P40" t="str">
            <v>empty</v>
          </cell>
        </row>
        <row r="41">
          <cell r="B41" t="str">
            <v>empty</v>
          </cell>
          <cell r="C41" t="str">
            <v>empty</v>
          </cell>
          <cell r="D41" t="str">
            <v>empty</v>
          </cell>
          <cell r="E41" t="str">
            <v>empty</v>
          </cell>
          <cell r="F41" t="str">
            <v>empty</v>
          </cell>
          <cell r="I41" t="str">
            <v>empty</v>
          </cell>
          <cell r="K41" t="str">
            <v>empty</v>
          </cell>
          <cell r="L41" t="str">
            <v>empty</v>
          </cell>
          <cell r="P41" t="str">
            <v>empty</v>
          </cell>
        </row>
        <row r="42">
          <cell r="B42" t="str">
            <v>empty</v>
          </cell>
          <cell r="C42" t="str">
            <v>empty</v>
          </cell>
          <cell r="D42" t="str">
            <v>empty</v>
          </cell>
          <cell r="E42" t="str">
            <v>empty</v>
          </cell>
          <cell r="F42" t="str">
            <v>empty</v>
          </cell>
          <cell r="I42" t="str">
            <v>empty</v>
          </cell>
          <cell r="K42" t="str">
            <v>empty</v>
          </cell>
          <cell r="L42" t="str">
            <v>empty</v>
          </cell>
          <cell r="P42" t="str">
            <v>empty</v>
          </cell>
        </row>
        <row r="43">
          <cell r="B43" t="str">
            <v>empty</v>
          </cell>
          <cell r="C43" t="str">
            <v>empty</v>
          </cell>
          <cell r="D43" t="str">
            <v>empty</v>
          </cell>
          <cell r="E43" t="str">
            <v>empty</v>
          </cell>
          <cell r="F43" t="str">
            <v>empty</v>
          </cell>
          <cell r="I43" t="str">
            <v>empty</v>
          </cell>
          <cell r="K43" t="str">
            <v>empty</v>
          </cell>
          <cell r="L43" t="str">
            <v>empty</v>
          </cell>
          <cell r="P43" t="str">
            <v>empty</v>
          </cell>
        </row>
        <row r="44">
          <cell r="B44" t="str">
            <v>empty</v>
          </cell>
          <cell r="C44" t="str">
            <v>empty</v>
          </cell>
          <cell r="D44" t="str">
            <v>empty</v>
          </cell>
          <cell r="E44" t="str">
            <v>empty</v>
          </cell>
          <cell r="F44" t="str">
            <v>empty</v>
          </cell>
          <cell r="I44" t="str">
            <v>empty</v>
          </cell>
          <cell r="K44" t="str">
            <v>empty</v>
          </cell>
          <cell r="L44" t="str">
            <v>empty</v>
          </cell>
          <cell r="P44" t="str">
            <v>empty</v>
          </cell>
        </row>
        <row r="45">
          <cell r="B45" t="str">
            <v>empty</v>
          </cell>
          <cell r="C45" t="str">
            <v>empty</v>
          </cell>
          <cell r="D45" t="str">
            <v>empty</v>
          </cell>
          <cell r="E45" t="str">
            <v>empty</v>
          </cell>
          <cell r="F45" t="str">
            <v>empty</v>
          </cell>
          <cell r="I45" t="str">
            <v>empty</v>
          </cell>
          <cell r="K45" t="str">
            <v>empty</v>
          </cell>
          <cell r="L45" t="str">
            <v>empty</v>
          </cell>
          <cell r="P45" t="str">
            <v>empty</v>
          </cell>
        </row>
        <row r="46">
          <cell r="B46" t="str">
            <v>empty</v>
          </cell>
          <cell r="C46" t="str">
            <v>empty</v>
          </cell>
          <cell r="D46" t="str">
            <v>empty</v>
          </cell>
          <cell r="E46" t="str">
            <v>empty</v>
          </cell>
          <cell r="F46" t="str">
            <v>empty</v>
          </cell>
          <cell r="I46" t="str">
            <v>empty</v>
          </cell>
          <cell r="K46" t="str">
            <v>empty</v>
          </cell>
          <cell r="L46" t="str">
            <v>empty</v>
          </cell>
          <cell r="P46" t="str">
            <v>empty</v>
          </cell>
        </row>
        <row r="47">
          <cell r="B47" t="str">
            <v>empty</v>
          </cell>
          <cell r="C47" t="str">
            <v>empty</v>
          </cell>
          <cell r="D47" t="str">
            <v>empty</v>
          </cell>
          <cell r="E47" t="str">
            <v>empty</v>
          </cell>
          <cell r="F47" t="str">
            <v>empty</v>
          </cell>
          <cell r="I47" t="str">
            <v>empty</v>
          </cell>
          <cell r="K47" t="str">
            <v>empty</v>
          </cell>
          <cell r="L47" t="str">
            <v>empty</v>
          </cell>
          <cell r="P47" t="str">
            <v>empty</v>
          </cell>
        </row>
        <row r="48">
          <cell r="B48" t="str">
            <v>empty</v>
          </cell>
          <cell r="C48" t="str">
            <v>empty</v>
          </cell>
          <cell r="D48" t="str">
            <v>empty</v>
          </cell>
          <cell r="E48" t="str">
            <v>empty</v>
          </cell>
          <cell r="F48" t="str">
            <v>empty</v>
          </cell>
          <cell r="I48" t="str">
            <v>empty</v>
          </cell>
          <cell r="K48" t="str">
            <v>empty</v>
          </cell>
          <cell r="L48" t="str">
            <v>empty</v>
          </cell>
          <cell r="P48" t="str">
            <v>empty</v>
          </cell>
        </row>
        <row r="49">
          <cell r="B49" t="str">
            <v>empty</v>
          </cell>
          <cell r="C49" t="str">
            <v>empty</v>
          </cell>
          <cell r="D49" t="str">
            <v>empty</v>
          </cell>
          <cell r="E49" t="str">
            <v>empty</v>
          </cell>
          <cell r="F49" t="str">
            <v>empty</v>
          </cell>
          <cell r="I49" t="str">
            <v>empty</v>
          </cell>
          <cell r="K49" t="str">
            <v>empty</v>
          </cell>
          <cell r="L49" t="str">
            <v>empty</v>
          </cell>
          <cell r="P49" t="str">
            <v>empty</v>
          </cell>
        </row>
        <row r="50">
          <cell r="B50" t="str">
            <v>empty</v>
          </cell>
          <cell r="C50" t="str">
            <v>empty</v>
          </cell>
          <cell r="D50" t="str">
            <v>empty</v>
          </cell>
          <cell r="E50" t="str">
            <v>empty</v>
          </cell>
          <cell r="F50" t="str">
            <v>empty</v>
          </cell>
          <cell r="I50" t="str">
            <v>empty</v>
          </cell>
          <cell r="K50" t="str">
            <v>empty</v>
          </cell>
          <cell r="L50" t="str">
            <v>empty</v>
          </cell>
          <cell r="P50" t="str">
            <v>empty</v>
          </cell>
        </row>
        <row r="51">
          <cell r="B51" t="str">
            <v>empty</v>
          </cell>
          <cell r="C51" t="str">
            <v>empty</v>
          </cell>
          <cell r="D51" t="str">
            <v>empty</v>
          </cell>
          <cell r="E51" t="str">
            <v>empty</v>
          </cell>
          <cell r="F51" t="str">
            <v>empty</v>
          </cell>
          <cell r="I51" t="str">
            <v>empty</v>
          </cell>
          <cell r="K51" t="str">
            <v>empty</v>
          </cell>
          <cell r="L51" t="str">
            <v>empty</v>
          </cell>
          <cell r="P51" t="str">
            <v>empty</v>
          </cell>
        </row>
        <row r="52">
          <cell r="B52" t="str">
            <v>empty</v>
          </cell>
          <cell r="C52" t="str">
            <v>empty</v>
          </cell>
          <cell r="D52" t="str">
            <v>empty</v>
          </cell>
          <cell r="E52" t="str">
            <v>empty</v>
          </cell>
          <cell r="F52" t="str">
            <v>empty</v>
          </cell>
          <cell r="I52" t="str">
            <v>empty</v>
          </cell>
          <cell r="K52" t="str">
            <v>empty</v>
          </cell>
          <cell r="L52" t="str">
            <v>empty</v>
          </cell>
          <cell r="P52" t="str">
            <v>empty</v>
          </cell>
        </row>
        <row r="53">
          <cell r="B53" t="str">
            <v>empty</v>
          </cell>
          <cell r="C53" t="str">
            <v>empty</v>
          </cell>
          <cell r="D53" t="str">
            <v>empty</v>
          </cell>
          <cell r="E53" t="str">
            <v>empty</v>
          </cell>
          <cell r="F53" t="str">
            <v>empty</v>
          </cell>
          <cell r="I53" t="str">
            <v>empty</v>
          </cell>
          <cell r="K53" t="str">
            <v>empty</v>
          </cell>
          <cell r="L53" t="str">
            <v>empty</v>
          </cell>
          <cell r="P53" t="str">
            <v>empty</v>
          </cell>
        </row>
        <row r="54">
          <cell r="B54" t="str">
            <v>empty</v>
          </cell>
          <cell r="C54" t="str">
            <v>empty</v>
          </cell>
          <cell r="D54" t="str">
            <v>empty</v>
          </cell>
          <cell r="E54" t="str">
            <v>empty</v>
          </cell>
          <cell r="F54" t="str">
            <v>empty</v>
          </cell>
          <cell r="I54" t="str">
            <v>empty</v>
          </cell>
          <cell r="K54" t="str">
            <v>empty</v>
          </cell>
          <cell r="L54" t="str">
            <v>empty</v>
          </cell>
          <cell r="P54" t="str">
            <v>empty</v>
          </cell>
        </row>
        <row r="55">
          <cell r="B55" t="str">
            <v>empty</v>
          </cell>
          <cell r="C55" t="str">
            <v>empty</v>
          </cell>
          <cell r="D55" t="str">
            <v>empty</v>
          </cell>
          <cell r="E55" t="str">
            <v>empty</v>
          </cell>
          <cell r="F55" t="str">
            <v>empty</v>
          </cell>
          <cell r="I55" t="str">
            <v>empty</v>
          </cell>
          <cell r="K55" t="str">
            <v>empty</v>
          </cell>
          <cell r="L55" t="str">
            <v>empty</v>
          </cell>
          <cell r="P55" t="str">
            <v>empty</v>
          </cell>
        </row>
        <row r="56">
          <cell r="B56" t="str">
            <v>empty</v>
          </cell>
          <cell r="C56" t="str">
            <v>empty</v>
          </cell>
          <cell r="D56" t="str">
            <v>empty</v>
          </cell>
          <cell r="E56" t="str">
            <v>empty</v>
          </cell>
          <cell r="F56" t="str">
            <v>empty</v>
          </cell>
          <cell r="I56" t="str">
            <v>empty</v>
          </cell>
          <cell r="K56" t="str">
            <v>empty</v>
          </cell>
          <cell r="L56" t="str">
            <v>empty</v>
          </cell>
          <cell r="P56" t="str">
            <v>empty</v>
          </cell>
        </row>
        <row r="57">
          <cell r="B57" t="str">
            <v>empty</v>
          </cell>
          <cell r="C57" t="str">
            <v>empty</v>
          </cell>
          <cell r="D57" t="str">
            <v>empty</v>
          </cell>
          <cell r="E57" t="str">
            <v>empty</v>
          </cell>
          <cell r="F57" t="str">
            <v>empty</v>
          </cell>
          <cell r="I57" t="str">
            <v>empty</v>
          </cell>
          <cell r="K57" t="str">
            <v>empty</v>
          </cell>
          <cell r="L57" t="str">
            <v>empty</v>
          </cell>
          <cell r="P57" t="str">
            <v>empty</v>
          </cell>
        </row>
        <row r="58">
          <cell r="B58" t="str">
            <v>empty</v>
          </cell>
          <cell r="C58" t="str">
            <v>empty</v>
          </cell>
          <cell r="D58" t="str">
            <v>empty</v>
          </cell>
          <cell r="E58" t="str">
            <v>empty</v>
          </cell>
          <cell r="F58" t="str">
            <v>empty</v>
          </cell>
          <cell r="I58" t="str">
            <v>empty</v>
          </cell>
          <cell r="K58" t="str">
            <v>empty</v>
          </cell>
          <cell r="L58" t="str">
            <v>empty</v>
          </cell>
          <cell r="P58" t="str">
            <v>empty</v>
          </cell>
        </row>
        <row r="59">
          <cell r="B59" t="str">
            <v>empty</v>
          </cell>
          <cell r="C59" t="str">
            <v>empty</v>
          </cell>
          <cell r="D59" t="str">
            <v>empty</v>
          </cell>
          <cell r="E59" t="str">
            <v>empty</v>
          </cell>
          <cell r="F59" t="str">
            <v>empty</v>
          </cell>
          <cell r="I59" t="str">
            <v>empty</v>
          </cell>
          <cell r="K59" t="str">
            <v>empty</v>
          </cell>
          <cell r="L59" t="str">
            <v>empty</v>
          </cell>
          <cell r="P59" t="str">
            <v>empty</v>
          </cell>
        </row>
        <row r="60">
          <cell r="B60" t="str">
            <v>empty</v>
          </cell>
          <cell r="C60" t="str">
            <v>empty</v>
          </cell>
          <cell r="D60" t="str">
            <v>empty</v>
          </cell>
          <cell r="E60" t="str">
            <v>empty</v>
          </cell>
          <cell r="F60" t="str">
            <v>empty</v>
          </cell>
          <cell r="I60" t="str">
            <v>empty</v>
          </cell>
          <cell r="K60" t="str">
            <v>empty</v>
          </cell>
          <cell r="L60" t="str">
            <v>empty</v>
          </cell>
          <cell r="P60" t="str">
            <v>empty</v>
          </cell>
        </row>
        <row r="61">
          <cell r="B61" t="str">
            <v>empty</v>
          </cell>
          <cell r="C61" t="str">
            <v>empty</v>
          </cell>
          <cell r="D61" t="str">
            <v>empty</v>
          </cell>
          <cell r="E61" t="str">
            <v>empty</v>
          </cell>
          <cell r="F61" t="str">
            <v>empty</v>
          </cell>
          <cell r="I61" t="str">
            <v>empty</v>
          </cell>
          <cell r="K61" t="str">
            <v>empty</v>
          </cell>
          <cell r="L61" t="str">
            <v>empty</v>
          </cell>
          <cell r="P61" t="str">
            <v>empty</v>
          </cell>
        </row>
        <row r="62">
          <cell r="B62" t="str">
            <v>empty</v>
          </cell>
          <cell r="C62" t="str">
            <v>empty</v>
          </cell>
          <cell r="D62" t="str">
            <v>empty</v>
          </cell>
          <cell r="E62" t="str">
            <v>empty</v>
          </cell>
          <cell r="F62" t="str">
            <v>empty</v>
          </cell>
          <cell r="I62" t="str">
            <v>empty</v>
          </cell>
          <cell r="K62" t="str">
            <v>empty</v>
          </cell>
          <cell r="L62" t="str">
            <v>empty</v>
          </cell>
          <cell r="P62" t="str">
            <v>empty</v>
          </cell>
        </row>
        <row r="63">
          <cell r="B63" t="str">
            <v>empty</v>
          </cell>
          <cell r="C63" t="str">
            <v>empty</v>
          </cell>
          <cell r="D63" t="str">
            <v>empty</v>
          </cell>
          <cell r="E63" t="str">
            <v>empty</v>
          </cell>
          <cell r="F63" t="str">
            <v>empty</v>
          </cell>
          <cell r="I63" t="str">
            <v>empty</v>
          </cell>
          <cell r="K63" t="str">
            <v>empty</v>
          </cell>
          <cell r="L63" t="str">
            <v>empty</v>
          </cell>
          <cell r="P63" t="str">
            <v>empty</v>
          </cell>
        </row>
        <row r="64">
          <cell r="B64" t="str">
            <v>empty</v>
          </cell>
          <cell r="C64" t="str">
            <v>empty</v>
          </cell>
          <cell r="D64" t="str">
            <v>empty</v>
          </cell>
          <cell r="E64" t="str">
            <v>empty</v>
          </cell>
          <cell r="F64" t="str">
            <v>empty</v>
          </cell>
          <cell r="I64" t="str">
            <v>empty</v>
          </cell>
          <cell r="K64" t="str">
            <v>empty</v>
          </cell>
          <cell r="L64" t="str">
            <v>empty</v>
          </cell>
          <cell r="P64" t="str">
            <v>empty</v>
          </cell>
        </row>
        <row r="65">
          <cell r="B65" t="str">
            <v>empty</v>
          </cell>
          <cell r="C65" t="str">
            <v>empty</v>
          </cell>
          <cell r="D65" t="str">
            <v>empty</v>
          </cell>
          <cell r="E65" t="str">
            <v>empty</v>
          </cell>
          <cell r="F65" t="str">
            <v>empty</v>
          </cell>
          <cell r="I65" t="str">
            <v>empty</v>
          </cell>
          <cell r="K65" t="str">
            <v>empty</v>
          </cell>
          <cell r="L65" t="str">
            <v>empty</v>
          </cell>
          <cell r="P65" t="str">
            <v>empty</v>
          </cell>
        </row>
        <row r="66">
          <cell r="B66" t="str">
            <v>empty</v>
          </cell>
          <cell r="C66" t="str">
            <v>empty</v>
          </cell>
          <cell r="D66" t="str">
            <v>empty</v>
          </cell>
          <cell r="E66" t="str">
            <v>empty</v>
          </cell>
          <cell r="F66" t="str">
            <v>empty</v>
          </cell>
          <cell r="I66" t="str">
            <v>empty</v>
          </cell>
          <cell r="K66" t="str">
            <v>empty</v>
          </cell>
          <cell r="L66" t="str">
            <v>empty</v>
          </cell>
          <cell r="P66" t="str">
            <v>empty</v>
          </cell>
        </row>
        <row r="67">
          <cell r="B67" t="str">
            <v>empty</v>
          </cell>
          <cell r="C67" t="str">
            <v>empty</v>
          </cell>
          <cell r="D67" t="str">
            <v>empty</v>
          </cell>
          <cell r="E67" t="str">
            <v>empty</v>
          </cell>
          <cell r="F67" t="str">
            <v>empty</v>
          </cell>
          <cell r="I67" t="str">
            <v>empty</v>
          </cell>
          <cell r="K67" t="str">
            <v>empty</v>
          </cell>
          <cell r="L67" t="str">
            <v>empty</v>
          </cell>
          <cell r="P67" t="str">
            <v>empty</v>
          </cell>
        </row>
        <row r="68">
          <cell r="B68" t="str">
            <v>empty</v>
          </cell>
          <cell r="C68" t="str">
            <v>empty</v>
          </cell>
          <cell r="D68" t="str">
            <v>empty</v>
          </cell>
          <cell r="E68" t="str">
            <v>empty</v>
          </cell>
          <cell r="F68" t="str">
            <v>empty</v>
          </cell>
          <cell r="I68" t="str">
            <v>empty</v>
          </cell>
          <cell r="K68" t="str">
            <v>empty</v>
          </cell>
          <cell r="L68" t="str">
            <v>empty</v>
          </cell>
          <cell r="P68" t="str">
            <v>empty</v>
          </cell>
        </row>
        <row r="69">
          <cell r="B69" t="str">
            <v>empty</v>
          </cell>
          <cell r="C69" t="str">
            <v>empty</v>
          </cell>
          <cell r="D69" t="str">
            <v>empty</v>
          </cell>
          <cell r="E69" t="str">
            <v>empty</v>
          </cell>
          <cell r="F69" t="str">
            <v>empty</v>
          </cell>
          <cell r="I69" t="str">
            <v>empty</v>
          </cell>
          <cell r="K69" t="str">
            <v>empty</v>
          </cell>
          <cell r="L69" t="str">
            <v>empty</v>
          </cell>
          <cell r="P69" t="str">
            <v>empty</v>
          </cell>
        </row>
        <row r="70">
          <cell r="B70" t="str">
            <v>empty</v>
          </cell>
          <cell r="C70" t="str">
            <v>empty</v>
          </cell>
          <cell r="D70" t="str">
            <v>empty</v>
          </cell>
          <cell r="E70" t="str">
            <v>empty</v>
          </cell>
          <cell r="F70" t="str">
            <v>empty</v>
          </cell>
          <cell r="I70" t="str">
            <v>empty</v>
          </cell>
          <cell r="K70" t="str">
            <v>empty</v>
          </cell>
          <cell r="L70" t="str">
            <v>empty</v>
          </cell>
          <cell r="P70" t="str">
            <v>empty</v>
          </cell>
        </row>
        <row r="71">
          <cell r="B71" t="str">
            <v>empty</v>
          </cell>
          <cell r="C71" t="str">
            <v>empty</v>
          </cell>
          <cell r="D71" t="str">
            <v>empty</v>
          </cell>
          <cell r="E71" t="str">
            <v>empty</v>
          </cell>
          <cell r="F71" t="str">
            <v>empty</v>
          </cell>
          <cell r="I71" t="str">
            <v>empty</v>
          </cell>
          <cell r="K71" t="str">
            <v>empty</v>
          </cell>
          <cell r="L71" t="str">
            <v>empty</v>
          </cell>
          <cell r="P71" t="str">
            <v>empty</v>
          </cell>
        </row>
        <row r="72">
          <cell r="B72" t="str">
            <v>empty</v>
          </cell>
          <cell r="C72" t="str">
            <v>empty</v>
          </cell>
          <cell r="D72" t="str">
            <v>empty</v>
          </cell>
          <cell r="E72" t="str">
            <v>empty</v>
          </cell>
          <cell r="F72" t="str">
            <v>empty</v>
          </cell>
          <cell r="I72" t="str">
            <v>empty</v>
          </cell>
          <cell r="K72" t="str">
            <v>empty</v>
          </cell>
          <cell r="L72" t="str">
            <v>empty</v>
          </cell>
          <cell r="P72" t="str">
            <v>empty</v>
          </cell>
        </row>
        <row r="73">
          <cell r="B73" t="str">
            <v>empty</v>
          </cell>
          <cell r="C73" t="str">
            <v>empty</v>
          </cell>
          <cell r="D73" t="str">
            <v>empty</v>
          </cell>
          <cell r="E73" t="str">
            <v>empty</v>
          </cell>
          <cell r="F73" t="str">
            <v>empty</v>
          </cell>
          <cell r="I73" t="str">
            <v>empty</v>
          </cell>
          <cell r="K73" t="str">
            <v>empty</v>
          </cell>
          <cell r="L73" t="str">
            <v>empty</v>
          </cell>
          <cell r="P73" t="str">
            <v>empty</v>
          </cell>
        </row>
        <row r="74">
          <cell r="B74" t="str">
            <v>empty</v>
          </cell>
          <cell r="C74" t="str">
            <v>empty</v>
          </cell>
          <cell r="D74" t="str">
            <v>empty</v>
          </cell>
          <cell r="E74" t="str">
            <v>empty</v>
          </cell>
          <cell r="F74" t="str">
            <v>empty</v>
          </cell>
          <cell r="I74" t="str">
            <v>empty</v>
          </cell>
          <cell r="K74" t="str">
            <v>empty</v>
          </cell>
          <cell r="L74" t="str">
            <v>empty</v>
          </cell>
          <cell r="P74" t="str">
            <v>empty</v>
          </cell>
        </row>
        <row r="75">
          <cell r="B75" t="str">
            <v>empty</v>
          </cell>
          <cell r="C75" t="str">
            <v>empty</v>
          </cell>
          <cell r="D75" t="str">
            <v>empty</v>
          </cell>
          <cell r="E75" t="str">
            <v>empty</v>
          </cell>
          <cell r="F75" t="str">
            <v>empty</v>
          </cell>
          <cell r="I75" t="str">
            <v>empty</v>
          </cell>
          <cell r="K75" t="str">
            <v>empty</v>
          </cell>
          <cell r="L75" t="str">
            <v>empty</v>
          </cell>
          <cell r="P75" t="str">
            <v>empty</v>
          </cell>
        </row>
        <row r="76">
          <cell r="B76" t="str">
            <v>empty</v>
          </cell>
          <cell r="C76" t="str">
            <v>empty</v>
          </cell>
          <cell r="D76" t="str">
            <v>empty</v>
          </cell>
          <cell r="E76" t="str">
            <v>empty</v>
          </cell>
          <cell r="F76" t="str">
            <v>empty</v>
          </cell>
          <cell r="I76" t="str">
            <v>empty</v>
          </cell>
          <cell r="K76" t="str">
            <v>empty</v>
          </cell>
          <cell r="L76" t="str">
            <v>empty</v>
          </cell>
          <cell r="P76" t="str">
            <v>empty</v>
          </cell>
        </row>
        <row r="77">
          <cell r="B77" t="str">
            <v>empty</v>
          </cell>
          <cell r="C77" t="str">
            <v>empty</v>
          </cell>
          <cell r="D77" t="str">
            <v>empty</v>
          </cell>
          <cell r="E77" t="str">
            <v>empty</v>
          </cell>
          <cell r="F77" t="str">
            <v>empty</v>
          </cell>
          <cell r="I77" t="str">
            <v>empty</v>
          </cell>
          <cell r="K77" t="str">
            <v>empty</v>
          </cell>
          <cell r="L77" t="str">
            <v>empty</v>
          </cell>
          <cell r="P77" t="str">
            <v>empty</v>
          </cell>
        </row>
        <row r="78">
          <cell r="B78" t="str">
            <v>empty</v>
          </cell>
          <cell r="C78" t="str">
            <v>empty</v>
          </cell>
          <cell r="D78" t="str">
            <v>empty</v>
          </cell>
          <cell r="E78" t="str">
            <v>empty</v>
          </cell>
          <cell r="F78" t="str">
            <v>empty</v>
          </cell>
          <cell r="I78" t="str">
            <v>empty</v>
          </cell>
          <cell r="K78" t="str">
            <v>empty</v>
          </cell>
          <cell r="L78" t="str">
            <v>empty</v>
          </cell>
          <cell r="P78" t="str">
            <v>empty</v>
          </cell>
        </row>
        <row r="79">
          <cell r="B79" t="str">
            <v>empty</v>
          </cell>
          <cell r="C79" t="str">
            <v>empty</v>
          </cell>
          <cell r="D79" t="str">
            <v>empty</v>
          </cell>
          <cell r="E79" t="str">
            <v>empty</v>
          </cell>
          <cell r="F79" t="str">
            <v>empty</v>
          </cell>
          <cell r="I79" t="str">
            <v>empty</v>
          </cell>
          <cell r="K79" t="str">
            <v>empty</v>
          </cell>
          <cell r="L79" t="str">
            <v>empty</v>
          </cell>
          <cell r="P79" t="str">
            <v>empty</v>
          </cell>
        </row>
        <row r="80">
          <cell r="B80" t="str">
            <v>empty</v>
          </cell>
          <cell r="C80" t="str">
            <v>empty</v>
          </cell>
          <cell r="D80" t="str">
            <v>empty</v>
          </cell>
          <cell r="E80" t="str">
            <v>empty</v>
          </cell>
          <cell r="F80" t="str">
            <v>empty</v>
          </cell>
          <cell r="I80" t="str">
            <v>empty</v>
          </cell>
          <cell r="K80" t="str">
            <v>empty</v>
          </cell>
          <cell r="L80" t="str">
            <v>empty</v>
          </cell>
          <cell r="P80" t="str">
            <v>empty</v>
          </cell>
        </row>
        <row r="81">
          <cell r="B81" t="str">
            <v>empty</v>
          </cell>
          <cell r="C81" t="str">
            <v>empty</v>
          </cell>
          <cell r="D81" t="str">
            <v>empty</v>
          </cell>
          <cell r="E81" t="str">
            <v>empty</v>
          </cell>
          <cell r="F81" t="str">
            <v>empty</v>
          </cell>
          <cell r="I81" t="str">
            <v>empty</v>
          </cell>
          <cell r="K81" t="str">
            <v>empty</v>
          </cell>
          <cell r="L81" t="str">
            <v>empty</v>
          </cell>
          <cell r="P81" t="str">
            <v>empty</v>
          </cell>
        </row>
        <row r="82">
          <cell r="B82" t="str">
            <v>empty</v>
          </cell>
          <cell r="C82" t="str">
            <v>empty</v>
          </cell>
          <cell r="D82" t="str">
            <v>empty</v>
          </cell>
          <cell r="E82" t="str">
            <v>empty</v>
          </cell>
          <cell r="F82" t="str">
            <v>empty</v>
          </cell>
          <cell r="I82" t="str">
            <v>empty</v>
          </cell>
          <cell r="K82" t="str">
            <v>empty</v>
          </cell>
          <cell r="L82" t="str">
            <v>empty</v>
          </cell>
          <cell r="P82" t="str">
            <v>empty</v>
          </cell>
        </row>
        <row r="83">
          <cell r="B83" t="str">
            <v>empty</v>
          </cell>
          <cell r="C83" t="str">
            <v>empty</v>
          </cell>
          <cell r="D83" t="str">
            <v>empty</v>
          </cell>
          <cell r="E83" t="str">
            <v>empty</v>
          </cell>
          <cell r="F83" t="str">
            <v>empty</v>
          </cell>
          <cell r="I83" t="str">
            <v>empty</v>
          </cell>
          <cell r="K83" t="str">
            <v>empty</v>
          </cell>
          <cell r="L83" t="str">
            <v>empty</v>
          </cell>
          <cell r="P83" t="str">
            <v>empty</v>
          </cell>
        </row>
        <row r="84">
          <cell r="B84" t="str">
            <v>empty</v>
          </cell>
          <cell r="C84" t="str">
            <v>empty</v>
          </cell>
          <cell r="D84" t="str">
            <v>empty</v>
          </cell>
          <cell r="E84" t="str">
            <v>empty</v>
          </cell>
          <cell r="F84" t="str">
            <v>empty</v>
          </cell>
          <cell r="I84" t="str">
            <v>empty</v>
          </cell>
          <cell r="K84" t="str">
            <v>empty</v>
          </cell>
          <cell r="L84" t="str">
            <v>empty</v>
          </cell>
          <cell r="P84" t="str">
            <v>empty</v>
          </cell>
        </row>
        <row r="85">
          <cell r="B85" t="str">
            <v>empty</v>
          </cell>
          <cell r="C85" t="str">
            <v>empty</v>
          </cell>
          <cell r="D85" t="str">
            <v>empty</v>
          </cell>
          <cell r="E85" t="str">
            <v>empty</v>
          </cell>
          <cell r="F85" t="str">
            <v>empty</v>
          </cell>
          <cell r="I85" t="str">
            <v>empty</v>
          </cell>
          <cell r="K85" t="str">
            <v>empty</v>
          </cell>
          <cell r="L85" t="str">
            <v>empty</v>
          </cell>
          <cell r="P85" t="str">
            <v>empty</v>
          </cell>
        </row>
        <row r="86">
          <cell r="B86" t="str">
            <v>empty</v>
          </cell>
          <cell r="C86" t="str">
            <v>empty</v>
          </cell>
          <cell r="D86" t="str">
            <v>empty</v>
          </cell>
          <cell r="E86" t="str">
            <v>empty</v>
          </cell>
          <cell r="F86" t="str">
            <v>empty</v>
          </cell>
          <cell r="I86" t="str">
            <v>empty</v>
          </cell>
          <cell r="K86" t="str">
            <v>empty</v>
          </cell>
          <cell r="L86" t="str">
            <v>empty</v>
          </cell>
          <cell r="P86" t="str">
            <v>empty</v>
          </cell>
        </row>
        <row r="87">
          <cell r="B87" t="str">
            <v>empty</v>
          </cell>
          <cell r="C87" t="str">
            <v>empty</v>
          </cell>
          <cell r="D87" t="str">
            <v>empty</v>
          </cell>
          <cell r="E87" t="str">
            <v>empty</v>
          </cell>
          <cell r="F87" t="str">
            <v>empty</v>
          </cell>
          <cell r="I87" t="str">
            <v>empty</v>
          </cell>
          <cell r="K87" t="str">
            <v>empty</v>
          </cell>
          <cell r="L87" t="str">
            <v>empty</v>
          </cell>
          <cell r="P87" t="str">
            <v>empty</v>
          </cell>
        </row>
        <row r="88">
          <cell r="B88" t="str">
            <v>empty</v>
          </cell>
          <cell r="C88" t="str">
            <v>empty</v>
          </cell>
          <cell r="D88" t="str">
            <v>empty</v>
          </cell>
          <cell r="E88" t="str">
            <v>empty</v>
          </cell>
          <cell r="F88" t="str">
            <v>empty</v>
          </cell>
          <cell r="I88" t="str">
            <v>empty</v>
          </cell>
          <cell r="K88" t="str">
            <v>empty</v>
          </cell>
          <cell r="L88" t="str">
            <v>empty</v>
          </cell>
          <cell r="P88" t="str">
            <v>empty</v>
          </cell>
        </row>
        <row r="89">
          <cell r="B89" t="str">
            <v>empty</v>
          </cell>
          <cell r="C89" t="str">
            <v>empty</v>
          </cell>
          <cell r="D89" t="str">
            <v>empty</v>
          </cell>
          <cell r="E89" t="str">
            <v>empty</v>
          </cell>
          <cell r="F89" t="str">
            <v>empty</v>
          </cell>
          <cell r="I89" t="str">
            <v>empty</v>
          </cell>
          <cell r="K89" t="str">
            <v>empty</v>
          </cell>
          <cell r="L89" t="str">
            <v>empty</v>
          </cell>
          <cell r="P89" t="str">
            <v>empty</v>
          </cell>
        </row>
        <row r="90">
          <cell r="B90" t="str">
            <v>empty</v>
          </cell>
          <cell r="C90" t="str">
            <v>empty</v>
          </cell>
          <cell r="D90" t="str">
            <v>empty</v>
          </cell>
          <cell r="E90" t="str">
            <v>empty</v>
          </cell>
          <cell r="F90" t="str">
            <v>empty</v>
          </cell>
          <cell r="I90" t="str">
            <v>empty</v>
          </cell>
          <cell r="K90" t="str">
            <v>empty</v>
          </cell>
          <cell r="L90" t="str">
            <v>empty</v>
          </cell>
          <cell r="P90" t="str">
            <v>empty</v>
          </cell>
        </row>
        <row r="91">
          <cell r="B91" t="str">
            <v>empty</v>
          </cell>
          <cell r="C91" t="str">
            <v>empty</v>
          </cell>
          <cell r="D91" t="str">
            <v>empty</v>
          </cell>
          <cell r="E91" t="str">
            <v>empty</v>
          </cell>
          <cell r="F91" t="str">
            <v>empty</v>
          </cell>
          <cell r="I91" t="str">
            <v>empty</v>
          </cell>
          <cell r="K91" t="str">
            <v>empty</v>
          </cell>
          <cell r="L91" t="str">
            <v>empty</v>
          </cell>
          <cell r="P91" t="str">
            <v>empty</v>
          </cell>
        </row>
        <row r="92">
          <cell r="B92" t="str">
            <v>empty</v>
          </cell>
          <cell r="C92" t="str">
            <v>empty</v>
          </cell>
          <cell r="D92" t="str">
            <v>empty</v>
          </cell>
          <cell r="E92" t="str">
            <v>empty</v>
          </cell>
          <cell r="F92" t="str">
            <v>empty</v>
          </cell>
          <cell r="I92" t="str">
            <v>empty</v>
          </cell>
          <cell r="K92" t="str">
            <v>empty</v>
          </cell>
          <cell r="L92" t="str">
            <v>empty</v>
          </cell>
          <cell r="P92" t="str">
            <v>empty</v>
          </cell>
        </row>
        <row r="93">
          <cell r="B93" t="str">
            <v>empty</v>
          </cell>
          <cell r="C93" t="str">
            <v>empty</v>
          </cell>
          <cell r="D93" t="str">
            <v>empty</v>
          </cell>
          <cell r="E93" t="str">
            <v>empty</v>
          </cell>
          <cell r="F93" t="str">
            <v>empty</v>
          </cell>
          <cell r="I93" t="str">
            <v>empty</v>
          </cell>
          <cell r="K93" t="str">
            <v>empty</v>
          </cell>
          <cell r="L93" t="str">
            <v>empty</v>
          </cell>
          <cell r="P93" t="str">
            <v>empty</v>
          </cell>
        </row>
        <row r="94">
          <cell r="B94" t="str">
            <v>empty</v>
          </cell>
          <cell r="C94" t="str">
            <v>empty</v>
          </cell>
          <cell r="D94" t="str">
            <v>empty</v>
          </cell>
          <cell r="E94" t="str">
            <v>empty</v>
          </cell>
          <cell r="F94" t="str">
            <v>empty</v>
          </cell>
          <cell r="I94" t="str">
            <v>empty</v>
          </cell>
          <cell r="K94" t="str">
            <v>empty</v>
          </cell>
          <cell r="L94" t="str">
            <v>empty</v>
          </cell>
          <cell r="P94" t="str">
            <v>empty</v>
          </cell>
        </row>
        <row r="95">
          <cell r="B95" t="str">
            <v>empty</v>
          </cell>
          <cell r="C95" t="str">
            <v>empty</v>
          </cell>
          <cell r="D95" t="str">
            <v>empty</v>
          </cell>
          <cell r="E95" t="str">
            <v>empty</v>
          </cell>
          <cell r="F95" t="str">
            <v>empty</v>
          </cell>
          <cell r="I95" t="str">
            <v>empty</v>
          </cell>
          <cell r="K95" t="str">
            <v>empty</v>
          </cell>
          <cell r="L95" t="str">
            <v>empty</v>
          </cell>
          <cell r="P95" t="str">
            <v>empty</v>
          </cell>
        </row>
        <row r="96">
          <cell r="B96" t="str">
            <v>empty</v>
          </cell>
          <cell r="C96" t="str">
            <v>empty</v>
          </cell>
          <cell r="D96" t="str">
            <v>empty</v>
          </cell>
          <cell r="E96" t="str">
            <v>empty</v>
          </cell>
          <cell r="F96" t="str">
            <v>empty</v>
          </cell>
          <cell r="I96" t="str">
            <v>empty</v>
          </cell>
          <cell r="K96" t="str">
            <v>empty</v>
          </cell>
          <cell r="L96" t="str">
            <v>empty</v>
          </cell>
          <cell r="P96" t="str">
            <v>empty</v>
          </cell>
        </row>
        <row r="97">
          <cell r="B97" t="str">
            <v>empty</v>
          </cell>
          <cell r="C97" t="str">
            <v>empty</v>
          </cell>
          <cell r="D97" t="str">
            <v>empty</v>
          </cell>
          <cell r="E97" t="str">
            <v>empty</v>
          </cell>
          <cell r="F97" t="str">
            <v>empty</v>
          </cell>
          <cell r="I97" t="str">
            <v>empty</v>
          </cell>
          <cell r="K97" t="str">
            <v>empty</v>
          </cell>
          <cell r="L97" t="str">
            <v>empty</v>
          </cell>
          <cell r="P97" t="str">
            <v>empty</v>
          </cell>
        </row>
        <row r="98">
          <cell r="B98" t="str">
            <v>empty</v>
          </cell>
          <cell r="C98" t="str">
            <v>empty</v>
          </cell>
          <cell r="D98" t="str">
            <v>empty</v>
          </cell>
          <cell r="E98" t="str">
            <v>empty</v>
          </cell>
          <cell r="F98" t="str">
            <v>empty</v>
          </cell>
          <cell r="I98" t="str">
            <v>empty</v>
          </cell>
          <cell r="K98" t="str">
            <v>empty</v>
          </cell>
          <cell r="L98" t="str">
            <v>empty</v>
          </cell>
          <cell r="P98" t="str">
            <v>empty</v>
          </cell>
        </row>
        <row r="99">
          <cell r="B99" t="str">
            <v>empty</v>
          </cell>
          <cell r="C99" t="str">
            <v>empty</v>
          </cell>
          <cell r="D99" t="str">
            <v>empty</v>
          </cell>
          <cell r="E99" t="str">
            <v>empty</v>
          </cell>
          <cell r="F99" t="str">
            <v>empty</v>
          </cell>
          <cell r="I99" t="str">
            <v>empty</v>
          </cell>
          <cell r="K99" t="str">
            <v>empty</v>
          </cell>
          <cell r="L99" t="str">
            <v>empty</v>
          </cell>
          <cell r="P99" t="str">
            <v>empty</v>
          </cell>
        </row>
        <row r="100">
          <cell r="B100" t="str">
            <v>empty</v>
          </cell>
          <cell r="C100" t="str">
            <v>empty</v>
          </cell>
          <cell r="D100" t="str">
            <v>empty</v>
          </cell>
          <cell r="E100" t="str">
            <v>empty</v>
          </cell>
          <cell r="F100" t="str">
            <v>empty</v>
          </cell>
          <cell r="I100" t="str">
            <v>empty</v>
          </cell>
          <cell r="K100" t="str">
            <v>empty</v>
          </cell>
          <cell r="L100" t="str">
            <v>empty</v>
          </cell>
          <cell r="P100" t="str">
            <v>empty</v>
          </cell>
        </row>
        <row r="101">
          <cell r="B101" t="str">
            <v>empty</v>
          </cell>
          <cell r="C101" t="str">
            <v>empty</v>
          </cell>
          <cell r="D101" t="str">
            <v>empty</v>
          </cell>
          <cell r="E101" t="str">
            <v>empty</v>
          </cell>
          <cell r="F101" t="str">
            <v>empty</v>
          </cell>
          <cell r="I101" t="str">
            <v>empty</v>
          </cell>
          <cell r="K101" t="str">
            <v>empty</v>
          </cell>
          <cell r="L101" t="str">
            <v>empty</v>
          </cell>
          <cell r="P101" t="str">
            <v>empty</v>
          </cell>
        </row>
        <row r="102">
          <cell r="B102" t="str">
            <v>empty</v>
          </cell>
          <cell r="C102" t="str">
            <v>empty</v>
          </cell>
          <cell r="D102" t="str">
            <v>empty</v>
          </cell>
          <cell r="E102" t="str">
            <v>empty</v>
          </cell>
          <cell r="F102" t="str">
            <v>empty</v>
          </cell>
          <cell r="I102" t="str">
            <v>empty</v>
          </cell>
          <cell r="K102" t="str">
            <v>empty</v>
          </cell>
          <cell r="L102" t="str">
            <v>empty</v>
          </cell>
          <cell r="P102" t="str">
            <v>empty</v>
          </cell>
        </row>
        <row r="103">
          <cell r="B103" t="str">
            <v>empty</v>
          </cell>
          <cell r="C103" t="str">
            <v>empty</v>
          </cell>
          <cell r="D103" t="str">
            <v>empty</v>
          </cell>
          <cell r="E103" t="str">
            <v>empty</v>
          </cell>
          <cell r="F103" t="str">
            <v>empty</v>
          </cell>
          <cell r="I103" t="str">
            <v>empty</v>
          </cell>
          <cell r="K103" t="str">
            <v>empty</v>
          </cell>
          <cell r="L103" t="str">
            <v>empty</v>
          </cell>
          <cell r="P103" t="str">
            <v>empty</v>
          </cell>
        </row>
        <row r="104">
          <cell r="B104" t="str">
            <v>empty</v>
          </cell>
          <cell r="C104" t="str">
            <v>empty</v>
          </cell>
          <cell r="D104" t="str">
            <v>empty</v>
          </cell>
          <cell r="E104" t="str">
            <v>empty</v>
          </cell>
          <cell r="F104" t="str">
            <v>empty</v>
          </cell>
          <cell r="I104" t="str">
            <v>empty</v>
          </cell>
          <cell r="K104" t="str">
            <v>empty</v>
          </cell>
          <cell r="L104" t="str">
            <v>empty</v>
          </cell>
          <cell r="P104" t="str">
            <v>empty</v>
          </cell>
        </row>
        <row r="105">
          <cell r="B105" t="str">
            <v>empty</v>
          </cell>
          <cell r="C105" t="str">
            <v>empty</v>
          </cell>
          <cell r="D105" t="str">
            <v>empty</v>
          </cell>
          <cell r="E105" t="str">
            <v>empty</v>
          </cell>
          <cell r="F105" t="str">
            <v>empty</v>
          </cell>
          <cell r="I105" t="str">
            <v>empty</v>
          </cell>
          <cell r="K105" t="str">
            <v>empty</v>
          </cell>
          <cell r="L105" t="str">
            <v>empty</v>
          </cell>
          <cell r="P105" t="str">
            <v>empty</v>
          </cell>
        </row>
        <row r="106">
          <cell r="B106" t="str">
            <v>empty</v>
          </cell>
          <cell r="C106" t="str">
            <v>empty</v>
          </cell>
          <cell r="D106" t="str">
            <v>empty</v>
          </cell>
          <cell r="E106" t="str">
            <v>empty</v>
          </cell>
          <cell r="F106" t="str">
            <v>empty</v>
          </cell>
          <cell r="I106" t="str">
            <v>empty</v>
          </cell>
          <cell r="K106" t="str">
            <v>empty</v>
          </cell>
          <cell r="L106" t="str">
            <v>empty</v>
          </cell>
          <cell r="P106" t="str">
            <v>empty</v>
          </cell>
        </row>
        <row r="107">
          <cell r="B107" t="str">
            <v>empty</v>
          </cell>
          <cell r="C107" t="str">
            <v>empty</v>
          </cell>
          <cell r="D107" t="str">
            <v>empty</v>
          </cell>
          <cell r="E107" t="str">
            <v>empty</v>
          </cell>
          <cell r="F107" t="str">
            <v>empty</v>
          </cell>
          <cell r="I107" t="str">
            <v>empty</v>
          </cell>
          <cell r="K107" t="str">
            <v>empty</v>
          </cell>
          <cell r="L107" t="str">
            <v>empty</v>
          </cell>
          <cell r="P107" t="str">
            <v>empty</v>
          </cell>
        </row>
        <row r="108">
          <cell r="B108" t="str">
            <v>empty</v>
          </cell>
          <cell r="C108" t="str">
            <v>empty</v>
          </cell>
          <cell r="D108" t="str">
            <v>empty</v>
          </cell>
          <cell r="E108" t="str">
            <v>empty</v>
          </cell>
          <cell r="F108" t="str">
            <v>empty</v>
          </cell>
          <cell r="I108" t="str">
            <v>empty</v>
          </cell>
          <cell r="K108" t="str">
            <v>empty</v>
          </cell>
          <cell r="L108" t="str">
            <v>empty</v>
          </cell>
          <cell r="P108" t="str">
            <v>empty</v>
          </cell>
        </row>
        <row r="109">
          <cell r="B109" t="str">
            <v>empty</v>
          </cell>
          <cell r="C109" t="str">
            <v>empty</v>
          </cell>
          <cell r="D109" t="str">
            <v>empty</v>
          </cell>
          <cell r="E109" t="str">
            <v>empty</v>
          </cell>
          <cell r="F109" t="str">
            <v>empty</v>
          </cell>
          <cell r="I109" t="str">
            <v>empty</v>
          </cell>
          <cell r="K109" t="str">
            <v>empty</v>
          </cell>
          <cell r="L109" t="str">
            <v>empty</v>
          </cell>
          <cell r="P109" t="str">
            <v>empty</v>
          </cell>
        </row>
        <row r="110">
          <cell r="B110" t="str">
            <v>empty</v>
          </cell>
          <cell r="C110" t="str">
            <v>empty</v>
          </cell>
          <cell r="D110" t="str">
            <v>empty</v>
          </cell>
          <cell r="E110" t="str">
            <v>empty</v>
          </cell>
          <cell r="F110" t="str">
            <v>empty</v>
          </cell>
          <cell r="I110" t="str">
            <v>empty</v>
          </cell>
          <cell r="K110" t="str">
            <v>empty</v>
          </cell>
          <cell r="L110" t="str">
            <v>empty</v>
          </cell>
          <cell r="P110" t="str">
            <v>empty</v>
          </cell>
        </row>
        <row r="111">
          <cell r="B111" t="str">
            <v>empty</v>
          </cell>
          <cell r="C111" t="str">
            <v>empty</v>
          </cell>
          <cell r="D111" t="str">
            <v>empty</v>
          </cell>
          <cell r="E111" t="str">
            <v>empty</v>
          </cell>
          <cell r="F111" t="str">
            <v>empty</v>
          </cell>
          <cell r="I111" t="str">
            <v>empty</v>
          </cell>
          <cell r="K111" t="str">
            <v>empty</v>
          </cell>
          <cell r="L111" t="str">
            <v>empty</v>
          </cell>
          <cell r="P111" t="str">
            <v>empty</v>
          </cell>
        </row>
        <row r="112">
          <cell r="B112" t="str">
            <v>empty</v>
          </cell>
          <cell r="C112" t="str">
            <v>empty</v>
          </cell>
          <cell r="D112" t="str">
            <v>empty</v>
          </cell>
          <cell r="E112" t="str">
            <v>empty</v>
          </cell>
          <cell r="F112" t="str">
            <v>empty</v>
          </cell>
          <cell r="I112" t="str">
            <v>empty</v>
          </cell>
          <cell r="K112" t="str">
            <v>empty</v>
          </cell>
          <cell r="L112" t="str">
            <v>empty</v>
          </cell>
          <cell r="P112" t="str">
            <v>empty</v>
          </cell>
        </row>
        <row r="113">
          <cell r="B113" t="str">
            <v>empty</v>
          </cell>
          <cell r="C113" t="str">
            <v>empty</v>
          </cell>
          <cell r="D113" t="str">
            <v>empty</v>
          </cell>
          <cell r="E113" t="str">
            <v>empty</v>
          </cell>
          <cell r="F113" t="str">
            <v>empty</v>
          </cell>
          <cell r="I113" t="str">
            <v>empty</v>
          </cell>
          <cell r="K113" t="str">
            <v>empty</v>
          </cell>
          <cell r="L113" t="str">
            <v>empty</v>
          </cell>
          <cell r="P113" t="str">
            <v>empty</v>
          </cell>
        </row>
        <row r="114">
          <cell r="B114" t="str">
            <v>empty</v>
          </cell>
          <cell r="C114" t="str">
            <v>empty</v>
          </cell>
          <cell r="D114" t="str">
            <v>empty</v>
          </cell>
          <cell r="E114" t="str">
            <v>empty</v>
          </cell>
          <cell r="F114" t="str">
            <v>empty</v>
          </cell>
          <cell r="I114" t="str">
            <v>empty</v>
          </cell>
          <cell r="K114" t="str">
            <v>empty</v>
          </cell>
          <cell r="L114" t="str">
            <v>empty</v>
          </cell>
          <cell r="P114" t="str">
            <v>empty</v>
          </cell>
        </row>
        <row r="115">
          <cell r="B115" t="str">
            <v>empty</v>
          </cell>
          <cell r="C115" t="str">
            <v>empty</v>
          </cell>
          <cell r="D115" t="str">
            <v>empty</v>
          </cell>
          <cell r="E115" t="str">
            <v>empty</v>
          </cell>
          <cell r="F115" t="str">
            <v>empty</v>
          </cell>
          <cell r="I115" t="str">
            <v>empty</v>
          </cell>
          <cell r="K115" t="str">
            <v>empty</v>
          </cell>
          <cell r="L115" t="str">
            <v>empty</v>
          </cell>
          <cell r="P115" t="str">
            <v>empty</v>
          </cell>
        </row>
        <row r="116">
          <cell r="B116" t="str">
            <v>empty</v>
          </cell>
          <cell r="C116" t="str">
            <v>empty</v>
          </cell>
          <cell r="D116" t="str">
            <v>empty</v>
          </cell>
          <cell r="E116" t="str">
            <v>empty</v>
          </cell>
          <cell r="F116" t="str">
            <v>empty</v>
          </cell>
          <cell r="I116" t="str">
            <v>empty</v>
          </cell>
          <cell r="K116" t="str">
            <v>empty</v>
          </cell>
          <cell r="L116" t="str">
            <v>empty</v>
          </cell>
          <cell r="P116" t="str">
            <v>empty</v>
          </cell>
        </row>
        <row r="117">
          <cell r="B117" t="str">
            <v>empty</v>
          </cell>
          <cell r="C117" t="str">
            <v>empty</v>
          </cell>
          <cell r="D117" t="str">
            <v>empty</v>
          </cell>
          <cell r="E117" t="str">
            <v>empty</v>
          </cell>
          <cell r="F117" t="str">
            <v>empty</v>
          </cell>
          <cell r="I117" t="str">
            <v>empty</v>
          </cell>
          <cell r="K117" t="str">
            <v>empty</v>
          </cell>
          <cell r="L117" t="str">
            <v>empty</v>
          </cell>
          <cell r="P117" t="str">
            <v>empty</v>
          </cell>
        </row>
        <row r="118">
          <cell r="B118" t="str">
            <v>empty</v>
          </cell>
          <cell r="C118" t="str">
            <v>empty</v>
          </cell>
          <cell r="D118" t="str">
            <v>empty</v>
          </cell>
          <cell r="E118" t="str">
            <v>empty</v>
          </cell>
          <cell r="F118" t="str">
            <v>empty</v>
          </cell>
          <cell r="I118" t="str">
            <v>empty</v>
          </cell>
          <cell r="K118" t="str">
            <v>empty</v>
          </cell>
          <cell r="L118" t="str">
            <v>empty</v>
          </cell>
          <cell r="P118" t="str">
            <v>empty</v>
          </cell>
        </row>
        <row r="119">
          <cell r="B119" t="str">
            <v>empty</v>
          </cell>
          <cell r="C119" t="str">
            <v>empty</v>
          </cell>
          <cell r="D119" t="str">
            <v>empty</v>
          </cell>
          <cell r="E119" t="str">
            <v>empty</v>
          </cell>
          <cell r="F119" t="str">
            <v>empty</v>
          </cell>
          <cell r="I119" t="str">
            <v>empty</v>
          </cell>
          <cell r="K119" t="str">
            <v>empty</v>
          </cell>
          <cell r="L119" t="str">
            <v>empty</v>
          </cell>
          <cell r="P119" t="str">
            <v>empty</v>
          </cell>
        </row>
        <row r="120">
          <cell r="B120" t="str">
            <v>empty</v>
          </cell>
          <cell r="C120" t="str">
            <v>empty</v>
          </cell>
          <cell r="D120" t="str">
            <v>empty</v>
          </cell>
          <cell r="E120" t="str">
            <v>empty</v>
          </cell>
          <cell r="F120" t="str">
            <v>empty</v>
          </cell>
          <cell r="I120" t="str">
            <v>empty</v>
          </cell>
          <cell r="K120" t="str">
            <v>empty</v>
          </cell>
          <cell r="L120" t="str">
            <v>empty</v>
          </cell>
          <cell r="P120" t="str">
            <v>empty</v>
          </cell>
        </row>
        <row r="121">
          <cell r="B121" t="str">
            <v>empty</v>
          </cell>
          <cell r="C121" t="str">
            <v>empty</v>
          </cell>
          <cell r="D121" t="str">
            <v>empty</v>
          </cell>
          <cell r="E121" t="str">
            <v>empty</v>
          </cell>
          <cell r="F121" t="str">
            <v>empty</v>
          </cell>
          <cell r="I121" t="str">
            <v>empty</v>
          </cell>
          <cell r="K121" t="str">
            <v>empty</v>
          </cell>
          <cell r="L121" t="str">
            <v>empty</v>
          </cell>
          <cell r="P121" t="str">
            <v>empty</v>
          </cell>
        </row>
        <row r="122">
          <cell r="B122" t="str">
            <v>empty</v>
          </cell>
          <cell r="C122" t="str">
            <v>empty</v>
          </cell>
          <cell r="D122" t="str">
            <v>empty</v>
          </cell>
          <cell r="E122" t="str">
            <v>empty</v>
          </cell>
          <cell r="F122" t="str">
            <v>empty</v>
          </cell>
          <cell r="I122" t="str">
            <v>empty</v>
          </cell>
          <cell r="K122" t="str">
            <v>empty</v>
          </cell>
          <cell r="L122" t="str">
            <v>empty</v>
          </cell>
          <cell r="P122" t="str">
            <v>empty</v>
          </cell>
        </row>
        <row r="123">
          <cell r="B123" t="str">
            <v>empty</v>
          </cell>
          <cell r="C123" t="str">
            <v>empty</v>
          </cell>
          <cell r="D123" t="str">
            <v>empty</v>
          </cell>
          <cell r="E123" t="str">
            <v>empty</v>
          </cell>
          <cell r="F123" t="str">
            <v>empty</v>
          </cell>
          <cell r="I123" t="str">
            <v>empty</v>
          </cell>
          <cell r="K123" t="str">
            <v>empty</v>
          </cell>
          <cell r="L123" t="str">
            <v>empty</v>
          </cell>
          <cell r="P123" t="str">
            <v>empty</v>
          </cell>
        </row>
        <row r="124">
          <cell r="B124" t="str">
            <v>empty</v>
          </cell>
          <cell r="C124" t="str">
            <v>empty</v>
          </cell>
          <cell r="D124" t="str">
            <v>empty</v>
          </cell>
          <cell r="E124" t="str">
            <v>empty</v>
          </cell>
          <cell r="F124" t="str">
            <v>empty</v>
          </cell>
          <cell r="I124" t="str">
            <v>empty</v>
          </cell>
          <cell r="K124" t="str">
            <v>empty</v>
          </cell>
          <cell r="L124" t="str">
            <v>empty</v>
          </cell>
          <cell r="P124" t="str">
            <v>empty</v>
          </cell>
        </row>
        <row r="125">
          <cell r="B125" t="str">
            <v>empty</v>
          </cell>
          <cell r="C125" t="str">
            <v>empty</v>
          </cell>
          <cell r="D125" t="str">
            <v>empty</v>
          </cell>
          <cell r="E125" t="str">
            <v>empty</v>
          </cell>
          <cell r="F125" t="str">
            <v>empty</v>
          </cell>
          <cell r="I125" t="str">
            <v>empty</v>
          </cell>
          <cell r="K125" t="str">
            <v>empty</v>
          </cell>
          <cell r="L125" t="str">
            <v>empty</v>
          </cell>
          <cell r="P125" t="str">
            <v>empty</v>
          </cell>
        </row>
        <row r="126">
          <cell r="B126" t="str">
            <v>empty</v>
          </cell>
          <cell r="C126" t="str">
            <v>empty</v>
          </cell>
          <cell r="D126" t="str">
            <v>empty</v>
          </cell>
          <cell r="E126" t="str">
            <v>empty</v>
          </cell>
          <cell r="F126" t="str">
            <v>empty</v>
          </cell>
          <cell r="I126" t="str">
            <v>empty</v>
          </cell>
          <cell r="K126" t="str">
            <v>empty</v>
          </cell>
          <cell r="L126" t="str">
            <v>empty</v>
          </cell>
          <cell r="P126" t="str">
            <v>empty</v>
          </cell>
        </row>
        <row r="127">
          <cell r="B127" t="str">
            <v>empty</v>
          </cell>
          <cell r="C127" t="str">
            <v>empty</v>
          </cell>
          <cell r="D127" t="str">
            <v>empty</v>
          </cell>
          <cell r="E127" t="str">
            <v>empty</v>
          </cell>
          <cell r="F127" t="str">
            <v>empty</v>
          </cell>
          <cell r="I127" t="str">
            <v>empty</v>
          </cell>
          <cell r="K127" t="str">
            <v>empty</v>
          </cell>
          <cell r="L127" t="str">
            <v>empty</v>
          </cell>
          <cell r="P127" t="str">
            <v>empty</v>
          </cell>
        </row>
        <row r="128">
          <cell r="B128" t="str">
            <v>empty</v>
          </cell>
          <cell r="C128" t="str">
            <v>empty</v>
          </cell>
          <cell r="D128" t="str">
            <v>empty</v>
          </cell>
          <cell r="E128" t="str">
            <v>empty</v>
          </cell>
          <cell r="F128" t="str">
            <v>empty</v>
          </cell>
          <cell r="I128" t="str">
            <v>empty</v>
          </cell>
          <cell r="K128" t="str">
            <v>empty</v>
          </cell>
          <cell r="L128" t="str">
            <v>empty</v>
          </cell>
          <cell r="P128" t="str">
            <v>empty</v>
          </cell>
        </row>
        <row r="129">
          <cell r="B129" t="str">
            <v>empty</v>
          </cell>
          <cell r="C129" t="str">
            <v>empty</v>
          </cell>
          <cell r="D129" t="str">
            <v>empty</v>
          </cell>
          <cell r="E129" t="str">
            <v>empty</v>
          </cell>
          <cell r="F129" t="str">
            <v>empty</v>
          </cell>
          <cell r="I129" t="str">
            <v>empty</v>
          </cell>
          <cell r="K129" t="str">
            <v>empty</v>
          </cell>
          <cell r="L129" t="str">
            <v>empty</v>
          </cell>
          <cell r="P129" t="str">
            <v>empty</v>
          </cell>
        </row>
        <row r="130">
          <cell r="B130" t="str">
            <v>empty</v>
          </cell>
          <cell r="C130" t="str">
            <v>empty</v>
          </cell>
          <cell r="D130" t="str">
            <v>empty</v>
          </cell>
          <cell r="E130" t="str">
            <v>empty</v>
          </cell>
          <cell r="F130" t="str">
            <v>empty</v>
          </cell>
          <cell r="I130" t="str">
            <v>empty</v>
          </cell>
          <cell r="K130" t="str">
            <v>empty</v>
          </cell>
          <cell r="L130" t="str">
            <v>empty</v>
          </cell>
          <cell r="P130" t="str">
            <v>empty</v>
          </cell>
        </row>
        <row r="131">
          <cell r="B131" t="str">
            <v>empty</v>
          </cell>
          <cell r="C131" t="str">
            <v>empty</v>
          </cell>
          <cell r="D131" t="str">
            <v>empty</v>
          </cell>
          <cell r="E131" t="str">
            <v>empty</v>
          </cell>
          <cell r="F131" t="str">
            <v>empty</v>
          </cell>
          <cell r="I131" t="str">
            <v>empty</v>
          </cell>
          <cell r="K131" t="str">
            <v>empty</v>
          </cell>
          <cell r="L131" t="str">
            <v>empty</v>
          </cell>
          <cell r="P131" t="str">
            <v>empty</v>
          </cell>
        </row>
        <row r="132">
          <cell r="B132" t="str">
            <v>empty</v>
          </cell>
          <cell r="C132" t="str">
            <v>empty</v>
          </cell>
          <cell r="D132" t="str">
            <v>empty</v>
          </cell>
          <cell r="E132" t="str">
            <v>empty</v>
          </cell>
          <cell r="F132" t="str">
            <v>empty</v>
          </cell>
          <cell r="I132" t="str">
            <v>empty</v>
          </cell>
          <cell r="K132" t="str">
            <v>empty</v>
          </cell>
          <cell r="L132" t="str">
            <v>empty</v>
          </cell>
          <cell r="P132" t="str">
            <v>empty</v>
          </cell>
        </row>
        <row r="133">
          <cell r="B133" t="str">
            <v>empty</v>
          </cell>
          <cell r="C133" t="str">
            <v>empty</v>
          </cell>
          <cell r="D133" t="str">
            <v>empty</v>
          </cell>
          <cell r="E133" t="str">
            <v>empty</v>
          </cell>
          <cell r="F133" t="str">
            <v>empty</v>
          </cell>
          <cell r="I133" t="str">
            <v>empty</v>
          </cell>
          <cell r="K133" t="str">
            <v>empty</v>
          </cell>
          <cell r="L133" t="str">
            <v>empty</v>
          </cell>
          <cell r="P133" t="str">
            <v>empty</v>
          </cell>
        </row>
        <row r="134">
          <cell r="B134" t="str">
            <v>empty</v>
          </cell>
          <cell r="C134" t="str">
            <v>empty</v>
          </cell>
          <cell r="D134" t="str">
            <v>empty</v>
          </cell>
          <cell r="E134" t="str">
            <v>empty</v>
          </cell>
          <cell r="F134" t="str">
            <v>empty</v>
          </cell>
          <cell r="I134" t="str">
            <v>empty</v>
          </cell>
          <cell r="K134" t="str">
            <v>empty</v>
          </cell>
          <cell r="L134" t="str">
            <v>empty</v>
          </cell>
          <cell r="P134" t="str">
            <v>empty</v>
          </cell>
        </row>
        <row r="135">
          <cell r="B135" t="str">
            <v>empty</v>
          </cell>
          <cell r="C135" t="str">
            <v>empty</v>
          </cell>
          <cell r="D135" t="str">
            <v>empty</v>
          </cell>
          <cell r="E135" t="str">
            <v>empty</v>
          </cell>
          <cell r="F135" t="str">
            <v>empty</v>
          </cell>
          <cell r="I135" t="str">
            <v>empty</v>
          </cell>
          <cell r="K135" t="str">
            <v>empty</v>
          </cell>
          <cell r="L135" t="str">
            <v>empty</v>
          </cell>
          <cell r="P135" t="str">
            <v>empty</v>
          </cell>
        </row>
        <row r="136">
          <cell r="B136" t="str">
            <v>empty</v>
          </cell>
          <cell r="C136" t="str">
            <v>empty</v>
          </cell>
          <cell r="D136" t="str">
            <v>empty</v>
          </cell>
          <cell r="E136" t="str">
            <v>empty</v>
          </cell>
          <cell r="F136" t="str">
            <v>empty</v>
          </cell>
          <cell r="I136" t="str">
            <v>empty</v>
          </cell>
          <cell r="K136" t="str">
            <v>empty</v>
          </cell>
          <cell r="L136" t="str">
            <v>empty</v>
          </cell>
          <cell r="P136" t="str">
            <v>empty</v>
          </cell>
        </row>
        <row r="137">
          <cell r="B137" t="str">
            <v>empty</v>
          </cell>
          <cell r="C137" t="str">
            <v>empty</v>
          </cell>
          <cell r="D137" t="str">
            <v>empty</v>
          </cell>
          <cell r="E137" t="str">
            <v>empty</v>
          </cell>
          <cell r="F137" t="str">
            <v>empty</v>
          </cell>
          <cell r="I137" t="str">
            <v>empty</v>
          </cell>
          <cell r="K137" t="str">
            <v>empty</v>
          </cell>
          <cell r="L137" t="str">
            <v>empty</v>
          </cell>
          <cell r="P137" t="str">
            <v>empty</v>
          </cell>
        </row>
        <row r="138">
          <cell r="B138" t="str">
            <v>empty</v>
          </cell>
          <cell r="C138" t="str">
            <v>empty</v>
          </cell>
          <cell r="D138" t="str">
            <v>empty</v>
          </cell>
          <cell r="E138" t="str">
            <v>empty</v>
          </cell>
          <cell r="F138" t="str">
            <v>empty</v>
          </cell>
          <cell r="I138" t="str">
            <v>empty</v>
          </cell>
          <cell r="K138" t="str">
            <v>empty</v>
          </cell>
          <cell r="L138" t="str">
            <v>empty</v>
          </cell>
          <cell r="P138" t="str">
            <v>empty</v>
          </cell>
        </row>
        <row r="139">
          <cell r="B139" t="str">
            <v>empty</v>
          </cell>
          <cell r="C139" t="str">
            <v>empty</v>
          </cell>
          <cell r="D139" t="str">
            <v>empty</v>
          </cell>
          <cell r="E139" t="str">
            <v>empty</v>
          </cell>
          <cell r="F139" t="str">
            <v>empty</v>
          </cell>
          <cell r="I139" t="str">
            <v>empty</v>
          </cell>
          <cell r="K139" t="str">
            <v>empty</v>
          </cell>
          <cell r="L139" t="str">
            <v>empty</v>
          </cell>
          <cell r="P139" t="str">
            <v>empty</v>
          </cell>
        </row>
        <row r="140">
          <cell r="B140" t="str">
            <v>empty</v>
          </cell>
          <cell r="C140" t="str">
            <v>empty</v>
          </cell>
          <cell r="D140" t="str">
            <v>empty</v>
          </cell>
          <cell r="E140" t="str">
            <v>empty</v>
          </cell>
          <cell r="F140" t="str">
            <v>empty</v>
          </cell>
          <cell r="I140" t="str">
            <v>empty</v>
          </cell>
          <cell r="K140" t="str">
            <v>empty</v>
          </cell>
          <cell r="L140" t="str">
            <v>empty</v>
          </cell>
          <cell r="P140" t="str">
            <v>empty</v>
          </cell>
        </row>
        <row r="141">
          <cell r="B141" t="str">
            <v>empty</v>
          </cell>
          <cell r="C141" t="str">
            <v>empty</v>
          </cell>
          <cell r="D141" t="str">
            <v>empty</v>
          </cell>
          <cell r="E141" t="str">
            <v>empty</v>
          </cell>
          <cell r="F141" t="str">
            <v>empty</v>
          </cell>
          <cell r="I141" t="str">
            <v>empty</v>
          </cell>
          <cell r="K141" t="str">
            <v>empty</v>
          </cell>
          <cell r="L141" t="str">
            <v>empty</v>
          </cell>
          <cell r="P141" t="str">
            <v>empty</v>
          </cell>
        </row>
        <row r="142">
          <cell r="B142" t="str">
            <v>empty</v>
          </cell>
          <cell r="C142" t="str">
            <v>empty</v>
          </cell>
          <cell r="D142" t="str">
            <v>empty</v>
          </cell>
          <cell r="E142" t="str">
            <v>empty</v>
          </cell>
          <cell r="F142" t="str">
            <v>empty</v>
          </cell>
          <cell r="I142" t="str">
            <v>empty</v>
          </cell>
          <cell r="K142" t="str">
            <v>empty</v>
          </cell>
          <cell r="L142" t="str">
            <v>empty</v>
          </cell>
          <cell r="P142" t="str">
            <v>empty</v>
          </cell>
        </row>
        <row r="143">
          <cell r="B143" t="str">
            <v>empty</v>
          </cell>
          <cell r="C143" t="str">
            <v>empty</v>
          </cell>
          <cell r="D143" t="str">
            <v>empty</v>
          </cell>
          <cell r="E143" t="str">
            <v>empty</v>
          </cell>
          <cell r="F143" t="str">
            <v>empty</v>
          </cell>
          <cell r="I143" t="str">
            <v>empty</v>
          </cell>
          <cell r="K143" t="str">
            <v>empty</v>
          </cell>
          <cell r="L143" t="str">
            <v>empty</v>
          </cell>
          <cell r="P143" t="str">
            <v>empty</v>
          </cell>
        </row>
        <row r="144">
          <cell r="B144" t="str">
            <v>empty</v>
          </cell>
          <cell r="C144" t="str">
            <v>empty</v>
          </cell>
          <cell r="D144" t="str">
            <v>empty</v>
          </cell>
          <cell r="E144" t="str">
            <v>empty</v>
          </cell>
          <cell r="F144" t="str">
            <v>empty</v>
          </cell>
          <cell r="I144" t="str">
            <v>empty</v>
          </cell>
          <cell r="K144" t="str">
            <v>empty</v>
          </cell>
          <cell r="L144" t="str">
            <v>empty</v>
          </cell>
          <cell r="P144" t="str">
            <v>empty</v>
          </cell>
        </row>
        <row r="145">
          <cell r="B145" t="str">
            <v>empty</v>
          </cell>
          <cell r="C145" t="str">
            <v>empty</v>
          </cell>
          <cell r="D145" t="str">
            <v>empty</v>
          </cell>
          <cell r="E145" t="str">
            <v>empty</v>
          </cell>
          <cell r="F145" t="str">
            <v>empty</v>
          </cell>
          <cell r="I145" t="str">
            <v>empty</v>
          </cell>
          <cell r="K145" t="str">
            <v>empty</v>
          </cell>
          <cell r="L145" t="str">
            <v>empty</v>
          </cell>
          <cell r="P145" t="str">
            <v>empty</v>
          </cell>
        </row>
        <row r="146">
          <cell r="B146" t="str">
            <v>empty</v>
          </cell>
          <cell r="C146" t="str">
            <v>empty</v>
          </cell>
          <cell r="D146" t="str">
            <v>empty</v>
          </cell>
          <cell r="E146" t="str">
            <v>empty</v>
          </cell>
          <cell r="F146" t="str">
            <v>empty</v>
          </cell>
          <cell r="I146" t="str">
            <v>empty</v>
          </cell>
          <cell r="K146" t="str">
            <v>empty</v>
          </cell>
          <cell r="L146" t="str">
            <v>empty</v>
          </cell>
          <cell r="P146" t="str">
            <v>empty</v>
          </cell>
        </row>
        <row r="147">
          <cell r="B147" t="str">
            <v>empty</v>
          </cell>
          <cell r="C147" t="str">
            <v>empty</v>
          </cell>
          <cell r="D147" t="str">
            <v>empty</v>
          </cell>
          <cell r="E147" t="str">
            <v>empty</v>
          </cell>
          <cell r="F147" t="str">
            <v>empty</v>
          </cell>
          <cell r="I147" t="str">
            <v>empty</v>
          </cell>
          <cell r="K147" t="str">
            <v>empty</v>
          </cell>
          <cell r="L147" t="str">
            <v>empty</v>
          </cell>
          <cell r="P147" t="str">
            <v>empty</v>
          </cell>
        </row>
        <row r="148">
          <cell r="B148" t="str">
            <v>empty</v>
          </cell>
          <cell r="C148" t="str">
            <v>empty</v>
          </cell>
          <cell r="D148" t="str">
            <v>empty</v>
          </cell>
          <cell r="E148" t="str">
            <v>empty</v>
          </cell>
          <cell r="F148" t="str">
            <v>empty</v>
          </cell>
          <cell r="I148" t="str">
            <v>empty</v>
          </cell>
          <cell r="K148" t="str">
            <v>empty</v>
          </cell>
          <cell r="L148" t="str">
            <v>empty</v>
          </cell>
          <cell r="P148" t="str">
            <v>empty</v>
          </cell>
        </row>
        <row r="149">
          <cell r="B149" t="str">
            <v>empty</v>
          </cell>
          <cell r="C149" t="str">
            <v>empty</v>
          </cell>
          <cell r="D149" t="str">
            <v>empty</v>
          </cell>
          <cell r="E149" t="str">
            <v>empty</v>
          </cell>
          <cell r="F149" t="str">
            <v>empty</v>
          </cell>
          <cell r="I149" t="str">
            <v>empty</v>
          </cell>
          <cell r="K149" t="str">
            <v>empty</v>
          </cell>
          <cell r="L149" t="str">
            <v>empty</v>
          </cell>
          <cell r="P149" t="str">
            <v>empty</v>
          </cell>
        </row>
        <row r="150">
          <cell r="B150" t="str">
            <v>empty</v>
          </cell>
          <cell r="C150" t="str">
            <v>empty</v>
          </cell>
          <cell r="D150" t="str">
            <v>empty</v>
          </cell>
          <cell r="E150" t="str">
            <v>empty</v>
          </cell>
          <cell r="F150" t="str">
            <v>empty</v>
          </cell>
          <cell r="I150" t="str">
            <v>empty</v>
          </cell>
          <cell r="K150" t="str">
            <v>empty</v>
          </cell>
          <cell r="L150" t="str">
            <v>empty</v>
          </cell>
          <cell r="P150" t="str">
            <v>empty</v>
          </cell>
        </row>
        <row r="151">
          <cell r="B151" t="str">
            <v>empty</v>
          </cell>
          <cell r="C151" t="str">
            <v>empty</v>
          </cell>
          <cell r="D151" t="str">
            <v>empty</v>
          </cell>
          <cell r="E151" t="str">
            <v>empty</v>
          </cell>
          <cell r="F151" t="str">
            <v>empty</v>
          </cell>
          <cell r="I151" t="str">
            <v>empty</v>
          </cell>
          <cell r="K151" t="str">
            <v>empty</v>
          </cell>
          <cell r="L151" t="str">
            <v>empty</v>
          </cell>
          <cell r="P151" t="str">
            <v>empty</v>
          </cell>
        </row>
        <row r="152">
          <cell r="B152" t="str">
            <v>empty</v>
          </cell>
          <cell r="C152" t="str">
            <v>empty</v>
          </cell>
          <cell r="D152" t="str">
            <v>empty</v>
          </cell>
          <cell r="E152" t="str">
            <v>empty</v>
          </cell>
          <cell r="F152" t="str">
            <v>empty</v>
          </cell>
          <cell r="I152" t="str">
            <v>empty</v>
          </cell>
          <cell r="K152" t="str">
            <v>empty</v>
          </cell>
          <cell r="L152" t="str">
            <v>empty</v>
          </cell>
          <cell r="P152" t="str">
            <v>empty</v>
          </cell>
        </row>
        <row r="153">
          <cell r="B153" t="str">
            <v>empty</v>
          </cell>
          <cell r="C153" t="str">
            <v>empty</v>
          </cell>
          <cell r="D153" t="str">
            <v>empty</v>
          </cell>
          <cell r="E153" t="str">
            <v>empty</v>
          </cell>
          <cell r="F153" t="str">
            <v>empty</v>
          </cell>
          <cell r="I153" t="str">
            <v>empty</v>
          </cell>
          <cell r="K153" t="str">
            <v>empty</v>
          </cell>
          <cell r="L153" t="str">
            <v>empty</v>
          </cell>
          <cell r="P153" t="str">
            <v>empty</v>
          </cell>
        </row>
        <row r="154">
          <cell r="B154" t="str">
            <v>empty</v>
          </cell>
          <cell r="C154" t="str">
            <v>empty</v>
          </cell>
          <cell r="D154" t="str">
            <v>empty</v>
          </cell>
          <cell r="E154" t="str">
            <v>empty</v>
          </cell>
          <cell r="F154" t="str">
            <v>empty</v>
          </cell>
          <cell r="I154" t="str">
            <v>empty</v>
          </cell>
          <cell r="K154" t="str">
            <v>empty</v>
          </cell>
          <cell r="L154" t="str">
            <v>empty</v>
          </cell>
          <cell r="P154" t="str">
            <v>empty</v>
          </cell>
        </row>
        <row r="155">
          <cell r="B155" t="str">
            <v>empty</v>
          </cell>
          <cell r="C155" t="str">
            <v>empty</v>
          </cell>
          <cell r="D155" t="str">
            <v>empty</v>
          </cell>
          <cell r="E155" t="str">
            <v>empty</v>
          </cell>
          <cell r="F155" t="str">
            <v>empty</v>
          </cell>
          <cell r="I155" t="str">
            <v>empty</v>
          </cell>
          <cell r="K155" t="str">
            <v>empty</v>
          </cell>
          <cell r="L155" t="str">
            <v>empty</v>
          </cell>
          <cell r="P155" t="str">
            <v>empty</v>
          </cell>
        </row>
        <row r="156">
          <cell r="B156" t="str">
            <v>empty</v>
          </cell>
          <cell r="C156" t="str">
            <v>empty</v>
          </cell>
          <cell r="D156" t="str">
            <v>empty</v>
          </cell>
          <cell r="E156" t="str">
            <v>empty</v>
          </cell>
          <cell r="F156" t="str">
            <v>empty</v>
          </cell>
          <cell r="I156" t="str">
            <v>empty</v>
          </cell>
          <cell r="K156" t="str">
            <v>empty</v>
          </cell>
          <cell r="L156" t="str">
            <v>empty</v>
          </cell>
          <cell r="P156" t="str">
            <v>empty</v>
          </cell>
        </row>
        <row r="157">
          <cell r="B157" t="str">
            <v>empty</v>
          </cell>
          <cell r="C157" t="str">
            <v>empty</v>
          </cell>
          <cell r="D157" t="str">
            <v>empty</v>
          </cell>
          <cell r="E157" t="str">
            <v>empty</v>
          </cell>
          <cell r="F157" t="str">
            <v>empty</v>
          </cell>
          <cell r="I157" t="str">
            <v>empty</v>
          </cell>
          <cell r="K157" t="str">
            <v>empty</v>
          </cell>
          <cell r="L157" t="str">
            <v>empty</v>
          </cell>
          <cell r="P157" t="str">
            <v>empty</v>
          </cell>
        </row>
        <row r="158">
          <cell r="B158" t="str">
            <v>empty</v>
          </cell>
          <cell r="C158" t="str">
            <v>empty</v>
          </cell>
          <cell r="D158" t="str">
            <v>empty</v>
          </cell>
          <cell r="E158" t="str">
            <v>empty</v>
          </cell>
          <cell r="F158" t="str">
            <v>empty</v>
          </cell>
          <cell r="I158" t="str">
            <v>empty</v>
          </cell>
          <cell r="K158" t="str">
            <v>empty</v>
          </cell>
          <cell r="L158" t="str">
            <v>empty</v>
          </cell>
          <cell r="P158" t="str">
            <v>empty</v>
          </cell>
        </row>
        <row r="159">
          <cell r="B159" t="str">
            <v>empty</v>
          </cell>
          <cell r="C159" t="str">
            <v>empty</v>
          </cell>
          <cell r="D159" t="str">
            <v>empty</v>
          </cell>
          <cell r="E159" t="str">
            <v>empty</v>
          </cell>
          <cell r="F159" t="str">
            <v>empty</v>
          </cell>
          <cell r="I159" t="str">
            <v>empty</v>
          </cell>
          <cell r="K159" t="str">
            <v>empty</v>
          </cell>
          <cell r="L159" t="str">
            <v>empty</v>
          </cell>
          <cell r="P159" t="str">
            <v>empty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6B4F"/>
    <pageSetUpPr fitToPage="1"/>
  </sheetPr>
  <dimension ref="A1:J25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8.7109375" customWidth="1"/>
    <col min="2" max="10" width="16.7109375" customWidth="1"/>
  </cols>
  <sheetData>
    <row r="1" spans="1:10" ht="18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spans="1:10" ht="3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spans="1:10" ht="20.25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</row>
    <row r="9" spans="1:10" ht="30" customHeight="1">
      <c r="A9" s="5" t="s">
        <v>4</v>
      </c>
      <c r="B9" s="6" t="s">
        <v>5</v>
      </c>
      <c r="C9" s="6"/>
      <c r="D9" s="6"/>
      <c r="E9" s="6"/>
      <c r="F9" s="6"/>
      <c r="G9" s="6"/>
      <c r="H9" s="6"/>
      <c r="I9" s="6"/>
      <c r="J9" s="6"/>
    </row>
    <row r="11" spans="1:10">
      <c r="A11" s="7" t="s">
        <v>6</v>
      </c>
      <c r="B11" s="7"/>
      <c r="C11" s="7"/>
      <c r="D11" s="8" t="s">
        <v>7</v>
      </c>
      <c r="E11" s="8"/>
      <c r="F11" s="8"/>
      <c r="G11" s="9" t="s">
        <v>8</v>
      </c>
      <c r="H11" s="9"/>
      <c r="I11" s="9"/>
    </row>
    <row r="12" spans="1:10" ht="26.25" customHeight="1">
      <c r="A12" s="10">
        <f>COUNTA(Txn!$B$10:$B$159)</f>
        <v>0</v>
      </c>
      <c r="B12" s="11"/>
      <c r="C12" s="11"/>
      <c r="D12" s="12">
        <f>SUM(Txn!$K$10:$K$159)</f>
        <v>0</v>
      </c>
      <c r="E12" s="11"/>
      <c r="F12" s="11"/>
      <c r="G12" s="13">
        <f>SUM(Txn!$L$10:$L$159)</f>
        <v>0</v>
      </c>
      <c r="H12" s="11"/>
      <c r="I12" s="11"/>
    </row>
    <row r="14" spans="1:10">
      <c r="A14" s="14" t="s">
        <v>9</v>
      </c>
      <c r="B14" s="14"/>
      <c r="C14" s="14"/>
      <c r="D14" s="15" t="s">
        <v>10</v>
      </c>
      <c r="E14" s="15"/>
      <c r="F14" s="15"/>
      <c r="G14" s="16" t="s">
        <v>11</v>
      </c>
      <c r="H14" s="16"/>
      <c r="I14" s="16"/>
    </row>
    <row r="15" spans="1:10" ht="26.25" customHeight="1">
      <c r="A15" s="17">
        <f>E11-C11</f>
        <v>0</v>
      </c>
      <c r="B15" s="11"/>
      <c r="C15" s="11"/>
      <c r="D15" s="18">
        <f>COUNTIF(Chq!$J$10:$J$159,"در جریان")</f>
        <v>0</v>
      </c>
      <c r="E15" s="11"/>
      <c r="F15" s="11"/>
      <c r="G15" s="19">
        <f>COUNTIF(Chq!$J$10:$J$159,"پاس شده")</f>
        <v>0</v>
      </c>
      <c r="H15" s="11"/>
      <c r="I15" s="11"/>
    </row>
    <row r="19" spans="1:10" ht="24" customHeight="1">
      <c r="A19" s="20" t="s">
        <v>12</v>
      </c>
      <c r="B19" s="21"/>
      <c r="C19" s="22" t="s">
        <v>14</v>
      </c>
      <c r="D19" s="23"/>
      <c r="E19" s="24" t="s">
        <v>16</v>
      </c>
      <c r="F19" s="25"/>
      <c r="G19" s="26" t="s">
        <v>18</v>
      </c>
      <c r="H19" s="27"/>
    </row>
    <row r="20" spans="1:10" ht="27.75" customHeight="1">
      <c r="A20" s="28" t="s">
        <v>13</v>
      </c>
      <c r="B20" s="28"/>
      <c r="C20" s="28" t="s">
        <v>15</v>
      </c>
      <c r="D20" s="28"/>
      <c r="E20" s="28" t="s">
        <v>17</v>
      </c>
      <c r="F20" s="28"/>
      <c r="G20" s="28" t="s">
        <v>19</v>
      </c>
      <c r="H20" s="28"/>
    </row>
    <row r="21" spans="1:10" ht="12" customHeight="1"/>
    <row r="25" spans="1:10" ht="30" customHeight="1">
      <c r="A25" s="29" t="s">
        <v>20</v>
      </c>
      <c r="B25" s="29"/>
      <c r="C25" s="29"/>
      <c r="D25" s="29"/>
      <c r="E25" s="29"/>
      <c r="F25" s="29"/>
      <c r="G25" s="29"/>
      <c r="H25" s="29"/>
      <c r="I25" s="29"/>
      <c r="J25" s="29"/>
    </row>
  </sheetData>
  <mergeCells count="26">
    <mergeCell ref="A1:F1"/>
    <mergeCell ref="G1:J1"/>
    <mergeCell ref="A2:J2"/>
    <mergeCell ref="A3:J3"/>
    <mergeCell ref="B9:J9"/>
    <mergeCell ref="A11:C11"/>
    <mergeCell ref="A12:C12"/>
    <mergeCell ref="D11:F11"/>
    <mergeCell ref="D12:F12"/>
    <mergeCell ref="G11:I11"/>
    <mergeCell ref="G12:I12"/>
    <mergeCell ref="A14:C14"/>
    <mergeCell ref="A15:C15"/>
    <mergeCell ref="D14:F14"/>
    <mergeCell ref="D15:F15"/>
    <mergeCell ref="G14:I14"/>
    <mergeCell ref="G15:I15"/>
    <mergeCell ref="A19:B19"/>
    <mergeCell ref="A20:B20"/>
    <mergeCell ref="C19:D19"/>
    <mergeCell ref="C20:D20"/>
    <mergeCell ref="E19:F19"/>
    <mergeCell ref="E20:F20"/>
    <mergeCell ref="G19:H19"/>
    <mergeCell ref="G20:H20"/>
    <mergeCell ref="A25:J25"/>
  </mergeCells>
  <hyperlinks>
    <hyperlink ref="A19" location="Txn!A8" display="تراکنش‌ها"/>
    <hyperlink ref="C19" location="Chq!A8" display="چک‌ها"/>
    <hyperlink ref="E19" location="Rec!A8" display="مغایرت‌گیری"/>
    <hyperlink ref="G19" location="Sum!A8" display="خلاصه ماهانه"/>
  </hyperlinks>
  <printOptions horizontalCentered="1"/>
  <pageMargins left="0.28" right="0.28" top="0.45" bottom="0.5" header="0.3" footer="0.3"/>
  <pageSetup orientation="portrait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6B4F"/>
    <pageSetUpPr fitToPage="1"/>
  </sheetPr>
  <dimension ref="A1:R159"/>
  <sheetViews>
    <sheetView showGridLines="0" rightToLeft="1" zoomScale="88" zoomScaleNormal="88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/>
  <cols>
    <col min="1" max="2" width="11.7109375" customWidth="1"/>
    <col min="3" max="3" width="10.7109375" customWidth="1"/>
    <col min="4" max="4" width="12.7109375" customWidth="1"/>
    <col min="5" max="5" width="10.7109375" customWidth="1"/>
    <col min="6" max="6" width="22.7109375" customWidth="1"/>
    <col min="7" max="8" width="12.7109375" customWidth="1"/>
    <col min="9" max="9" width="13.7109375" customWidth="1"/>
    <col min="10" max="10" width="15.7109375" customWidth="1"/>
    <col min="11" max="11" width="12.7109375" customWidth="1"/>
    <col min="12" max="12" width="11.7109375" customWidth="1"/>
    <col min="13" max="14" width="15.7109375" customWidth="1"/>
    <col min="15" max="15" width="30.7109375" customWidth="1"/>
    <col min="16" max="16" width="14.7109375" customWidth="1"/>
    <col min="17" max="17" width="3.7109375" hidden="1" customWidth="1"/>
  </cols>
  <sheetData>
    <row r="1" spans="1:18" ht="20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 t="s">
        <v>1</v>
      </c>
      <c r="O1" s="31"/>
      <c r="P1" s="31"/>
      <c r="Q1" s="31"/>
      <c r="R1" s="31"/>
    </row>
    <row r="2" spans="1:18" ht="38.25" customHeight="1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45.75" customHeight="1">
      <c r="A3" s="33" t="s">
        <v>22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ht="17.25" customHeight="1">
      <c r="A5" s="41" t="s">
        <v>30</v>
      </c>
      <c r="B5" s="41"/>
      <c r="C5" s="41"/>
      <c r="D5" s="41"/>
      <c r="E5" s="41" t="s">
        <v>31</v>
      </c>
      <c r="F5" s="41"/>
      <c r="G5" s="41"/>
      <c r="H5" s="41"/>
      <c r="I5" s="41" t="s">
        <v>32</v>
      </c>
      <c r="J5" s="41"/>
      <c r="K5" s="41"/>
      <c r="L5" s="41"/>
      <c r="M5" s="41" t="s">
        <v>33</v>
      </c>
      <c r="N5" s="41"/>
      <c r="O5" s="41"/>
      <c r="P5" s="41"/>
      <c r="Q5" s="41" t="s">
        <v>34</v>
      </c>
      <c r="R5" s="41"/>
    </row>
    <row r="6" spans="1:18" ht="33" customHeight="1">
      <c r="A6" s="42">
        <f>SUM($M$10:$M$159)</f>
        <v>0</v>
      </c>
      <c r="B6" s="42"/>
      <c r="C6" s="42"/>
      <c r="D6" s="42"/>
      <c r="E6" s="43">
        <f>SUM($N$10:$N$159)</f>
        <v>0</v>
      </c>
      <c r="F6" s="43"/>
      <c r="G6" s="43"/>
      <c r="H6" s="43"/>
      <c r="I6" s="44">
        <f>$M$7-$N$7</f>
        <v>0</v>
      </c>
      <c r="J6" s="44"/>
      <c r="K6" s="44"/>
      <c r="L6" s="44"/>
      <c r="M6" s="45">
        <f>COUNTIF($K$10:$K$159,"در جریان")</f>
        <v>0</v>
      </c>
      <c r="N6" s="45"/>
      <c r="O6" s="45"/>
      <c r="P6" s="45"/>
      <c r="Q6" s="46">
        <f>COUNTA($B$10:$B$159)</f>
        <v>0</v>
      </c>
      <c r="R6" s="46"/>
    </row>
    <row r="7" spans="1:18" ht="20.25" customHeight="1">
      <c r="A7" s="47" t="s">
        <v>37</v>
      </c>
      <c r="B7" s="47"/>
      <c r="C7" s="47"/>
      <c r="D7" s="48" t="s">
        <v>65</v>
      </c>
      <c r="E7" s="48"/>
      <c r="F7" s="48"/>
      <c r="G7" s="49" t="s">
        <v>66</v>
      </c>
      <c r="H7" s="49"/>
      <c r="I7" s="49"/>
      <c r="J7" s="50" t="s">
        <v>67</v>
      </c>
      <c r="K7" s="50"/>
      <c r="L7" s="50"/>
      <c r="M7" s="51" t="s">
        <v>68</v>
      </c>
      <c r="N7" s="51"/>
      <c r="O7" s="51"/>
      <c r="P7" s="51"/>
    </row>
    <row r="8" spans="1:18" ht="33.75" customHeight="1">
      <c r="A8" s="52" t="s">
        <v>35</v>
      </c>
      <c r="B8" s="52" t="s">
        <v>37</v>
      </c>
      <c r="C8" s="52" t="s">
        <v>39</v>
      </c>
      <c r="D8" s="52" t="s">
        <v>41</v>
      </c>
      <c r="E8" s="52" t="s">
        <v>43</v>
      </c>
      <c r="F8" s="52" t="s">
        <v>45</v>
      </c>
      <c r="G8" s="52" t="s">
        <v>47</v>
      </c>
      <c r="H8" s="52" t="s">
        <v>49</v>
      </c>
      <c r="I8" s="52" t="s">
        <v>51</v>
      </c>
      <c r="J8" s="52" t="s">
        <v>53</v>
      </c>
      <c r="K8" s="52" t="s">
        <v>55</v>
      </c>
      <c r="L8" s="52" t="s">
        <v>57</v>
      </c>
      <c r="M8" s="52" t="s">
        <v>30</v>
      </c>
      <c r="N8" s="52" t="s">
        <v>31</v>
      </c>
      <c r="O8" s="52" t="s">
        <v>61</v>
      </c>
      <c r="P8" s="52" t="s">
        <v>63</v>
      </c>
    </row>
    <row r="9" spans="1:18">
      <c r="A9" s="53" t="s">
        <v>36</v>
      </c>
      <c r="B9" s="53" t="s">
        <v>38</v>
      </c>
      <c r="C9" s="53" t="s">
        <v>40</v>
      </c>
      <c r="D9" s="53" t="s">
        <v>42</v>
      </c>
      <c r="E9" s="53" t="s">
        <v>44</v>
      </c>
      <c r="F9" s="53" t="s">
        <v>46</v>
      </c>
      <c r="G9" s="53" t="s">
        <v>48</v>
      </c>
      <c r="H9" s="53" t="s">
        <v>50</v>
      </c>
      <c r="I9" s="53" t="s">
        <v>52</v>
      </c>
      <c r="J9" s="53" t="s">
        <v>54</v>
      </c>
      <c r="K9" s="53" t="s">
        <v>56</v>
      </c>
      <c r="L9" s="53" t="s">
        <v>58</v>
      </c>
      <c r="M9" s="53" t="s">
        <v>59</v>
      </c>
      <c r="N9" s="53" t="s">
        <v>60</v>
      </c>
      <c r="O9" s="53" t="s">
        <v>62</v>
      </c>
      <c r="P9" s="53" t="s">
        <v>64</v>
      </c>
    </row>
    <row r="10" spans="1:18" ht="21" customHeight="1">
      <c r="A10" s="54" t="str">
        <f>'[01_Entry.xlsx]Pay'!B10</f>
        <v>1405/07/06</v>
      </c>
      <c r="B10" s="54" t="str">
        <f>'[01_Entry.xlsx]Pay'!C10</f>
        <v>PV-001</v>
      </c>
      <c r="C10" s="54" t="str">
        <f>'[01_Entry.xlsx]Pay'!D10</f>
        <v>پرداخت</v>
      </c>
      <c r="D10" s="54" t="str">
        <f>'[01_Entry.xlsx]Pay'!E10</f>
        <v>نقد</v>
      </c>
      <c r="E10" s="54" t="str">
        <f>'[01_Entry.xlsx]Pay'!F10</f>
        <v>C001</v>
      </c>
      <c r="F10" s="55" t="str">
        <f>'[01_Entry.xlsx]Pay'!G10</f>
        <v>زینب زاهدی</v>
      </c>
      <c r="G10" s="54" t="str">
        <f>'[01_Entry.xlsx]Pay'!H10</f>
        <v>باغدار</v>
      </c>
      <c r="H10" s="54" t="str">
        <f>'[01_Entry.xlsx]Pay'!I10</f>
        <v>empty</v>
      </c>
      <c r="I10" s="54">
        <f>'[01_Entry.xlsx]Pay'!J10</f>
        <v/>
      </c>
      <c r="J10" s="56">
        <f>'[01_Entry.xlsx]Pay'!K10</f>
        <v>150000000</v>
      </c>
      <c r="K10" s="54" t="str">
        <f>'[01_Entry.xlsx]Pay'!L10</f>
        <v>empty</v>
      </c>
      <c r="L10" s="54">
        <f>'[01_Entry.xlsx]Pay'!M10</f>
        <v/>
      </c>
      <c r="M10" s="57">
        <f>IF($D10="دریافت",IF($L10="انتقال داخلی",0,$J10),0)</f>
        <v>0</v>
      </c>
      <c r="N10" s="57">
        <f>IF($D10="پرداخت",IF($L10="انتقال داخلی",0,$J10),0)</f>
        <v>0</v>
      </c>
      <c r="O10" s="55" t="str">
        <f>'[01_Entry.xlsx]Pay'!P10</f>
        <v>علی‌الحساب خرید</v>
      </c>
      <c r="P10" s="54">
        <f>IF($B10="","","ثبت روزانه")</f>
        <v>0</v>
      </c>
    </row>
    <row r="11" spans="1:18" ht="21" customHeight="1">
      <c r="A11" s="54" t="str">
        <f>'[01_Entry.xlsx]Pay'!B11</f>
        <v>1405/07/06</v>
      </c>
      <c r="B11" s="54" t="str">
        <f>'[01_Entry.xlsx]Pay'!C11</f>
        <v>RV-001</v>
      </c>
      <c r="C11" s="54" t="str">
        <f>'[01_Entry.xlsx]Pay'!D11</f>
        <v>دریافت</v>
      </c>
      <c r="D11" s="54" t="str">
        <f>'[01_Entry.xlsx]Pay'!E11</f>
        <v>انتقال بانکی</v>
      </c>
      <c r="E11" s="54" t="str">
        <f>'[01_Entry.xlsx]Pay'!F11</f>
        <v>SL001</v>
      </c>
      <c r="F11" s="55" t="str">
        <f>'[01_Entry.xlsx]Pay'!G11</f>
        <v>قم — سید حسین حسینی</v>
      </c>
      <c r="G11" s="54" t="str">
        <f>'[01_Entry.xlsx]Pay'!H11</f>
        <v>بارفروش</v>
      </c>
      <c r="H11" s="54" t="str">
        <f>'[01_Entry.xlsx]Pay'!I11</f>
        <v>BANK01</v>
      </c>
      <c r="I11" s="54">
        <f>'[01_Entry.xlsx]Pay'!J11</f>
        <v/>
      </c>
      <c r="J11" s="56">
        <f>'[01_Entry.xlsx]Pay'!K11</f>
        <v>300000000</v>
      </c>
      <c r="K11" s="54" t="str">
        <f>'[01_Entry.xlsx]Pay'!L11</f>
        <v>empty</v>
      </c>
      <c r="L11" s="54">
        <f>'[01_Entry.xlsx]Pay'!M11</f>
        <v/>
      </c>
      <c r="M11" s="57">
        <f>IF($D11="دریافت",IF($L11="انتقال داخلی",0,$J11),0)</f>
        <v>0</v>
      </c>
      <c r="N11" s="57">
        <f>IF($D11="پرداخت",IF($L11="انتقال داخلی",0,$J11),0)</f>
        <v>0</v>
      </c>
      <c r="O11" s="55" t="str">
        <f>'[01_Entry.xlsx]Pay'!P11</f>
        <v>تسویه بار</v>
      </c>
      <c r="P11" s="54">
        <f>IF($B11="","","ثبت روزانه")</f>
        <v>0</v>
      </c>
    </row>
    <row r="12" spans="1:18" ht="21" customHeight="1">
      <c r="A12" s="54" t="str">
        <f>'[01_Entry.xlsx]Pay'!B12</f>
        <v>1405/07/07</v>
      </c>
      <c r="B12" s="54" t="str">
        <f>'[01_Entry.xlsx]Pay'!C12</f>
        <v>PV-002</v>
      </c>
      <c r="C12" s="54" t="str">
        <f>'[01_Entry.xlsx]Pay'!D12</f>
        <v>پرداخت</v>
      </c>
      <c r="D12" s="54" t="str">
        <f>'[01_Entry.xlsx]Pay'!E12</f>
        <v>چک</v>
      </c>
      <c r="E12" s="54" t="str">
        <f>'[01_Entry.xlsx]Pay'!F12</f>
        <v>C002</v>
      </c>
      <c r="F12" s="55" t="str">
        <f>'[01_Entry.xlsx]Pay'!G12</f>
        <v>سید عباس موسوی</v>
      </c>
      <c r="G12" s="54" t="str">
        <f>'[01_Entry.xlsx]Pay'!H12</f>
        <v>باغدار</v>
      </c>
      <c r="H12" s="54" t="str">
        <f>'[01_Entry.xlsx]Pay'!I12</f>
        <v>BANK01</v>
      </c>
      <c r="I12" s="54" t="str">
        <f>'[01_Entry.xlsx]Pay'!J12</f>
        <v>CHQ-1001</v>
      </c>
      <c r="J12" s="56">
        <f>'[01_Entry.xlsx]Pay'!K12</f>
        <v>200000000</v>
      </c>
      <c r="K12" s="54" t="str">
        <f>'[01_Entry.xlsx]Pay'!L12</f>
        <v>در جریان</v>
      </c>
      <c r="L12" s="54">
        <f>'[01_Entry.xlsx]Pay'!M12</f>
        <v/>
      </c>
      <c r="M12" s="57">
        <f>IF($D12="دریافت",IF($L12="انتقال داخلی",0,$J12),0)</f>
        <v>0</v>
      </c>
      <c r="N12" s="57">
        <f>IF($D12="پرداخت",IF($L12="انتقال داخلی",0,$J12),0)</f>
        <v>0</v>
      </c>
      <c r="O12" s="55" t="str">
        <f>'[01_Entry.xlsx]Pay'!P12</f>
        <v>چک ۳۰ روزه</v>
      </c>
      <c r="P12" s="54">
        <f>IF($B12="","","ثبت روزانه")</f>
        <v>0</v>
      </c>
    </row>
    <row r="13" spans="1:18" ht="21" customHeight="1">
      <c r="A13" s="54" t="str">
        <f>'[01_Entry.xlsx]Pay'!B13</f>
        <v>1405/07/08</v>
      </c>
      <c r="B13" s="54" t="str">
        <f>'[01_Entry.xlsx]Pay'!C13</f>
        <v>PV-003</v>
      </c>
      <c r="C13" s="54" t="str">
        <f>'[01_Entry.xlsx]Pay'!D13</f>
        <v>پرداخت</v>
      </c>
      <c r="D13" s="54" t="str">
        <f>'[01_Entry.xlsx]Pay'!E13</f>
        <v>انتقال بانکی</v>
      </c>
      <c r="E13" s="54" t="str">
        <f>'[01_Entry.xlsx]Pay'!F13</f>
        <v>C003</v>
      </c>
      <c r="F13" s="55" t="str">
        <f>'[01_Entry.xlsx]Pay'!G13</f>
        <v>حاج احمد عیسی پور</v>
      </c>
      <c r="G13" s="54" t="str">
        <f>'[01_Entry.xlsx]Pay'!H13</f>
        <v>باغدار</v>
      </c>
      <c r="H13" s="54" t="str">
        <f>'[01_Entry.xlsx]Pay'!I13</f>
        <v>BANK02</v>
      </c>
      <c r="I13" s="54">
        <f>'[01_Entry.xlsx]Pay'!J13</f>
        <v/>
      </c>
      <c r="J13" s="56">
        <f>'[01_Entry.xlsx]Pay'!K13</f>
        <v>80000000</v>
      </c>
      <c r="K13" s="54" t="str">
        <f>'[01_Entry.xlsx]Pay'!L13</f>
        <v>empty</v>
      </c>
      <c r="L13" s="54">
        <f>'[01_Entry.xlsx]Pay'!M13</f>
        <v/>
      </c>
      <c r="M13" s="57">
        <f>IF($D13="دریافت",IF($L13="انتقال داخلی",0,$J13),0)</f>
        <v>0</v>
      </c>
      <c r="N13" s="57">
        <f>IF($D13="پرداخت",IF($L13="انتقال داخلی",0,$J13),0)</f>
        <v>0</v>
      </c>
      <c r="O13" s="55" t="str">
        <f>'[01_Entry.xlsx]Pay'!P13</f>
        <v>empty</v>
      </c>
      <c r="P13" s="54">
        <f>IF($B13="","","ثبت روزانه")</f>
        <v>0</v>
      </c>
    </row>
    <row r="14" spans="1:18" ht="21" customHeight="1">
      <c r="A14" s="54" t="str">
        <f>'[01_Entry.xlsx]Pay'!B14</f>
        <v>1405/07/09</v>
      </c>
      <c r="B14" s="54" t="str">
        <f>'[01_Entry.xlsx]Pay'!C14</f>
        <v>RV-002</v>
      </c>
      <c r="C14" s="54" t="str">
        <f>'[01_Entry.xlsx]Pay'!D14</f>
        <v>دریافت</v>
      </c>
      <c r="D14" s="54" t="str">
        <f>'[01_Entry.xlsx]Pay'!E14</f>
        <v>کارت/پوز</v>
      </c>
      <c r="E14" s="54" t="str">
        <f>'[01_Entry.xlsx]Pay'!F14</f>
        <v>SL002</v>
      </c>
      <c r="F14" s="55" t="str">
        <f>'[01_Entry.xlsx]Pay'!G14</f>
        <v>مشهد — محمد توکلی</v>
      </c>
      <c r="G14" s="54" t="str">
        <f>'[01_Entry.xlsx]Pay'!H14</f>
        <v>بارفروش</v>
      </c>
      <c r="H14" s="54" t="str">
        <f>'[01_Entry.xlsx]Pay'!I14</f>
        <v>BANK02</v>
      </c>
      <c r="I14" s="54">
        <f>'[01_Entry.xlsx]Pay'!J14</f>
        <v/>
      </c>
      <c r="J14" s="56">
        <f>'[01_Entry.xlsx]Pay'!K14</f>
        <v>120000000</v>
      </c>
      <c r="K14" s="54" t="str">
        <f>'[01_Entry.xlsx]Pay'!L14</f>
        <v>empty</v>
      </c>
      <c r="L14" s="54">
        <f>'[01_Entry.xlsx]Pay'!M14</f>
        <v/>
      </c>
      <c r="M14" s="57">
        <f>IF($D14="دریافت",IF($L14="انتقال داخلی",0,$J14),0)</f>
        <v>0</v>
      </c>
      <c r="N14" s="57">
        <f>IF($D14="پرداخت",IF($L14="انتقال داخلی",0,$J14),0)</f>
        <v>0</v>
      </c>
      <c r="O14" s="55" t="str">
        <f>'[01_Entry.xlsx]Pay'!P14</f>
        <v>empty</v>
      </c>
      <c r="P14" s="54">
        <f>IF($B14="","","ثبت روزانه")</f>
        <v>0</v>
      </c>
    </row>
    <row r="15" spans="1:18" ht="21" customHeight="1">
      <c r="A15" s="54" t="str">
        <f>'[01_Entry.xlsx]Pay'!B15</f>
        <v>1405/07/10</v>
      </c>
      <c r="B15" s="54" t="str">
        <f>'[01_Entry.xlsx]Pay'!C15</f>
        <v>PV-004</v>
      </c>
      <c r="C15" s="54" t="str">
        <f>'[01_Entry.xlsx]Pay'!D15</f>
        <v>پرداخت</v>
      </c>
      <c r="D15" s="54" t="str">
        <f>'[01_Entry.xlsx]Pay'!E15</f>
        <v>پاس چک</v>
      </c>
      <c r="E15" s="54" t="str">
        <f>'[01_Entry.xlsx]Pay'!F15</f>
        <v>X010</v>
      </c>
      <c r="F15" s="55" t="str">
        <f>'[01_Entry.xlsx]Pay'!G15</f>
        <v>چک‌های پرداختی (در جریان)</v>
      </c>
      <c r="G15" s="54" t="str">
        <f>'[01_Entry.xlsx]Pay'!H15</f>
        <v>سایر حساب</v>
      </c>
      <c r="H15" s="54" t="str">
        <f>'[01_Entry.xlsx]Pay'!I15</f>
        <v>BANK01</v>
      </c>
      <c r="I15" s="54" t="str">
        <f>'[01_Entry.xlsx]Pay'!J15</f>
        <v>CHQ-1001</v>
      </c>
      <c r="J15" s="56">
        <f>'[01_Entry.xlsx]Pay'!K15</f>
        <v>200000000</v>
      </c>
      <c r="K15" s="54" t="str">
        <f>'[01_Entry.xlsx]Pay'!L15</f>
        <v>پاس شده</v>
      </c>
      <c r="L15" s="54">
        <f>'[01_Entry.xlsx]Pay'!M15</f>
        <v/>
      </c>
      <c r="M15" s="57">
        <f>IF($D15="دریافت",IF($L15="انتقال داخلی",0,$J15),0)</f>
        <v>0</v>
      </c>
      <c r="N15" s="57">
        <f>IF($D15="پرداخت",IF($L15="انتقال داخلی",0,$J15),0)</f>
        <v>0</v>
      </c>
      <c r="O15" s="55" t="str">
        <f>'[01_Entry.xlsx]Pay'!P15</f>
        <v>پاس شدن چک</v>
      </c>
      <c r="P15" s="54">
        <f>IF($B15="","","ثبت روزانه")</f>
        <v>0</v>
      </c>
    </row>
    <row r="16" spans="1:18" ht="21" customHeight="1">
      <c r="A16" s="54" t="str">
        <f>'[01_Entry.xlsx]Pay'!B16</f>
        <v>1405/07/10</v>
      </c>
      <c r="B16" s="54" t="str">
        <f>'[01_Entry.xlsx]Pay'!C16</f>
        <v>PV-005</v>
      </c>
      <c r="C16" s="54" t="str">
        <f>'[01_Entry.xlsx]Pay'!D16</f>
        <v>پرداخت</v>
      </c>
      <c r="D16" s="54" t="str">
        <f>'[01_Entry.xlsx]Pay'!E16</f>
        <v>نقد</v>
      </c>
      <c r="E16" s="54" t="str">
        <f>'[01_Entry.xlsx]Pay'!F16</f>
        <v>C006</v>
      </c>
      <c r="F16" s="55" t="str">
        <f>'[01_Entry.xlsx]Pay'!G16</f>
        <v>هوشنگ عیسی پور</v>
      </c>
      <c r="G16" s="54" t="str">
        <f>'[01_Entry.xlsx]Pay'!H16</f>
        <v>باغدار</v>
      </c>
      <c r="H16" s="54" t="str">
        <f>'[01_Entry.xlsx]Pay'!I16</f>
        <v>empty</v>
      </c>
      <c r="I16" s="54">
        <f>'[01_Entry.xlsx]Pay'!J16</f>
        <v/>
      </c>
      <c r="J16" s="56">
        <f>'[01_Entry.xlsx]Pay'!K16</f>
        <v>30000000</v>
      </c>
      <c r="K16" s="54" t="str">
        <f>'[01_Entry.xlsx]Pay'!L16</f>
        <v>empty</v>
      </c>
      <c r="L16" s="54">
        <f>'[01_Entry.xlsx]Pay'!M16</f>
        <v/>
      </c>
      <c r="M16" s="57">
        <f>IF($D16="دریافت",IF($L16="انتقال داخلی",0,$J16),0)</f>
        <v>0</v>
      </c>
      <c r="N16" s="57">
        <f>IF($D16="پرداخت",IF($L16="انتقال داخلی",0,$J16),0)</f>
        <v>0</v>
      </c>
      <c r="O16" s="55" t="str">
        <f>'[01_Entry.xlsx]Pay'!P16</f>
        <v>empty</v>
      </c>
      <c r="P16" s="54">
        <f>IF($B16="","","ثبت روزانه")</f>
        <v>0</v>
      </c>
    </row>
    <row r="17" spans="1:16" ht="21" customHeight="1">
      <c r="A17" s="54" t="str">
        <f>'[01_Entry.xlsx]Pay'!B17</f>
        <v>1405/07/11</v>
      </c>
      <c r="B17" s="54" t="str">
        <f>'[01_Entry.xlsx]Pay'!C17</f>
        <v>RV-003</v>
      </c>
      <c r="C17" s="54" t="str">
        <f>'[01_Entry.xlsx]Pay'!D17</f>
        <v>دریافت</v>
      </c>
      <c r="D17" s="54" t="str">
        <f>'[01_Entry.xlsx]Pay'!E17</f>
        <v>انتقال بانکی</v>
      </c>
      <c r="E17" s="54" t="str">
        <f>'[01_Entry.xlsx]Pay'!F17</f>
        <v>SL001</v>
      </c>
      <c r="F17" s="55" t="str">
        <f>'[01_Entry.xlsx]Pay'!G17</f>
        <v>قم — سید حسین حسینی</v>
      </c>
      <c r="G17" s="54" t="str">
        <f>'[01_Entry.xlsx]Pay'!H17</f>
        <v>بارفروش</v>
      </c>
      <c r="H17" s="54" t="str">
        <f>'[01_Entry.xlsx]Pay'!I17</f>
        <v>BANK02</v>
      </c>
      <c r="I17" s="54">
        <f>'[01_Entry.xlsx]Pay'!J17</f>
        <v/>
      </c>
      <c r="J17" s="56">
        <f>'[01_Entry.xlsx]Pay'!K17</f>
        <v>100000000</v>
      </c>
      <c r="K17" s="54" t="str">
        <f>'[01_Entry.xlsx]Pay'!L17</f>
        <v>empty</v>
      </c>
      <c r="L17" s="54">
        <f>'[01_Entry.xlsx]Pay'!M17</f>
        <v/>
      </c>
      <c r="M17" s="57">
        <f>IF($D17="دریافت",IF($L17="انتقال داخلی",0,$J17),0)</f>
        <v>0</v>
      </c>
      <c r="N17" s="57">
        <f>IF($D17="پرداخت",IF($L17="انتقال داخلی",0,$J17),0)</f>
        <v>0</v>
      </c>
      <c r="O17" s="55" t="str">
        <f>'[01_Entry.xlsx]Pay'!P17</f>
        <v>empty</v>
      </c>
      <c r="P17" s="54">
        <f>IF($B17="","","ثبت روزانه")</f>
        <v>0</v>
      </c>
    </row>
    <row r="18" spans="1:16" ht="21" customHeight="1">
      <c r="A18" s="54" t="str">
        <f>'[01_Entry.xlsx]Pay'!B18</f>
        <v>1405/07/11</v>
      </c>
      <c r="B18" s="54" t="str">
        <f>'[01_Entry.xlsx]Pay'!C18</f>
        <v>PV-006</v>
      </c>
      <c r="C18" s="54" t="str">
        <f>'[01_Entry.xlsx]Pay'!D18</f>
        <v>پرداخت</v>
      </c>
      <c r="D18" s="54" t="str">
        <f>'[01_Entry.xlsx]Pay'!E18</f>
        <v>نقد</v>
      </c>
      <c r="E18" s="54" t="str">
        <f>'[01_Entry.xlsx]Pay'!F18</f>
        <v>X001</v>
      </c>
      <c r="F18" s="55" t="str">
        <f>'[01_Entry.xlsx]Pay'!G18</f>
        <v>انعام مصطفی</v>
      </c>
      <c r="G18" s="54" t="str">
        <f>'[01_Entry.xlsx]Pay'!H18</f>
        <v>سایر حساب</v>
      </c>
      <c r="H18" s="54" t="str">
        <f>'[01_Entry.xlsx]Pay'!I18</f>
        <v>empty</v>
      </c>
      <c r="I18" s="54">
        <f>'[01_Entry.xlsx]Pay'!J18</f>
        <v/>
      </c>
      <c r="J18" s="56">
        <f>'[01_Entry.xlsx]Pay'!K18</f>
        <v>500000</v>
      </c>
      <c r="K18" s="54" t="str">
        <f>'[01_Entry.xlsx]Pay'!L18</f>
        <v>empty</v>
      </c>
      <c r="L18" s="54">
        <f>'[01_Entry.xlsx]Pay'!M18</f>
        <v/>
      </c>
      <c r="M18" s="57">
        <f>IF($D18="دریافت",IF($L18="انتقال داخلی",0,$J18),0)</f>
        <v>0</v>
      </c>
      <c r="N18" s="57">
        <f>IF($D18="پرداخت",IF($L18="انتقال داخلی",0,$J18),0)</f>
        <v>0</v>
      </c>
      <c r="O18" s="55" t="str">
        <f>'[01_Entry.xlsx]Pay'!P18</f>
        <v>تسویه انعام مصطفی</v>
      </c>
      <c r="P18" s="54">
        <f>IF($B18="","","ثبت روزانه")</f>
        <v>0</v>
      </c>
    </row>
    <row r="19" spans="1:16" ht="21" customHeight="1">
      <c r="A19" s="54" t="str">
        <f>'[01_Entry.xlsx]Pay'!B19</f>
        <v>1405/07/12</v>
      </c>
      <c r="B19" s="54" t="str">
        <f>'[01_Entry.xlsx]Pay'!C19</f>
        <v>PV-007</v>
      </c>
      <c r="C19" s="54" t="str">
        <f>'[01_Entry.xlsx]Pay'!D19</f>
        <v>پرداخت</v>
      </c>
      <c r="D19" s="54" t="str">
        <f>'[01_Entry.xlsx]Pay'!E19</f>
        <v>انتقال داخلی</v>
      </c>
      <c r="E19" s="54" t="str">
        <f>'[01_Entry.xlsx]Pay'!F19</f>
        <v>BANK02</v>
      </c>
      <c r="F19" s="55" t="str">
        <f>'[01_Entry.xlsx]Pay'!G19</f>
        <v>کد ناشناخته</v>
      </c>
      <c r="G19" s="54">
        <f>'[01_Entry.xlsx]Pay'!H19</f>
        <v/>
      </c>
      <c r="H19" s="54" t="str">
        <f>'[01_Entry.xlsx]Pay'!I19</f>
        <v>BANK01</v>
      </c>
      <c r="I19" s="54">
        <f>'[01_Entry.xlsx]Pay'!J19</f>
        <v/>
      </c>
      <c r="J19" s="56">
        <f>'[01_Entry.xlsx]Pay'!K19</f>
        <v>50000000</v>
      </c>
      <c r="K19" s="54" t="str">
        <f>'[01_Entry.xlsx]Pay'!L19</f>
        <v>empty</v>
      </c>
      <c r="L19" s="54">
        <f>'[01_Entry.xlsx]Pay'!M19</f>
        <v/>
      </c>
      <c r="M19" s="57">
        <f>IF($D19="دریافت",IF($L19="انتقال داخلی",0,$J19),0)</f>
        <v>0</v>
      </c>
      <c r="N19" s="57">
        <f>IF($D19="پرداخت",IF($L19="انتقال داخلی",0,$J19),0)</f>
        <v>0</v>
      </c>
      <c r="O19" s="55" t="str">
        <f>'[01_Entry.xlsx]Pay'!P19</f>
        <v>انتقال بین بانکی</v>
      </c>
      <c r="P19" s="54">
        <f>IF($B19="","","ثبت روزانه")</f>
        <v>0</v>
      </c>
    </row>
    <row r="20" spans="1:16" ht="21" customHeight="1">
      <c r="A20" s="54" t="str">
        <f>'[01_Entry.xlsx]Pay'!B20</f>
        <v>1405/07/07</v>
      </c>
      <c r="B20" s="54" t="str">
        <f>'[01_Entry.xlsx]Pay'!C20</f>
        <v>PV-008</v>
      </c>
      <c r="C20" s="54" t="str">
        <f>'[01_Entry.xlsx]Pay'!D20</f>
        <v>پرداخت</v>
      </c>
      <c r="D20" s="54" t="str">
        <f>'[01_Entry.xlsx]Pay'!E20</f>
        <v>چک</v>
      </c>
      <c r="E20" s="54" t="str">
        <f>'[01_Entry.xlsx]Pay'!F20</f>
        <v>C004</v>
      </c>
      <c r="F20" s="55" t="str">
        <f>'[01_Entry.xlsx]Pay'!G20</f>
        <v>امید زاهدی</v>
      </c>
      <c r="G20" s="54" t="str">
        <f>'[01_Entry.xlsx]Pay'!H20</f>
        <v>باغدار</v>
      </c>
      <c r="H20" s="54" t="str">
        <f>'[01_Entry.xlsx]Pay'!I20</f>
        <v>BANK03</v>
      </c>
      <c r="I20" s="54" t="str">
        <f>'[01_Entry.xlsx]Pay'!J20</f>
        <v>CHQ-1002</v>
      </c>
      <c r="J20" s="56">
        <f>'[01_Entry.xlsx]Pay'!K20</f>
        <v>60000000</v>
      </c>
      <c r="K20" s="54" t="str">
        <f>'[01_Entry.xlsx]Pay'!L20</f>
        <v>در جریان</v>
      </c>
      <c r="L20" s="54">
        <f>'[01_Entry.xlsx]Pay'!M20</f>
        <v/>
      </c>
      <c r="M20" s="57">
        <f>IF($D20="دریافت",IF($L20="انتقال داخلی",0,$J20),0)</f>
        <v>0</v>
      </c>
      <c r="N20" s="57">
        <f>IF($D20="پرداخت",IF($L20="انتقال داخلی",0,$J20),0)</f>
        <v>0</v>
      </c>
      <c r="O20" s="55" t="str">
        <f>'[01_Entry.xlsx]Pay'!P20</f>
        <v>در جریان</v>
      </c>
      <c r="P20" s="54">
        <f>IF($B20="","","ثبت روزانه")</f>
        <v>0</v>
      </c>
    </row>
    <row r="21" spans="1:16" ht="21" customHeight="1">
      <c r="A21" s="54" t="str">
        <f>'[01_Entry.xlsx]Pay'!B21</f>
        <v>1405/07/12</v>
      </c>
      <c r="B21" s="54" t="str">
        <f>'[01_Entry.xlsx]Pay'!C21</f>
        <v>RV-004</v>
      </c>
      <c r="C21" s="54" t="str">
        <f>'[01_Entry.xlsx]Pay'!D21</f>
        <v>دریافت</v>
      </c>
      <c r="D21" s="54" t="str">
        <f>'[01_Entry.xlsx]Pay'!E21</f>
        <v>انتقال بانکی</v>
      </c>
      <c r="E21" s="54" t="str">
        <f>'[01_Entry.xlsx]Pay'!F21</f>
        <v>SL002</v>
      </c>
      <c r="F21" s="55" t="str">
        <f>'[01_Entry.xlsx]Pay'!G21</f>
        <v>مشهد — محمد توکلی</v>
      </c>
      <c r="G21" s="54" t="str">
        <f>'[01_Entry.xlsx]Pay'!H21</f>
        <v>بارفروش</v>
      </c>
      <c r="H21" s="54" t="str">
        <f>'[01_Entry.xlsx]Pay'!I21</f>
        <v>BANK01</v>
      </c>
      <c r="I21" s="54">
        <f>'[01_Entry.xlsx]Pay'!J21</f>
        <v/>
      </c>
      <c r="J21" s="56">
        <f>'[01_Entry.xlsx]Pay'!K21</f>
        <v>50000000</v>
      </c>
      <c r="K21" s="54" t="str">
        <f>'[01_Entry.xlsx]Pay'!L21</f>
        <v>empty</v>
      </c>
      <c r="L21" s="54">
        <f>'[01_Entry.xlsx]Pay'!M21</f>
        <v/>
      </c>
      <c r="M21" s="57">
        <f>IF($D21="دریافت",IF($L21="انتقال داخلی",0,$J21),0)</f>
        <v>0</v>
      </c>
      <c r="N21" s="57">
        <f>IF($D21="پرداخت",IF($L21="انتقال داخلی",0,$J21),0)</f>
        <v>0</v>
      </c>
      <c r="O21" s="55" t="str">
        <f>'[01_Entry.xlsx]Pay'!P21</f>
        <v>empty</v>
      </c>
      <c r="P21" s="54">
        <f>IF($B21="","","ثبت روزانه")</f>
        <v>0</v>
      </c>
    </row>
    <row r="22" spans="1:16" ht="21" customHeight="1">
      <c r="A22" s="54" t="str">
        <f>'[01_Entry.xlsx]Pay'!B22</f>
        <v>empty</v>
      </c>
      <c r="B22" s="54" t="str">
        <f>'[01_Entry.xlsx]Pay'!C22</f>
        <v>empty</v>
      </c>
      <c r="C22" s="54" t="str">
        <f>'[01_Entry.xlsx]Pay'!D22</f>
        <v>empty</v>
      </c>
      <c r="D22" s="54" t="str">
        <f>'[01_Entry.xlsx]Pay'!E22</f>
        <v>empty</v>
      </c>
      <c r="E22" s="54" t="str">
        <f>'[01_Entry.xlsx]Pay'!F22</f>
        <v>empty</v>
      </c>
      <c r="F22" s="55">
        <f>'[01_Entry.xlsx]Pay'!G22</f>
        <v/>
      </c>
      <c r="G22" s="54">
        <f>'[01_Entry.xlsx]Pay'!H22</f>
        <v/>
      </c>
      <c r="H22" s="54" t="str">
        <f>'[01_Entry.xlsx]Pay'!I22</f>
        <v>empty</v>
      </c>
      <c r="I22" s="54">
        <f>'[01_Entry.xlsx]Pay'!J22</f>
        <v/>
      </c>
      <c r="J22" s="56" t="str">
        <f>'[01_Entry.xlsx]Pay'!K22</f>
        <v>empty</v>
      </c>
      <c r="K22" s="54" t="str">
        <f>'[01_Entry.xlsx]Pay'!L22</f>
        <v>empty</v>
      </c>
      <c r="L22" s="54">
        <f>'[01_Entry.xlsx]Pay'!M22</f>
        <v/>
      </c>
      <c r="M22" s="57">
        <f>IF($D22="دریافت",IF($L22="انتقال داخلی",0,$J22),0)</f>
        <v>0</v>
      </c>
      <c r="N22" s="57">
        <f>IF($D22="پرداخت",IF($L22="انتقال داخلی",0,$J22),0)</f>
        <v>0</v>
      </c>
      <c r="O22" s="55" t="str">
        <f>'[01_Entry.xlsx]Pay'!P22</f>
        <v>empty</v>
      </c>
      <c r="P22" s="54">
        <f>IF($B22="","","ثبت روزانه")</f>
        <v>0</v>
      </c>
    </row>
    <row r="23" spans="1:16" ht="21" customHeight="1">
      <c r="A23" s="54" t="str">
        <f>'[01_Entry.xlsx]Pay'!B23</f>
        <v>empty</v>
      </c>
      <c r="B23" s="54" t="str">
        <f>'[01_Entry.xlsx]Pay'!C23</f>
        <v>empty</v>
      </c>
      <c r="C23" s="54" t="str">
        <f>'[01_Entry.xlsx]Pay'!D23</f>
        <v>empty</v>
      </c>
      <c r="D23" s="54" t="str">
        <f>'[01_Entry.xlsx]Pay'!E23</f>
        <v>empty</v>
      </c>
      <c r="E23" s="54" t="str">
        <f>'[01_Entry.xlsx]Pay'!F23</f>
        <v>empty</v>
      </c>
      <c r="F23" s="55">
        <f>'[01_Entry.xlsx]Pay'!G23</f>
        <v/>
      </c>
      <c r="G23" s="54">
        <f>'[01_Entry.xlsx]Pay'!H23</f>
        <v/>
      </c>
      <c r="H23" s="54" t="str">
        <f>'[01_Entry.xlsx]Pay'!I23</f>
        <v>empty</v>
      </c>
      <c r="I23" s="54">
        <f>'[01_Entry.xlsx]Pay'!J23</f>
        <v/>
      </c>
      <c r="J23" s="56" t="str">
        <f>'[01_Entry.xlsx]Pay'!K23</f>
        <v>empty</v>
      </c>
      <c r="K23" s="54" t="str">
        <f>'[01_Entry.xlsx]Pay'!L23</f>
        <v>empty</v>
      </c>
      <c r="L23" s="54">
        <f>'[01_Entry.xlsx]Pay'!M23</f>
        <v/>
      </c>
      <c r="M23" s="57">
        <f>IF($D23="دریافت",IF($L23="انتقال داخلی",0,$J23),0)</f>
        <v>0</v>
      </c>
      <c r="N23" s="57">
        <f>IF($D23="پرداخت",IF($L23="انتقال داخلی",0,$J23),0)</f>
        <v>0</v>
      </c>
      <c r="O23" s="55" t="str">
        <f>'[01_Entry.xlsx]Pay'!P23</f>
        <v>empty</v>
      </c>
      <c r="P23" s="54">
        <f>IF($B23="","","ثبت روزانه")</f>
        <v>0</v>
      </c>
    </row>
    <row r="24" spans="1:16" ht="21" customHeight="1">
      <c r="A24" s="54" t="str">
        <f>'[01_Entry.xlsx]Pay'!B24</f>
        <v>empty</v>
      </c>
      <c r="B24" s="54" t="str">
        <f>'[01_Entry.xlsx]Pay'!C24</f>
        <v>empty</v>
      </c>
      <c r="C24" s="54" t="str">
        <f>'[01_Entry.xlsx]Pay'!D24</f>
        <v>empty</v>
      </c>
      <c r="D24" s="54" t="str">
        <f>'[01_Entry.xlsx]Pay'!E24</f>
        <v>empty</v>
      </c>
      <c r="E24" s="54" t="str">
        <f>'[01_Entry.xlsx]Pay'!F24</f>
        <v>empty</v>
      </c>
      <c r="F24" s="55">
        <f>'[01_Entry.xlsx]Pay'!G24</f>
        <v/>
      </c>
      <c r="G24" s="54">
        <f>'[01_Entry.xlsx]Pay'!H24</f>
        <v/>
      </c>
      <c r="H24" s="54" t="str">
        <f>'[01_Entry.xlsx]Pay'!I24</f>
        <v>empty</v>
      </c>
      <c r="I24" s="54">
        <f>'[01_Entry.xlsx]Pay'!J24</f>
        <v/>
      </c>
      <c r="J24" s="56" t="str">
        <f>'[01_Entry.xlsx]Pay'!K24</f>
        <v>empty</v>
      </c>
      <c r="K24" s="54" t="str">
        <f>'[01_Entry.xlsx]Pay'!L24</f>
        <v>empty</v>
      </c>
      <c r="L24" s="54">
        <f>'[01_Entry.xlsx]Pay'!M24</f>
        <v/>
      </c>
      <c r="M24" s="57">
        <f>IF($D24="دریافت",IF($L24="انتقال داخلی",0,$J24),0)</f>
        <v>0</v>
      </c>
      <c r="N24" s="57">
        <f>IF($D24="پرداخت",IF($L24="انتقال داخلی",0,$J24),0)</f>
        <v>0</v>
      </c>
      <c r="O24" s="55" t="str">
        <f>'[01_Entry.xlsx]Pay'!P24</f>
        <v>empty</v>
      </c>
      <c r="P24" s="54">
        <f>IF($B24="","","ثبت روزانه")</f>
        <v>0</v>
      </c>
    </row>
    <row r="25" spans="1:16" ht="21" customHeight="1">
      <c r="A25" s="54" t="str">
        <f>'[01_Entry.xlsx]Pay'!B25</f>
        <v>empty</v>
      </c>
      <c r="B25" s="54" t="str">
        <f>'[01_Entry.xlsx]Pay'!C25</f>
        <v>empty</v>
      </c>
      <c r="C25" s="54" t="str">
        <f>'[01_Entry.xlsx]Pay'!D25</f>
        <v>empty</v>
      </c>
      <c r="D25" s="54" t="str">
        <f>'[01_Entry.xlsx]Pay'!E25</f>
        <v>empty</v>
      </c>
      <c r="E25" s="54" t="str">
        <f>'[01_Entry.xlsx]Pay'!F25</f>
        <v>empty</v>
      </c>
      <c r="F25" s="55">
        <f>'[01_Entry.xlsx]Pay'!G25</f>
        <v/>
      </c>
      <c r="G25" s="54">
        <f>'[01_Entry.xlsx]Pay'!H25</f>
        <v/>
      </c>
      <c r="H25" s="54" t="str">
        <f>'[01_Entry.xlsx]Pay'!I25</f>
        <v>empty</v>
      </c>
      <c r="I25" s="54">
        <f>'[01_Entry.xlsx]Pay'!J25</f>
        <v/>
      </c>
      <c r="J25" s="56" t="str">
        <f>'[01_Entry.xlsx]Pay'!K25</f>
        <v>empty</v>
      </c>
      <c r="K25" s="54" t="str">
        <f>'[01_Entry.xlsx]Pay'!L25</f>
        <v>empty</v>
      </c>
      <c r="L25" s="54">
        <f>'[01_Entry.xlsx]Pay'!M25</f>
        <v/>
      </c>
      <c r="M25" s="57">
        <f>IF($D25="دریافت",IF($L25="انتقال داخلی",0,$J25),0)</f>
        <v>0</v>
      </c>
      <c r="N25" s="57">
        <f>IF($D25="پرداخت",IF($L25="انتقال داخلی",0,$J25),0)</f>
        <v>0</v>
      </c>
      <c r="O25" s="55" t="str">
        <f>'[01_Entry.xlsx]Pay'!P25</f>
        <v>empty</v>
      </c>
      <c r="P25" s="54">
        <f>IF($B25="","","ثبت روزانه")</f>
        <v>0</v>
      </c>
    </row>
    <row r="26" spans="1:16" ht="21" customHeight="1">
      <c r="A26" s="54" t="str">
        <f>'[01_Entry.xlsx]Pay'!B26</f>
        <v>empty</v>
      </c>
      <c r="B26" s="54" t="str">
        <f>'[01_Entry.xlsx]Pay'!C26</f>
        <v>empty</v>
      </c>
      <c r="C26" s="54" t="str">
        <f>'[01_Entry.xlsx]Pay'!D26</f>
        <v>empty</v>
      </c>
      <c r="D26" s="54" t="str">
        <f>'[01_Entry.xlsx]Pay'!E26</f>
        <v>empty</v>
      </c>
      <c r="E26" s="54" t="str">
        <f>'[01_Entry.xlsx]Pay'!F26</f>
        <v>empty</v>
      </c>
      <c r="F26" s="55">
        <f>'[01_Entry.xlsx]Pay'!G26</f>
        <v/>
      </c>
      <c r="G26" s="54">
        <f>'[01_Entry.xlsx]Pay'!H26</f>
        <v/>
      </c>
      <c r="H26" s="54" t="str">
        <f>'[01_Entry.xlsx]Pay'!I26</f>
        <v>empty</v>
      </c>
      <c r="I26" s="54">
        <f>'[01_Entry.xlsx]Pay'!J26</f>
        <v/>
      </c>
      <c r="J26" s="56" t="str">
        <f>'[01_Entry.xlsx]Pay'!K26</f>
        <v>empty</v>
      </c>
      <c r="K26" s="54" t="str">
        <f>'[01_Entry.xlsx]Pay'!L26</f>
        <v>empty</v>
      </c>
      <c r="L26" s="54">
        <f>'[01_Entry.xlsx]Pay'!M26</f>
        <v/>
      </c>
      <c r="M26" s="57">
        <f>IF($D26="دریافت",IF($L26="انتقال داخلی",0,$J26),0)</f>
        <v>0</v>
      </c>
      <c r="N26" s="57">
        <f>IF($D26="پرداخت",IF($L26="انتقال داخلی",0,$J26),0)</f>
        <v>0</v>
      </c>
      <c r="O26" s="55" t="str">
        <f>'[01_Entry.xlsx]Pay'!P26</f>
        <v>empty</v>
      </c>
      <c r="P26" s="54">
        <f>IF($B26="","","ثبت روزانه")</f>
        <v>0</v>
      </c>
    </row>
    <row r="27" spans="1:16" ht="21" customHeight="1">
      <c r="A27" s="54" t="str">
        <f>'[01_Entry.xlsx]Pay'!B27</f>
        <v>empty</v>
      </c>
      <c r="B27" s="54" t="str">
        <f>'[01_Entry.xlsx]Pay'!C27</f>
        <v>empty</v>
      </c>
      <c r="C27" s="54" t="str">
        <f>'[01_Entry.xlsx]Pay'!D27</f>
        <v>empty</v>
      </c>
      <c r="D27" s="54" t="str">
        <f>'[01_Entry.xlsx]Pay'!E27</f>
        <v>empty</v>
      </c>
      <c r="E27" s="54" t="str">
        <f>'[01_Entry.xlsx]Pay'!F27</f>
        <v>empty</v>
      </c>
      <c r="F27" s="55">
        <f>'[01_Entry.xlsx]Pay'!G27</f>
        <v/>
      </c>
      <c r="G27" s="54">
        <f>'[01_Entry.xlsx]Pay'!H27</f>
        <v/>
      </c>
      <c r="H27" s="54" t="str">
        <f>'[01_Entry.xlsx]Pay'!I27</f>
        <v>empty</v>
      </c>
      <c r="I27" s="54">
        <f>'[01_Entry.xlsx]Pay'!J27</f>
        <v/>
      </c>
      <c r="J27" s="56" t="str">
        <f>'[01_Entry.xlsx]Pay'!K27</f>
        <v>empty</v>
      </c>
      <c r="K27" s="54" t="str">
        <f>'[01_Entry.xlsx]Pay'!L27</f>
        <v>empty</v>
      </c>
      <c r="L27" s="54">
        <f>'[01_Entry.xlsx]Pay'!M27</f>
        <v/>
      </c>
      <c r="M27" s="57">
        <f>IF($D27="دریافت",IF($L27="انتقال داخلی",0,$J27),0)</f>
        <v>0</v>
      </c>
      <c r="N27" s="57">
        <f>IF($D27="پرداخت",IF($L27="انتقال داخلی",0,$J27),0)</f>
        <v>0</v>
      </c>
      <c r="O27" s="55" t="str">
        <f>'[01_Entry.xlsx]Pay'!P27</f>
        <v>empty</v>
      </c>
      <c r="P27" s="54">
        <f>IF($B27="","","ثبت روزانه")</f>
        <v>0</v>
      </c>
    </row>
    <row r="28" spans="1:16" ht="21" customHeight="1">
      <c r="A28" s="54" t="str">
        <f>'[01_Entry.xlsx]Pay'!B28</f>
        <v>empty</v>
      </c>
      <c r="B28" s="54" t="str">
        <f>'[01_Entry.xlsx]Pay'!C28</f>
        <v>empty</v>
      </c>
      <c r="C28" s="54" t="str">
        <f>'[01_Entry.xlsx]Pay'!D28</f>
        <v>empty</v>
      </c>
      <c r="D28" s="54" t="str">
        <f>'[01_Entry.xlsx]Pay'!E28</f>
        <v>empty</v>
      </c>
      <c r="E28" s="54" t="str">
        <f>'[01_Entry.xlsx]Pay'!F28</f>
        <v>empty</v>
      </c>
      <c r="F28" s="55">
        <f>'[01_Entry.xlsx]Pay'!G28</f>
        <v/>
      </c>
      <c r="G28" s="54">
        <f>'[01_Entry.xlsx]Pay'!H28</f>
        <v/>
      </c>
      <c r="H28" s="54" t="str">
        <f>'[01_Entry.xlsx]Pay'!I28</f>
        <v>empty</v>
      </c>
      <c r="I28" s="54">
        <f>'[01_Entry.xlsx]Pay'!J28</f>
        <v/>
      </c>
      <c r="J28" s="56" t="str">
        <f>'[01_Entry.xlsx]Pay'!K28</f>
        <v>empty</v>
      </c>
      <c r="K28" s="54" t="str">
        <f>'[01_Entry.xlsx]Pay'!L28</f>
        <v>empty</v>
      </c>
      <c r="L28" s="54">
        <f>'[01_Entry.xlsx]Pay'!M28</f>
        <v/>
      </c>
      <c r="M28" s="57">
        <f>IF($D28="دریافت",IF($L28="انتقال داخلی",0,$J28),0)</f>
        <v>0</v>
      </c>
      <c r="N28" s="57">
        <f>IF($D28="پرداخت",IF($L28="انتقال داخلی",0,$J28),0)</f>
        <v>0</v>
      </c>
      <c r="O28" s="55" t="str">
        <f>'[01_Entry.xlsx]Pay'!P28</f>
        <v>empty</v>
      </c>
      <c r="P28" s="54">
        <f>IF($B28="","","ثبت روزانه")</f>
        <v>0</v>
      </c>
    </row>
    <row r="29" spans="1:16" ht="21" customHeight="1">
      <c r="A29" s="54" t="str">
        <f>'[01_Entry.xlsx]Pay'!B29</f>
        <v>empty</v>
      </c>
      <c r="B29" s="54" t="str">
        <f>'[01_Entry.xlsx]Pay'!C29</f>
        <v>empty</v>
      </c>
      <c r="C29" s="54" t="str">
        <f>'[01_Entry.xlsx]Pay'!D29</f>
        <v>empty</v>
      </c>
      <c r="D29" s="54" t="str">
        <f>'[01_Entry.xlsx]Pay'!E29</f>
        <v>empty</v>
      </c>
      <c r="E29" s="54" t="str">
        <f>'[01_Entry.xlsx]Pay'!F29</f>
        <v>empty</v>
      </c>
      <c r="F29" s="55">
        <f>'[01_Entry.xlsx]Pay'!G29</f>
        <v/>
      </c>
      <c r="G29" s="54">
        <f>'[01_Entry.xlsx]Pay'!H29</f>
        <v/>
      </c>
      <c r="H29" s="54" t="str">
        <f>'[01_Entry.xlsx]Pay'!I29</f>
        <v>empty</v>
      </c>
      <c r="I29" s="54">
        <f>'[01_Entry.xlsx]Pay'!J29</f>
        <v/>
      </c>
      <c r="J29" s="56" t="str">
        <f>'[01_Entry.xlsx]Pay'!K29</f>
        <v>empty</v>
      </c>
      <c r="K29" s="54" t="str">
        <f>'[01_Entry.xlsx]Pay'!L29</f>
        <v>empty</v>
      </c>
      <c r="L29" s="54">
        <f>'[01_Entry.xlsx]Pay'!M29</f>
        <v/>
      </c>
      <c r="M29" s="57">
        <f>IF($D29="دریافت",IF($L29="انتقال داخلی",0,$J29),0)</f>
        <v>0</v>
      </c>
      <c r="N29" s="57">
        <f>IF($D29="پرداخت",IF($L29="انتقال داخلی",0,$J29),0)</f>
        <v>0</v>
      </c>
      <c r="O29" s="55" t="str">
        <f>'[01_Entry.xlsx]Pay'!P29</f>
        <v>empty</v>
      </c>
      <c r="P29" s="54">
        <f>IF($B29="","","ثبت روزانه")</f>
        <v>0</v>
      </c>
    </row>
    <row r="30" spans="1:16" ht="21" customHeight="1">
      <c r="A30" s="54" t="str">
        <f>'[01_Entry.xlsx]Pay'!B30</f>
        <v>empty</v>
      </c>
      <c r="B30" s="54" t="str">
        <f>'[01_Entry.xlsx]Pay'!C30</f>
        <v>empty</v>
      </c>
      <c r="C30" s="54" t="str">
        <f>'[01_Entry.xlsx]Pay'!D30</f>
        <v>empty</v>
      </c>
      <c r="D30" s="54" t="str">
        <f>'[01_Entry.xlsx]Pay'!E30</f>
        <v>empty</v>
      </c>
      <c r="E30" s="54" t="str">
        <f>'[01_Entry.xlsx]Pay'!F30</f>
        <v>empty</v>
      </c>
      <c r="F30" s="55">
        <f>'[01_Entry.xlsx]Pay'!G30</f>
        <v/>
      </c>
      <c r="G30" s="54">
        <f>'[01_Entry.xlsx]Pay'!H30</f>
        <v/>
      </c>
      <c r="H30" s="54" t="str">
        <f>'[01_Entry.xlsx]Pay'!I30</f>
        <v>empty</v>
      </c>
      <c r="I30" s="54">
        <f>'[01_Entry.xlsx]Pay'!J30</f>
        <v/>
      </c>
      <c r="J30" s="56" t="str">
        <f>'[01_Entry.xlsx]Pay'!K30</f>
        <v>empty</v>
      </c>
      <c r="K30" s="54" t="str">
        <f>'[01_Entry.xlsx]Pay'!L30</f>
        <v>empty</v>
      </c>
      <c r="L30" s="54">
        <f>'[01_Entry.xlsx]Pay'!M30</f>
        <v/>
      </c>
      <c r="M30" s="57">
        <f>IF($D30="دریافت",IF($L30="انتقال داخلی",0,$J30),0)</f>
        <v>0</v>
      </c>
      <c r="N30" s="57">
        <f>IF($D30="پرداخت",IF($L30="انتقال داخلی",0,$J30),0)</f>
        <v>0</v>
      </c>
      <c r="O30" s="55" t="str">
        <f>'[01_Entry.xlsx]Pay'!P30</f>
        <v>empty</v>
      </c>
      <c r="P30" s="54">
        <f>IF($B30="","","ثبت روزانه")</f>
        <v>0</v>
      </c>
    </row>
    <row r="31" spans="1:16" ht="21" customHeight="1">
      <c r="A31" s="54" t="str">
        <f>'[01_Entry.xlsx]Pay'!B31</f>
        <v>empty</v>
      </c>
      <c r="B31" s="54" t="str">
        <f>'[01_Entry.xlsx]Pay'!C31</f>
        <v>empty</v>
      </c>
      <c r="C31" s="54" t="str">
        <f>'[01_Entry.xlsx]Pay'!D31</f>
        <v>empty</v>
      </c>
      <c r="D31" s="54" t="str">
        <f>'[01_Entry.xlsx]Pay'!E31</f>
        <v>empty</v>
      </c>
      <c r="E31" s="54" t="str">
        <f>'[01_Entry.xlsx]Pay'!F31</f>
        <v>empty</v>
      </c>
      <c r="F31" s="55">
        <f>'[01_Entry.xlsx]Pay'!G31</f>
        <v/>
      </c>
      <c r="G31" s="54">
        <f>'[01_Entry.xlsx]Pay'!H31</f>
        <v/>
      </c>
      <c r="H31" s="54" t="str">
        <f>'[01_Entry.xlsx]Pay'!I31</f>
        <v>empty</v>
      </c>
      <c r="I31" s="54">
        <f>'[01_Entry.xlsx]Pay'!J31</f>
        <v/>
      </c>
      <c r="J31" s="56" t="str">
        <f>'[01_Entry.xlsx]Pay'!K31</f>
        <v>empty</v>
      </c>
      <c r="K31" s="54" t="str">
        <f>'[01_Entry.xlsx]Pay'!L31</f>
        <v>empty</v>
      </c>
      <c r="L31" s="54">
        <f>'[01_Entry.xlsx]Pay'!M31</f>
        <v/>
      </c>
      <c r="M31" s="57">
        <f>IF($D31="دریافت",IF($L31="انتقال داخلی",0,$J31),0)</f>
        <v>0</v>
      </c>
      <c r="N31" s="57">
        <f>IF($D31="پرداخت",IF($L31="انتقال داخلی",0,$J31),0)</f>
        <v>0</v>
      </c>
      <c r="O31" s="55" t="str">
        <f>'[01_Entry.xlsx]Pay'!P31</f>
        <v>empty</v>
      </c>
      <c r="P31" s="54">
        <f>IF($B31="","","ثبت روزانه")</f>
        <v>0</v>
      </c>
    </row>
    <row r="32" spans="1:16" ht="21" customHeight="1">
      <c r="A32" s="54" t="str">
        <f>'[01_Entry.xlsx]Pay'!B32</f>
        <v>empty</v>
      </c>
      <c r="B32" s="54" t="str">
        <f>'[01_Entry.xlsx]Pay'!C32</f>
        <v>empty</v>
      </c>
      <c r="C32" s="54" t="str">
        <f>'[01_Entry.xlsx]Pay'!D32</f>
        <v>empty</v>
      </c>
      <c r="D32" s="54" t="str">
        <f>'[01_Entry.xlsx]Pay'!E32</f>
        <v>empty</v>
      </c>
      <c r="E32" s="54" t="str">
        <f>'[01_Entry.xlsx]Pay'!F32</f>
        <v>empty</v>
      </c>
      <c r="F32" s="55">
        <f>'[01_Entry.xlsx]Pay'!G32</f>
        <v/>
      </c>
      <c r="G32" s="54">
        <f>'[01_Entry.xlsx]Pay'!H32</f>
        <v/>
      </c>
      <c r="H32" s="54" t="str">
        <f>'[01_Entry.xlsx]Pay'!I32</f>
        <v>empty</v>
      </c>
      <c r="I32" s="54">
        <f>'[01_Entry.xlsx]Pay'!J32</f>
        <v/>
      </c>
      <c r="J32" s="56" t="str">
        <f>'[01_Entry.xlsx]Pay'!K32</f>
        <v>empty</v>
      </c>
      <c r="K32" s="54" t="str">
        <f>'[01_Entry.xlsx]Pay'!L32</f>
        <v>empty</v>
      </c>
      <c r="L32" s="54">
        <f>'[01_Entry.xlsx]Pay'!M32</f>
        <v/>
      </c>
      <c r="M32" s="57">
        <f>IF($D32="دریافت",IF($L32="انتقال داخلی",0,$J32),0)</f>
        <v>0</v>
      </c>
      <c r="N32" s="57">
        <f>IF($D32="پرداخت",IF($L32="انتقال داخلی",0,$J32),0)</f>
        <v>0</v>
      </c>
      <c r="O32" s="55" t="str">
        <f>'[01_Entry.xlsx]Pay'!P32</f>
        <v>empty</v>
      </c>
      <c r="P32" s="54">
        <f>IF($B32="","","ثبت روزانه")</f>
        <v>0</v>
      </c>
    </row>
    <row r="33" spans="1:16" ht="21" customHeight="1">
      <c r="A33" s="54" t="str">
        <f>'[01_Entry.xlsx]Pay'!B33</f>
        <v>empty</v>
      </c>
      <c r="B33" s="54" t="str">
        <f>'[01_Entry.xlsx]Pay'!C33</f>
        <v>empty</v>
      </c>
      <c r="C33" s="54" t="str">
        <f>'[01_Entry.xlsx]Pay'!D33</f>
        <v>empty</v>
      </c>
      <c r="D33" s="54" t="str">
        <f>'[01_Entry.xlsx]Pay'!E33</f>
        <v>empty</v>
      </c>
      <c r="E33" s="54" t="str">
        <f>'[01_Entry.xlsx]Pay'!F33</f>
        <v>empty</v>
      </c>
      <c r="F33" s="55">
        <f>'[01_Entry.xlsx]Pay'!G33</f>
        <v/>
      </c>
      <c r="G33" s="54">
        <f>'[01_Entry.xlsx]Pay'!H33</f>
        <v/>
      </c>
      <c r="H33" s="54" t="str">
        <f>'[01_Entry.xlsx]Pay'!I33</f>
        <v>empty</v>
      </c>
      <c r="I33" s="54">
        <f>'[01_Entry.xlsx]Pay'!J33</f>
        <v/>
      </c>
      <c r="J33" s="56" t="str">
        <f>'[01_Entry.xlsx]Pay'!K33</f>
        <v>empty</v>
      </c>
      <c r="K33" s="54" t="str">
        <f>'[01_Entry.xlsx]Pay'!L33</f>
        <v>empty</v>
      </c>
      <c r="L33" s="54">
        <f>'[01_Entry.xlsx]Pay'!M33</f>
        <v/>
      </c>
      <c r="M33" s="57">
        <f>IF($D33="دریافت",IF($L33="انتقال داخلی",0,$J33),0)</f>
        <v>0</v>
      </c>
      <c r="N33" s="57">
        <f>IF($D33="پرداخت",IF($L33="انتقال داخلی",0,$J33),0)</f>
        <v>0</v>
      </c>
      <c r="O33" s="55" t="str">
        <f>'[01_Entry.xlsx]Pay'!P33</f>
        <v>empty</v>
      </c>
      <c r="P33" s="54">
        <f>IF($B33="","","ثبت روزانه")</f>
        <v>0</v>
      </c>
    </row>
    <row r="34" spans="1:16" ht="21" customHeight="1">
      <c r="A34" s="54" t="str">
        <f>'[01_Entry.xlsx]Pay'!B34</f>
        <v>empty</v>
      </c>
      <c r="B34" s="54" t="str">
        <f>'[01_Entry.xlsx]Pay'!C34</f>
        <v>empty</v>
      </c>
      <c r="C34" s="54" t="str">
        <f>'[01_Entry.xlsx]Pay'!D34</f>
        <v>empty</v>
      </c>
      <c r="D34" s="54" t="str">
        <f>'[01_Entry.xlsx]Pay'!E34</f>
        <v>empty</v>
      </c>
      <c r="E34" s="54" t="str">
        <f>'[01_Entry.xlsx]Pay'!F34</f>
        <v>empty</v>
      </c>
      <c r="F34" s="55">
        <f>'[01_Entry.xlsx]Pay'!G34</f>
        <v/>
      </c>
      <c r="G34" s="54">
        <f>'[01_Entry.xlsx]Pay'!H34</f>
        <v/>
      </c>
      <c r="H34" s="54" t="str">
        <f>'[01_Entry.xlsx]Pay'!I34</f>
        <v>empty</v>
      </c>
      <c r="I34" s="54">
        <f>'[01_Entry.xlsx]Pay'!J34</f>
        <v/>
      </c>
      <c r="J34" s="56" t="str">
        <f>'[01_Entry.xlsx]Pay'!K34</f>
        <v>empty</v>
      </c>
      <c r="K34" s="54" t="str">
        <f>'[01_Entry.xlsx]Pay'!L34</f>
        <v>empty</v>
      </c>
      <c r="L34" s="54">
        <f>'[01_Entry.xlsx]Pay'!M34</f>
        <v/>
      </c>
      <c r="M34" s="57">
        <f>IF($D34="دریافت",IF($L34="انتقال داخلی",0,$J34),0)</f>
        <v>0</v>
      </c>
      <c r="N34" s="57">
        <f>IF($D34="پرداخت",IF($L34="انتقال داخلی",0,$J34),0)</f>
        <v>0</v>
      </c>
      <c r="O34" s="55" t="str">
        <f>'[01_Entry.xlsx]Pay'!P34</f>
        <v>empty</v>
      </c>
      <c r="P34" s="54">
        <f>IF($B34="","","ثبت روزانه")</f>
        <v>0</v>
      </c>
    </row>
    <row r="35" spans="1:16" ht="21" customHeight="1">
      <c r="A35" s="54" t="str">
        <f>'[01_Entry.xlsx]Pay'!B35</f>
        <v>empty</v>
      </c>
      <c r="B35" s="54" t="str">
        <f>'[01_Entry.xlsx]Pay'!C35</f>
        <v>empty</v>
      </c>
      <c r="C35" s="54" t="str">
        <f>'[01_Entry.xlsx]Pay'!D35</f>
        <v>empty</v>
      </c>
      <c r="D35" s="54" t="str">
        <f>'[01_Entry.xlsx]Pay'!E35</f>
        <v>empty</v>
      </c>
      <c r="E35" s="54" t="str">
        <f>'[01_Entry.xlsx]Pay'!F35</f>
        <v>empty</v>
      </c>
      <c r="F35" s="55">
        <f>'[01_Entry.xlsx]Pay'!G35</f>
        <v/>
      </c>
      <c r="G35" s="54">
        <f>'[01_Entry.xlsx]Pay'!H35</f>
        <v/>
      </c>
      <c r="H35" s="54" t="str">
        <f>'[01_Entry.xlsx]Pay'!I35</f>
        <v>empty</v>
      </c>
      <c r="I35" s="54">
        <f>'[01_Entry.xlsx]Pay'!J35</f>
        <v/>
      </c>
      <c r="J35" s="56" t="str">
        <f>'[01_Entry.xlsx]Pay'!K35</f>
        <v>empty</v>
      </c>
      <c r="K35" s="54" t="str">
        <f>'[01_Entry.xlsx]Pay'!L35</f>
        <v>empty</v>
      </c>
      <c r="L35" s="54">
        <f>'[01_Entry.xlsx]Pay'!M35</f>
        <v/>
      </c>
      <c r="M35" s="57">
        <f>IF($D35="دریافت",IF($L35="انتقال داخلی",0,$J35),0)</f>
        <v>0</v>
      </c>
      <c r="N35" s="57">
        <f>IF($D35="پرداخت",IF($L35="انتقال داخلی",0,$J35),0)</f>
        <v>0</v>
      </c>
      <c r="O35" s="55" t="str">
        <f>'[01_Entry.xlsx]Pay'!P35</f>
        <v>empty</v>
      </c>
      <c r="P35" s="54">
        <f>IF($B35="","","ثبت روزانه")</f>
        <v>0</v>
      </c>
    </row>
    <row r="36" spans="1:16" ht="21" customHeight="1">
      <c r="A36" s="54" t="str">
        <f>'[01_Entry.xlsx]Pay'!B36</f>
        <v>empty</v>
      </c>
      <c r="B36" s="54" t="str">
        <f>'[01_Entry.xlsx]Pay'!C36</f>
        <v>empty</v>
      </c>
      <c r="C36" s="54" t="str">
        <f>'[01_Entry.xlsx]Pay'!D36</f>
        <v>empty</v>
      </c>
      <c r="D36" s="54" t="str">
        <f>'[01_Entry.xlsx]Pay'!E36</f>
        <v>empty</v>
      </c>
      <c r="E36" s="54" t="str">
        <f>'[01_Entry.xlsx]Pay'!F36</f>
        <v>empty</v>
      </c>
      <c r="F36" s="55">
        <f>'[01_Entry.xlsx]Pay'!G36</f>
        <v/>
      </c>
      <c r="G36" s="54">
        <f>'[01_Entry.xlsx]Pay'!H36</f>
        <v/>
      </c>
      <c r="H36" s="54" t="str">
        <f>'[01_Entry.xlsx]Pay'!I36</f>
        <v>empty</v>
      </c>
      <c r="I36" s="54">
        <f>'[01_Entry.xlsx]Pay'!J36</f>
        <v/>
      </c>
      <c r="J36" s="56" t="str">
        <f>'[01_Entry.xlsx]Pay'!K36</f>
        <v>empty</v>
      </c>
      <c r="K36" s="54" t="str">
        <f>'[01_Entry.xlsx]Pay'!L36</f>
        <v>empty</v>
      </c>
      <c r="L36" s="54">
        <f>'[01_Entry.xlsx]Pay'!M36</f>
        <v/>
      </c>
      <c r="M36" s="57">
        <f>IF($D36="دریافت",IF($L36="انتقال داخلی",0,$J36),0)</f>
        <v>0</v>
      </c>
      <c r="N36" s="57">
        <f>IF($D36="پرداخت",IF($L36="انتقال داخلی",0,$J36),0)</f>
        <v>0</v>
      </c>
      <c r="O36" s="55" t="str">
        <f>'[01_Entry.xlsx]Pay'!P36</f>
        <v>empty</v>
      </c>
      <c r="P36" s="54">
        <f>IF($B36="","","ثبت روزانه")</f>
        <v>0</v>
      </c>
    </row>
    <row r="37" spans="1:16" ht="21" customHeight="1">
      <c r="A37" s="54" t="str">
        <f>'[01_Entry.xlsx]Pay'!B37</f>
        <v>empty</v>
      </c>
      <c r="B37" s="54" t="str">
        <f>'[01_Entry.xlsx]Pay'!C37</f>
        <v>empty</v>
      </c>
      <c r="C37" s="54" t="str">
        <f>'[01_Entry.xlsx]Pay'!D37</f>
        <v>empty</v>
      </c>
      <c r="D37" s="54" t="str">
        <f>'[01_Entry.xlsx]Pay'!E37</f>
        <v>empty</v>
      </c>
      <c r="E37" s="54" t="str">
        <f>'[01_Entry.xlsx]Pay'!F37</f>
        <v>empty</v>
      </c>
      <c r="F37" s="55">
        <f>'[01_Entry.xlsx]Pay'!G37</f>
        <v/>
      </c>
      <c r="G37" s="54">
        <f>'[01_Entry.xlsx]Pay'!H37</f>
        <v/>
      </c>
      <c r="H37" s="54" t="str">
        <f>'[01_Entry.xlsx]Pay'!I37</f>
        <v>empty</v>
      </c>
      <c r="I37" s="54">
        <f>'[01_Entry.xlsx]Pay'!J37</f>
        <v/>
      </c>
      <c r="J37" s="56" t="str">
        <f>'[01_Entry.xlsx]Pay'!K37</f>
        <v>empty</v>
      </c>
      <c r="K37" s="54" t="str">
        <f>'[01_Entry.xlsx]Pay'!L37</f>
        <v>empty</v>
      </c>
      <c r="L37" s="54">
        <f>'[01_Entry.xlsx]Pay'!M37</f>
        <v/>
      </c>
      <c r="M37" s="57">
        <f>IF($D37="دریافت",IF($L37="انتقال داخلی",0,$J37),0)</f>
        <v>0</v>
      </c>
      <c r="N37" s="57">
        <f>IF($D37="پرداخت",IF($L37="انتقال داخلی",0,$J37),0)</f>
        <v>0</v>
      </c>
      <c r="O37" s="55" t="str">
        <f>'[01_Entry.xlsx]Pay'!P37</f>
        <v>empty</v>
      </c>
      <c r="P37" s="54">
        <f>IF($B37="","","ثبت روزانه")</f>
        <v>0</v>
      </c>
    </row>
    <row r="38" spans="1:16" ht="21" customHeight="1">
      <c r="A38" s="54" t="str">
        <f>'[01_Entry.xlsx]Pay'!B38</f>
        <v>empty</v>
      </c>
      <c r="B38" s="54" t="str">
        <f>'[01_Entry.xlsx]Pay'!C38</f>
        <v>empty</v>
      </c>
      <c r="C38" s="54" t="str">
        <f>'[01_Entry.xlsx]Pay'!D38</f>
        <v>empty</v>
      </c>
      <c r="D38" s="54" t="str">
        <f>'[01_Entry.xlsx]Pay'!E38</f>
        <v>empty</v>
      </c>
      <c r="E38" s="54" t="str">
        <f>'[01_Entry.xlsx]Pay'!F38</f>
        <v>empty</v>
      </c>
      <c r="F38" s="55">
        <f>'[01_Entry.xlsx]Pay'!G38</f>
        <v/>
      </c>
      <c r="G38" s="54">
        <f>'[01_Entry.xlsx]Pay'!H38</f>
        <v/>
      </c>
      <c r="H38" s="54" t="str">
        <f>'[01_Entry.xlsx]Pay'!I38</f>
        <v>empty</v>
      </c>
      <c r="I38" s="54">
        <f>'[01_Entry.xlsx]Pay'!J38</f>
        <v/>
      </c>
      <c r="J38" s="56" t="str">
        <f>'[01_Entry.xlsx]Pay'!K38</f>
        <v>empty</v>
      </c>
      <c r="K38" s="54" t="str">
        <f>'[01_Entry.xlsx]Pay'!L38</f>
        <v>empty</v>
      </c>
      <c r="L38" s="54">
        <f>'[01_Entry.xlsx]Pay'!M38</f>
        <v/>
      </c>
      <c r="M38" s="57">
        <f>IF($D38="دریافت",IF($L38="انتقال داخلی",0,$J38),0)</f>
        <v>0</v>
      </c>
      <c r="N38" s="57">
        <f>IF($D38="پرداخت",IF($L38="انتقال داخلی",0,$J38),0)</f>
        <v>0</v>
      </c>
      <c r="O38" s="55" t="str">
        <f>'[01_Entry.xlsx]Pay'!P38</f>
        <v>empty</v>
      </c>
      <c r="P38" s="54">
        <f>IF($B38="","","ثبت روزانه")</f>
        <v>0</v>
      </c>
    </row>
    <row r="39" spans="1:16" ht="21" customHeight="1">
      <c r="A39" s="54" t="str">
        <f>'[01_Entry.xlsx]Pay'!B39</f>
        <v>empty</v>
      </c>
      <c r="B39" s="54" t="str">
        <f>'[01_Entry.xlsx]Pay'!C39</f>
        <v>empty</v>
      </c>
      <c r="C39" s="54" t="str">
        <f>'[01_Entry.xlsx]Pay'!D39</f>
        <v>empty</v>
      </c>
      <c r="D39" s="54" t="str">
        <f>'[01_Entry.xlsx]Pay'!E39</f>
        <v>empty</v>
      </c>
      <c r="E39" s="54" t="str">
        <f>'[01_Entry.xlsx]Pay'!F39</f>
        <v>empty</v>
      </c>
      <c r="F39" s="55">
        <f>'[01_Entry.xlsx]Pay'!G39</f>
        <v/>
      </c>
      <c r="G39" s="54">
        <f>'[01_Entry.xlsx]Pay'!H39</f>
        <v/>
      </c>
      <c r="H39" s="54" t="str">
        <f>'[01_Entry.xlsx]Pay'!I39</f>
        <v>empty</v>
      </c>
      <c r="I39" s="54">
        <f>'[01_Entry.xlsx]Pay'!J39</f>
        <v/>
      </c>
      <c r="J39" s="56" t="str">
        <f>'[01_Entry.xlsx]Pay'!K39</f>
        <v>empty</v>
      </c>
      <c r="K39" s="54" t="str">
        <f>'[01_Entry.xlsx]Pay'!L39</f>
        <v>empty</v>
      </c>
      <c r="L39" s="54">
        <f>'[01_Entry.xlsx]Pay'!M39</f>
        <v/>
      </c>
      <c r="M39" s="57">
        <f>IF($D39="دریافت",IF($L39="انتقال داخلی",0,$J39),0)</f>
        <v>0</v>
      </c>
      <c r="N39" s="57">
        <f>IF($D39="پرداخت",IF($L39="انتقال داخلی",0,$J39),0)</f>
        <v>0</v>
      </c>
      <c r="O39" s="55" t="str">
        <f>'[01_Entry.xlsx]Pay'!P39</f>
        <v>empty</v>
      </c>
      <c r="P39" s="54">
        <f>IF($B39="","","ثبت روزانه")</f>
        <v>0</v>
      </c>
    </row>
    <row r="40" spans="1:16" ht="21" customHeight="1">
      <c r="A40" s="54" t="str">
        <f>'[01_Entry.xlsx]Pay'!B40</f>
        <v>empty</v>
      </c>
      <c r="B40" s="54" t="str">
        <f>'[01_Entry.xlsx]Pay'!C40</f>
        <v>empty</v>
      </c>
      <c r="C40" s="54" t="str">
        <f>'[01_Entry.xlsx]Pay'!D40</f>
        <v>empty</v>
      </c>
      <c r="D40" s="54" t="str">
        <f>'[01_Entry.xlsx]Pay'!E40</f>
        <v>empty</v>
      </c>
      <c r="E40" s="54" t="str">
        <f>'[01_Entry.xlsx]Pay'!F40</f>
        <v>empty</v>
      </c>
      <c r="F40" s="55">
        <f>'[01_Entry.xlsx]Pay'!G40</f>
        <v/>
      </c>
      <c r="G40" s="54">
        <f>'[01_Entry.xlsx]Pay'!H40</f>
        <v/>
      </c>
      <c r="H40" s="54" t="str">
        <f>'[01_Entry.xlsx]Pay'!I40</f>
        <v>empty</v>
      </c>
      <c r="I40" s="54">
        <f>'[01_Entry.xlsx]Pay'!J40</f>
        <v/>
      </c>
      <c r="J40" s="56" t="str">
        <f>'[01_Entry.xlsx]Pay'!K40</f>
        <v>empty</v>
      </c>
      <c r="K40" s="54" t="str">
        <f>'[01_Entry.xlsx]Pay'!L40</f>
        <v>empty</v>
      </c>
      <c r="L40" s="54">
        <f>'[01_Entry.xlsx]Pay'!M40</f>
        <v/>
      </c>
      <c r="M40" s="57">
        <f>IF($D40="دریافت",IF($L40="انتقال داخلی",0,$J40),0)</f>
        <v>0</v>
      </c>
      <c r="N40" s="57">
        <f>IF($D40="پرداخت",IF($L40="انتقال داخلی",0,$J40),0)</f>
        <v>0</v>
      </c>
      <c r="O40" s="55" t="str">
        <f>'[01_Entry.xlsx]Pay'!P40</f>
        <v>empty</v>
      </c>
      <c r="P40" s="54">
        <f>IF($B40="","","ثبت روزانه")</f>
        <v>0</v>
      </c>
    </row>
    <row r="41" spans="1:16" ht="21" customHeight="1">
      <c r="A41" s="54" t="str">
        <f>'[01_Entry.xlsx]Pay'!B41</f>
        <v>empty</v>
      </c>
      <c r="B41" s="54" t="str">
        <f>'[01_Entry.xlsx]Pay'!C41</f>
        <v>empty</v>
      </c>
      <c r="C41" s="54" t="str">
        <f>'[01_Entry.xlsx]Pay'!D41</f>
        <v>empty</v>
      </c>
      <c r="D41" s="54" t="str">
        <f>'[01_Entry.xlsx]Pay'!E41</f>
        <v>empty</v>
      </c>
      <c r="E41" s="54" t="str">
        <f>'[01_Entry.xlsx]Pay'!F41</f>
        <v>empty</v>
      </c>
      <c r="F41" s="55">
        <f>'[01_Entry.xlsx]Pay'!G41</f>
        <v/>
      </c>
      <c r="G41" s="54">
        <f>'[01_Entry.xlsx]Pay'!H41</f>
        <v/>
      </c>
      <c r="H41" s="54" t="str">
        <f>'[01_Entry.xlsx]Pay'!I41</f>
        <v>empty</v>
      </c>
      <c r="I41" s="54">
        <f>'[01_Entry.xlsx]Pay'!J41</f>
        <v/>
      </c>
      <c r="J41" s="56" t="str">
        <f>'[01_Entry.xlsx]Pay'!K41</f>
        <v>empty</v>
      </c>
      <c r="K41" s="54" t="str">
        <f>'[01_Entry.xlsx]Pay'!L41</f>
        <v>empty</v>
      </c>
      <c r="L41" s="54">
        <f>'[01_Entry.xlsx]Pay'!M41</f>
        <v/>
      </c>
      <c r="M41" s="57">
        <f>IF($D41="دریافت",IF($L41="انتقال داخلی",0,$J41),0)</f>
        <v>0</v>
      </c>
      <c r="N41" s="57">
        <f>IF($D41="پرداخت",IF($L41="انتقال داخلی",0,$J41),0)</f>
        <v>0</v>
      </c>
      <c r="O41" s="55" t="str">
        <f>'[01_Entry.xlsx]Pay'!P41</f>
        <v>empty</v>
      </c>
      <c r="P41" s="54">
        <f>IF($B41="","","ثبت روزانه")</f>
        <v>0</v>
      </c>
    </row>
    <row r="42" spans="1:16" ht="21" customHeight="1">
      <c r="A42" s="54" t="str">
        <f>'[01_Entry.xlsx]Pay'!B42</f>
        <v>empty</v>
      </c>
      <c r="B42" s="54" t="str">
        <f>'[01_Entry.xlsx]Pay'!C42</f>
        <v>empty</v>
      </c>
      <c r="C42" s="54" t="str">
        <f>'[01_Entry.xlsx]Pay'!D42</f>
        <v>empty</v>
      </c>
      <c r="D42" s="54" t="str">
        <f>'[01_Entry.xlsx]Pay'!E42</f>
        <v>empty</v>
      </c>
      <c r="E42" s="54" t="str">
        <f>'[01_Entry.xlsx]Pay'!F42</f>
        <v>empty</v>
      </c>
      <c r="F42" s="55">
        <f>'[01_Entry.xlsx]Pay'!G42</f>
        <v/>
      </c>
      <c r="G42" s="54">
        <f>'[01_Entry.xlsx]Pay'!H42</f>
        <v/>
      </c>
      <c r="H42" s="54" t="str">
        <f>'[01_Entry.xlsx]Pay'!I42</f>
        <v>empty</v>
      </c>
      <c r="I42" s="54">
        <f>'[01_Entry.xlsx]Pay'!J42</f>
        <v/>
      </c>
      <c r="J42" s="56" t="str">
        <f>'[01_Entry.xlsx]Pay'!K42</f>
        <v>empty</v>
      </c>
      <c r="K42" s="54" t="str">
        <f>'[01_Entry.xlsx]Pay'!L42</f>
        <v>empty</v>
      </c>
      <c r="L42" s="54">
        <f>'[01_Entry.xlsx]Pay'!M42</f>
        <v/>
      </c>
      <c r="M42" s="57">
        <f>IF($D42="دریافت",IF($L42="انتقال داخلی",0,$J42),0)</f>
        <v>0</v>
      </c>
      <c r="N42" s="57">
        <f>IF($D42="پرداخت",IF($L42="انتقال داخلی",0,$J42),0)</f>
        <v>0</v>
      </c>
      <c r="O42" s="55" t="str">
        <f>'[01_Entry.xlsx]Pay'!P42</f>
        <v>empty</v>
      </c>
      <c r="P42" s="54">
        <f>IF($B42="","","ثبت روزانه")</f>
        <v>0</v>
      </c>
    </row>
    <row r="43" spans="1:16" ht="21" customHeight="1">
      <c r="A43" s="54" t="str">
        <f>'[01_Entry.xlsx]Pay'!B43</f>
        <v>empty</v>
      </c>
      <c r="B43" s="54" t="str">
        <f>'[01_Entry.xlsx]Pay'!C43</f>
        <v>empty</v>
      </c>
      <c r="C43" s="54" t="str">
        <f>'[01_Entry.xlsx]Pay'!D43</f>
        <v>empty</v>
      </c>
      <c r="D43" s="54" t="str">
        <f>'[01_Entry.xlsx]Pay'!E43</f>
        <v>empty</v>
      </c>
      <c r="E43" s="54" t="str">
        <f>'[01_Entry.xlsx]Pay'!F43</f>
        <v>empty</v>
      </c>
      <c r="F43" s="55">
        <f>'[01_Entry.xlsx]Pay'!G43</f>
        <v/>
      </c>
      <c r="G43" s="54">
        <f>'[01_Entry.xlsx]Pay'!H43</f>
        <v/>
      </c>
      <c r="H43" s="54" t="str">
        <f>'[01_Entry.xlsx]Pay'!I43</f>
        <v>empty</v>
      </c>
      <c r="I43" s="54">
        <f>'[01_Entry.xlsx]Pay'!J43</f>
        <v/>
      </c>
      <c r="J43" s="56" t="str">
        <f>'[01_Entry.xlsx]Pay'!K43</f>
        <v>empty</v>
      </c>
      <c r="K43" s="54" t="str">
        <f>'[01_Entry.xlsx]Pay'!L43</f>
        <v>empty</v>
      </c>
      <c r="L43" s="54">
        <f>'[01_Entry.xlsx]Pay'!M43</f>
        <v/>
      </c>
      <c r="M43" s="57">
        <f>IF($D43="دریافت",IF($L43="انتقال داخلی",0,$J43),0)</f>
        <v>0</v>
      </c>
      <c r="N43" s="57">
        <f>IF($D43="پرداخت",IF($L43="انتقال داخلی",0,$J43),0)</f>
        <v>0</v>
      </c>
      <c r="O43" s="55" t="str">
        <f>'[01_Entry.xlsx]Pay'!P43</f>
        <v>empty</v>
      </c>
      <c r="P43" s="54">
        <f>IF($B43="","","ثبت روزانه")</f>
        <v>0</v>
      </c>
    </row>
    <row r="44" spans="1:16" ht="21" customHeight="1">
      <c r="A44" s="54" t="str">
        <f>'[01_Entry.xlsx]Pay'!B44</f>
        <v>empty</v>
      </c>
      <c r="B44" s="54" t="str">
        <f>'[01_Entry.xlsx]Pay'!C44</f>
        <v>empty</v>
      </c>
      <c r="C44" s="54" t="str">
        <f>'[01_Entry.xlsx]Pay'!D44</f>
        <v>empty</v>
      </c>
      <c r="D44" s="54" t="str">
        <f>'[01_Entry.xlsx]Pay'!E44</f>
        <v>empty</v>
      </c>
      <c r="E44" s="54" t="str">
        <f>'[01_Entry.xlsx]Pay'!F44</f>
        <v>empty</v>
      </c>
      <c r="F44" s="55">
        <f>'[01_Entry.xlsx]Pay'!G44</f>
        <v/>
      </c>
      <c r="G44" s="54">
        <f>'[01_Entry.xlsx]Pay'!H44</f>
        <v/>
      </c>
      <c r="H44" s="54" t="str">
        <f>'[01_Entry.xlsx]Pay'!I44</f>
        <v>empty</v>
      </c>
      <c r="I44" s="54">
        <f>'[01_Entry.xlsx]Pay'!J44</f>
        <v/>
      </c>
      <c r="J44" s="56" t="str">
        <f>'[01_Entry.xlsx]Pay'!K44</f>
        <v>empty</v>
      </c>
      <c r="K44" s="54" t="str">
        <f>'[01_Entry.xlsx]Pay'!L44</f>
        <v>empty</v>
      </c>
      <c r="L44" s="54">
        <f>'[01_Entry.xlsx]Pay'!M44</f>
        <v/>
      </c>
      <c r="M44" s="57">
        <f>IF($D44="دریافت",IF($L44="انتقال داخلی",0,$J44),0)</f>
        <v>0</v>
      </c>
      <c r="N44" s="57">
        <f>IF($D44="پرداخت",IF($L44="انتقال داخلی",0,$J44),0)</f>
        <v>0</v>
      </c>
      <c r="O44" s="55" t="str">
        <f>'[01_Entry.xlsx]Pay'!P44</f>
        <v>empty</v>
      </c>
      <c r="P44" s="54">
        <f>IF($B44="","","ثبت روزانه")</f>
        <v>0</v>
      </c>
    </row>
    <row r="45" spans="1:16" ht="21" customHeight="1">
      <c r="A45" s="54" t="str">
        <f>'[01_Entry.xlsx]Pay'!B45</f>
        <v>empty</v>
      </c>
      <c r="B45" s="54" t="str">
        <f>'[01_Entry.xlsx]Pay'!C45</f>
        <v>empty</v>
      </c>
      <c r="C45" s="54" t="str">
        <f>'[01_Entry.xlsx]Pay'!D45</f>
        <v>empty</v>
      </c>
      <c r="D45" s="54" t="str">
        <f>'[01_Entry.xlsx]Pay'!E45</f>
        <v>empty</v>
      </c>
      <c r="E45" s="54" t="str">
        <f>'[01_Entry.xlsx]Pay'!F45</f>
        <v>empty</v>
      </c>
      <c r="F45" s="55">
        <f>'[01_Entry.xlsx]Pay'!G45</f>
        <v/>
      </c>
      <c r="G45" s="54">
        <f>'[01_Entry.xlsx]Pay'!H45</f>
        <v/>
      </c>
      <c r="H45" s="54" t="str">
        <f>'[01_Entry.xlsx]Pay'!I45</f>
        <v>empty</v>
      </c>
      <c r="I45" s="54">
        <f>'[01_Entry.xlsx]Pay'!J45</f>
        <v/>
      </c>
      <c r="J45" s="56" t="str">
        <f>'[01_Entry.xlsx]Pay'!K45</f>
        <v>empty</v>
      </c>
      <c r="K45" s="54" t="str">
        <f>'[01_Entry.xlsx]Pay'!L45</f>
        <v>empty</v>
      </c>
      <c r="L45" s="54">
        <f>'[01_Entry.xlsx]Pay'!M45</f>
        <v/>
      </c>
      <c r="M45" s="57">
        <f>IF($D45="دریافت",IF($L45="انتقال داخلی",0,$J45),0)</f>
        <v>0</v>
      </c>
      <c r="N45" s="57">
        <f>IF($D45="پرداخت",IF($L45="انتقال داخلی",0,$J45),0)</f>
        <v>0</v>
      </c>
      <c r="O45" s="55" t="str">
        <f>'[01_Entry.xlsx]Pay'!P45</f>
        <v>empty</v>
      </c>
      <c r="P45" s="54">
        <f>IF($B45="","","ثبت روزانه")</f>
        <v>0</v>
      </c>
    </row>
    <row r="46" spans="1:16" ht="21" customHeight="1">
      <c r="A46" s="54" t="str">
        <f>'[01_Entry.xlsx]Pay'!B46</f>
        <v>empty</v>
      </c>
      <c r="B46" s="54" t="str">
        <f>'[01_Entry.xlsx]Pay'!C46</f>
        <v>empty</v>
      </c>
      <c r="C46" s="54" t="str">
        <f>'[01_Entry.xlsx]Pay'!D46</f>
        <v>empty</v>
      </c>
      <c r="D46" s="54" t="str">
        <f>'[01_Entry.xlsx]Pay'!E46</f>
        <v>empty</v>
      </c>
      <c r="E46" s="54" t="str">
        <f>'[01_Entry.xlsx]Pay'!F46</f>
        <v>empty</v>
      </c>
      <c r="F46" s="55">
        <f>'[01_Entry.xlsx]Pay'!G46</f>
        <v/>
      </c>
      <c r="G46" s="54">
        <f>'[01_Entry.xlsx]Pay'!H46</f>
        <v/>
      </c>
      <c r="H46" s="54" t="str">
        <f>'[01_Entry.xlsx]Pay'!I46</f>
        <v>empty</v>
      </c>
      <c r="I46" s="54">
        <f>'[01_Entry.xlsx]Pay'!J46</f>
        <v/>
      </c>
      <c r="J46" s="56" t="str">
        <f>'[01_Entry.xlsx]Pay'!K46</f>
        <v>empty</v>
      </c>
      <c r="K46" s="54" t="str">
        <f>'[01_Entry.xlsx]Pay'!L46</f>
        <v>empty</v>
      </c>
      <c r="L46" s="54">
        <f>'[01_Entry.xlsx]Pay'!M46</f>
        <v/>
      </c>
      <c r="M46" s="57">
        <f>IF($D46="دریافت",IF($L46="انتقال داخلی",0,$J46),0)</f>
        <v>0</v>
      </c>
      <c r="N46" s="57">
        <f>IF($D46="پرداخت",IF($L46="انتقال داخلی",0,$J46),0)</f>
        <v>0</v>
      </c>
      <c r="O46" s="55" t="str">
        <f>'[01_Entry.xlsx]Pay'!P46</f>
        <v>empty</v>
      </c>
      <c r="P46" s="54">
        <f>IF($B46="","","ثبت روزانه")</f>
        <v>0</v>
      </c>
    </row>
    <row r="47" spans="1:16" ht="21" customHeight="1">
      <c r="A47" s="54" t="str">
        <f>'[01_Entry.xlsx]Pay'!B47</f>
        <v>empty</v>
      </c>
      <c r="B47" s="54" t="str">
        <f>'[01_Entry.xlsx]Pay'!C47</f>
        <v>empty</v>
      </c>
      <c r="C47" s="54" t="str">
        <f>'[01_Entry.xlsx]Pay'!D47</f>
        <v>empty</v>
      </c>
      <c r="D47" s="54" t="str">
        <f>'[01_Entry.xlsx]Pay'!E47</f>
        <v>empty</v>
      </c>
      <c r="E47" s="54" t="str">
        <f>'[01_Entry.xlsx]Pay'!F47</f>
        <v>empty</v>
      </c>
      <c r="F47" s="55">
        <f>'[01_Entry.xlsx]Pay'!G47</f>
        <v/>
      </c>
      <c r="G47" s="54">
        <f>'[01_Entry.xlsx]Pay'!H47</f>
        <v/>
      </c>
      <c r="H47" s="54" t="str">
        <f>'[01_Entry.xlsx]Pay'!I47</f>
        <v>empty</v>
      </c>
      <c r="I47" s="54">
        <f>'[01_Entry.xlsx]Pay'!J47</f>
        <v/>
      </c>
      <c r="J47" s="56" t="str">
        <f>'[01_Entry.xlsx]Pay'!K47</f>
        <v>empty</v>
      </c>
      <c r="K47" s="54" t="str">
        <f>'[01_Entry.xlsx]Pay'!L47</f>
        <v>empty</v>
      </c>
      <c r="L47" s="54">
        <f>'[01_Entry.xlsx]Pay'!M47</f>
        <v/>
      </c>
      <c r="M47" s="57">
        <f>IF($D47="دریافت",IF($L47="انتقال داخلی",0,$J47),0)</f>
        <v>0</v>
      </c>
      <c r="N47" s="57">
        <f>IF($D47="پرداخت",IF($L47="انتقال داخلی",0,$J47),0)</f>
        <v>0</v>
      </c>
      <c r="O47" s="55" t="str">
        <f>'[01_Entry.xlsx]Pay'!P47</f>
        <v>empty</v>
      </c>
      <c r="P47" s="54">
        <f>IF($B47="","","ثبت روزانه")</f>
        <v>0</v>
      </c>
    </row>
    <row r="48" spans="1:16" ht="21" customHeight="1">
      <c r="A48" s="54" t="str">
        <f>'[01_Entry.xlsx]Pay'!B48</f>
        <v>empty</v>
      </c>
      <c r="B48" s="54" t="str">
        <f>'[01_Entry.xlsx]Pay'!C48</f>
        <v>empty</v>
      </c>
      <c r="C48" s="54" t="str">
        <f>'[01_Entry.xlsx]Pay'!D48</f>
        <v>empty</v>
      </c>
      <c r="D48" s="54" t="str">
        <f>'[01_Entry.xlsx]Pay'!E48</f>
        <v>empty</v>
      </c>
      <c r="E48" s="54" t="str">
        <f>'[01_Entry.xlsx]Pay'!F48</f>
        <v>empty</v>
      </c>
      <c r="F48" s="55">
        <f>'[01_Entry.xlsx]Pay'!G48</f>
        <v/>
      </c>
      <c r="G48" s="54">
        <f>'[01_Entry.xlsx]Pay'!H48</f>
        <v/>
      </c>
      <c r="H48" s="54" t="str">
        <f>'[01_Entry.xlsx]Pay'!I48</f>
        <v>empty</v>
      </c>
      <c r="I48" s="54">
        <f>'[01_Entry.xlsx]Pay'!J48</f>
        <v/>
      </c>
      <c r="J48" s="56" t="str">
        <f>'[01_Entry.xlsx]Pay'!K48</f>
        <v>empty</v>
      </c>
      <c r="K48" s="54" t="str">
        <f>'[01_Entry.xlsx]Pay'!L48</f>
        <v>empty</v>
      </c>
      <c r="L48" s="54">
        <f>'[01_Entry.xlsx]Pay'!M48</f>
        <v/>
      </c>
      <c r="M48" s="57">
        <f>IF($D48="دریافت",IF($L48="انتقال داخلی",0,$J48),0)</f>
        <v>0</v>
      </c>
      <c r="N48" s="57">
        <f>IF($D48="پرداخت",IF($L48="انتقال داخلی",0,$J48),0)</f>
        <v>0</v>
      </c>
      <c r="O48" s="55" t="str">
        <f>'[01_Entry.xlsx]Pay'!P48</f>
        <v>empty</v>
      </c>
      <c r="P48" s="54">
        <f>IF($B48="","","ثبت روزانه")</f>
        <v>0</v>
      </c>
    </row>
    <row r="49" spans="1:16" ht="21" customHeight="1">
      <c r="A49" s="54" t="str">
        <f>'[01_Entry.xlsx]Pay'!B49</f>
        <v>empty</v>
      </c>
      <c r="B49" s="54" t="str">
        <f>'[01_Entry.xlsx]Pay'!C49</f>
        <v>empty</v>
      </c>
      <c r="C49" s="54" t="str">
        <f>'[01_Entry.xlsx]Pay'!D49</f>
        <v>empty</v>
      </c>
      <c r="D49" s="54" t="str">
        <f>'[01_Entry.xlsx]Pay'!E49</f>
        <v>empty</v>
      </c>
      <c r="E49" s="54" t="str">
        <f>'[01_Entry.xlsx]Pay'!F49</f>
        <v>empty</v>
      </c>
      <c r="F49" s="55">
        <f>'[01_Entry.xlsx]Pay'!G49</f>
        <v/>
      </c>
      <c r="G49" s="54">
        <f>'[01_Entry.xlsx]Pay'!H49</f>
        <v/>
      </c>
      <c r="H49" s="54" t="str">
        <f>'[01_Entry.xlsx]Pay'!I49</f>
        <v>empty</v>
      </c>
      <c r="I49" s="54">
        <f>'[01_Entry.xlsx]Pay'!J49</f>
        <v/>
      </c>
      <c r="J49" s="56" t="str">
        <f>'[01_Entry.xlsx]Pay'!K49</f>
        <v>empty</v>
      </c>
      <c r="K49" s="54" t="str">
        <f>'[01_Entry.xlsx]Pay'!L49</f>
        <v>empty</v>
      </c>
      <c r="L49" s="54">
        <f>'[01_Entry.xlsx]Pay'!M49</f>
        <v/>
      </c>
      <c r="M49" s="57">
        <f>IF($D49="دریافت",IF($L49="انتقال داخلی",0,$J49),0)</f>
        <v>0</v>
      </c>
      <c r="N49" s="57">
        <f>IF($D49="پرداخت",IF($L49="انتقال داخلی",0,$J49),0)</f>
        <v>0</v>
      </c>
      <c r="O49" s="55" t="str">
        <f>'[01_Entry.xlsx]Pay'!P49</f>
        <v>empty</v>
      </c>
      <c r="P49" s="54">
        <f>IF($B49="","","ثبت روزانه")</f>
        <v>0</v>
      </c>
    </row>
    <row r="50" spans="1:16" ht="21" customHeight="1">
      <c r="A50" s="54" t="str">
        <f>'[01_Entry.xlsx]Pay'!B50</f>
        <v>empty</v>
      </c>
      <c r="B50" s="54" t="str">
        <f>'[01_Entry.xlsx]Pay'!C50</f>
        <v>empty</v>
      </c>
      <c r="C50" s="54" t="str">
        <f>'[01_Entry.xlsx]Pay'!D50</f>
        <v>empty</v>
      </c>
      <c r="D50" s="54" t="str">
        <f>'[01_Entry.xlsx]Pay'!E50</f>
        <v>empty</v>
      </c>
      <c r="E50" s="54" t="str">
        <f>'[01_Entry.xlsx]Pay'!F50</f>
        <v>empty</v>
      </c>
      <c r="F50" s="55">
        <f>'[01_Entry.xlsx]Pay'!G50</f>
        <v/>
      </c>
      <c r="G50" s="54">
        <f>'[01_Entry.xlsx]Pay'!H50</f>
        <v/>
      </c>
      <c r="H50" s="54" t="str">
        <f>'[01_Entry.xlsx]Pay'!I50</f>
        <v>empty</v>
      </c>
      <c r="I50" s="54">
        <f>'[01_Entry.xlsx]Pay'!J50</f>
        <v/>
      </c>
      <c r="J50" s="56" t="str">
        <f>'[01_Entry.xlsx]Pay'!K50</f>
        <v>empty</v>
      </c>
      <c r="K50" s="54" t="str">
        <f>'[01_Entry.xlsx]Pay'!L50</f>
        <v>empty</v>
      </c>
      <c r="L50" s="54">
        <f>'[01_Entry.xlsx]Pay'!M50</f>
        <v/>
      </c>
      <c r="M50" s="57">
        <f>IF($D50="دریافت",IF($L50="انتقال داخلی",0,$J50),0)</f>
        <v>0</v>
      </c>
      <c r="N50" s="57">
        <f>IF($D50="پرداخت",IF($L50="انتقال داخلی",0,$J50),0)</f>
        <v>0</v>
      </c>
      <c r="O50" s="55" t="str">
        <f>'[01_Entry.xlsx]Pay'!P50</f>
        <v>empty</v>
      </c>
      <c r="P50" s="54">
        <f>IF($B50="","","ثبت روزانه")</f>
        <v>0</v>
      </c>
    </row>
    <row r="51" spans="1:16" ht="21" customHeight="1">
      <c r="A51" s="54" t="str">
        <f>'[01_Entry.xlsx]Pay'!B51</f>
        <v>empty</v>
      </c>
      <c r="B51" s="54" t="str">
        <f>'[01_Entry.xlsx]Pay'!C51</f>
        <v>empty</v>
      </c>
      <c r="C51" s="54" t="str">
        <f>'[01_Entry.xlsx]Pay'!D51</f>
        <v>empty</v>
      </c>
      <c r="D51" s="54" t="str">
        <f>'[01_Entry.xlsx]Pay'!E51</f>
        <v>empty</v>
      </c>
      <c r="E51" s="54" t="str">
        <f>'[01_Entry.xlsx]Pay'!F51</f>
        <v>empty</v>
      </c>
      <c r="F51" s="55">
        <f>'[01_Entry.xlsx]Pay'!G51</f>
        <v/>
      </c>
      <c r="G51" s="54">
        <f>'[01_Entry.xlsx]Pay'!H51</f>
        <v/>
      </c>
      <c r="H51" s="54" t="str">
        <f>'[01_Entry.xlsx]Pay'!I51</f>
        <v>empty</v>
      </c>
      <c r="I51" s="54">
        <f>'[01_Entry.xlsx]Pay'!J51</f>
        <v/>
      </c>
      <c r="J51" s="56" t="str">
        <f>'[01_Entry.xlsx]Pay'!K51</f>
        <v>empty</v>
      </c>
      <c r="K51" s="54" t="str">
        <f>'[01_Entry.xlsx]Pay'!L51</f>
        <v>empty</v>
      </c>
      <c r="L51" s="54">
        <f>'[01_Entry.xlsx]Pay'!M51</f>
        <v/>
      </c>
      <c r="M51" s="57">
        <f>IF($D51="دریافت",IF($L51="انتقال داخلی",0,$J51),0)</f>
        <v>0</v>
      </c>
      <c r="N51" s="57">
        <f>IF($D51="پرداخت",IF($L51="انتقال داخلی",0,$J51),0)</f>
        <v>0</v>
      </c>
      <c r="O51" s="55" t="str">
        <f>'[01_Entry.xlsx]Pay'!P51</f>
        <v>empty</v>
      </c>
      <c r="P51" s="54">
        <f>IF($B51="","","ثبت روزانه")</f>
        <v>0</v>
      </c>
    </row>
    <row r="52" spans="1:16" ht="21" customHeight="1">
      <c r="A52" s="54" t="str">
        <f>'[01_Entry.xlsx]Pay'!B52</f>
        <v>empty</v>
      </c>
      <c r="B52" s="54" t="str">
        <f>'[01_Entry.xlsx]Pay'!C52</f>
        <v>empty</v>
      </c>
      <c r="C52" s="54" t="str">
        <f>'[01_Entry.xlsx]Pay'!D52</f>
        <v>empty</v>
      </c>
      <c r="D52" s="54" t="str">
        <f>'[01_Entry.xlsx]Pay'!E52</f>
        <v>empty</v>
      </c>
      <c r="E52" s="54" t="str">
        <f>'[01_Entry.xlsx]Pay'!F52</f>
        <v>empty</v>
      </c>
      <c r="F52" s="55">
        <f>'[01_Entry.xlsx]Pay'!G52</f>
        <v/>
      </c>
      <c r="G52" s="54">
        <f>'[01_Entry.xlsx]Pay'!H52</f>
        <v/>
      </c>
      <c r="H52" s="54" t="str">
        <f>'[01_Entry.xlsx]Pay'!I52</f>
        <v>empty</v>
      </c>
      <c r="I52" s="54">
        <f>'[01_Entry.xlsx]Pay'!J52</f>
        <v/>
      </c>
      <c r="J52" s="56" t="str">
        <f>'[01_Entry.xlsx]Pay'!K52</f>
        <v>empty</v>
      </c>
      <c r="K52" s="54" t="str">
        <f>'[01_Entry.xlsx]Pay'!L52</f>
        <v>empty</v>
      </c>
      <c r="L52" s="54">
        <f>'[01_Entry.xlsx]Pay'!M52</f>
        <v/>
      </c>
      <c r="M52" s="57">
        <f>IF($D52="دریافت",IF($L52="انتقال داخلی",0,$J52),0)</f>
        <v>0</v>
      </c>
      <c r="N52" s="57">
        <f>IF($D52="پرداخت",IF($L52="انتقال داخلی",0,$J52),0)</f>
        <v>0</v>
      </c>
      <c r="O52" s="55" t="str">
        <f>'[01_Entry.xlsx]Pay'!P52</f>
        <v>empty</v>
      </c>
      <c r="P52" s="54">
        <f>IF($B52="","","ثبت روزانه")</f>
        <v>0</v>
      </c>
    </row>
    <row r="53" spans="1:16" ht="21" customHeight="1">
      <c r="A53" s="54" t="str">
        <f>'[01_Entry.xlsx]Pay'!B53</f>
        <v>empty</v>
      </c>
      <c r="B53" s="54" t="str">
        <f>'[01_Entry.xlsx]Pay'!C53</f>
        <v>empty</v>
      </c>
      <c r="C53" s="54" t="str">
        <f>'[01_Entry.xlsx]Pay'!D53</f>
        <v>empty</v>
      </c>
      <c r="D53" s="54" t="str">
        <f>'[01_Entry.xlsx]Pay'!E53</f>
        <v>empty</v>
      </c>
      <c r="E53" s="54" t="str">
        <f>'[01_Entry.xlsx]Pay'!F53</f>
        <v>empty</v>
      </c>
      <c r="F53" s="55">
        <f>'[01_Entry.xlsx]Pay'!G53</f>
        <v/>
      </c>
      <c r="G53" s="54">
        <f>'[01_Entry.xlsx]Pay'!H53</f>
        <v/>
      </c>
      <c r="H53" s="54" t="str">
        <f>'[01_Entry.xlsx]Pay'!I53</f>
        <v>empty</v>
      </c>
      <c r="I53" s="54">
        <f>'[01_Entry.xlsx]Pay'!J53</f>
        <v/>
      </c>
      <c r="J53" s="56" t="str">
        <f>'[01_Entry.xlsx]Pay'!K53</f>
        <v>empty</v>
      </c>
      <c r="K53" s="54" t="str">
        <f>'[01_Entry.xlsx]Pay'!L53</f>
        <v>empty</v>
      </c>
      <c r="L53" s="54">
        <f>'[01_Entry.xlsx]Pay'!M53</f>
        <v/>
      </c>
      <c r="M53" s="57">
        <f>IF($D53="دریافت",IF($L53="انتقال داخلی",0,$J53),0)</f>
        <v>0</v>
      </c>
      <c r="N53" s="57">
        <f>IF($D53="پرداخت",IF($L53="انتقال داخلی",0,$J53),0)</f>
        <v>0</v>
      </c>
      <c r="O53" s="55" t="str">
        <f>'[01_Entry.xlsx]Pay'!P53</f>
        <v>empty</v>
      </c>
      <c r="P53" s="54">
        <f>IF($B53="","","ثبت روزانه")</f>
        <v>0</v>
      </c>
    </row>
    <row r="54" spans="1:16" ht="21" customHeight="1">
      <c r="A54" s="54" t="str">
        <f>'[01_Entry.xlsx]Pay'!B54</f>
        <v>empty</v>
      </c>
      <c r="B54" s="54" t="str">
        <f>'[01_Entry.xlsx]Pay'!C54</f>
        <v>empty</v>
      </c>
      <c r="C54" s="54" t="str">
        <f>'[01_Entry.xlsx]Pay'!D54</f>
        <v>empty</v>
      </c>
      <c r="D54" s="54" t="str">
        <f>'[01_Entry.xlsx]Pay'!E54</f>
        <v>empty</v>
      </c>
      <c r="E54" s="54" t="str">
        <f>'[01_Entry.xlsx]Pay'!F54</f>
        <v>empty</v>
      </c>
      <c r="F54" s="55">
        <f>'[01_Entry.xlsx]Pay'!G54</f>
        <v/>
      </c>
      <c r="G54" s="54">
        <f>'[01_Entry.xlsx]Pay'!H54</f>
        <v/>
      </c>
      <c r="H54" s="54" t="str">
        <f>'[01_Entry.xlsx]Pay'!I54</f>
        <v>empty</v>
      </c>
      <c r="I54" s="54">
        <f>'[01_Entry.xlsx]Pay'!J54</f>
        <v/>
      </c>
      <c r="J54" s="56" t="str">
        <f>'[01_Entry.xlsx]Pay'!K54</f>
        <v>empty</v>
      </c>
      <c r="K54" s="54" t="str">
        <f>'[01_Entry.xlsx]Pay'!L54</f>
        <v>empty</v>
      </c>
      <c r="L54" s="54">
        <f>'[01_Entry.xlsx]Pay'!M54</f>
        <v/>
      </c>
      <c r="M54" s="57">
        <f>IF($D54="دریافت",IF($L54="انتقال داخلی",0,$J54),0)</f>
        <v>0</v>
      </c>
      <c r="N54" s="57">
        <f>IF($D54="پرداخت",IF($L54="انتقال داخلی",0,$J54),0)</f>
        <v>0</v>
      </c>
      <c r="O54" s="55" t="str">
        <f>'[01_Entry.xlsx]Pay'!P54</f>
        <v>empty</v>
      </c>
      <c r="P54" s="54">
        <f>IF($B54="","","ثبت روزانه")</f>
        <v>0</v>
      </c>
    </row>
    <row r="55" spans="1:16" ht="21" customHeight="1">
      <c r="A55" s="54" t="str">
        <f>'[01_Entry.xlsx]Pay'!B55</f>
        <v>empty</v>
      </c>
      <c r="B55" s="54" t="str">
        <f>'[01_Entry.xlsx]Pay'!C55</f>
        <v>empty</v>
      </c>
      <c r="C55" s="54" t="str">
        <f>'[01_Entry.xlsx]Pay'!D55</f>
        <v>empty</v>
      </c>
      <c r="D55" s="54" t="str">
        <f>'[01_Entry.xlsx]Pay'!E55</f>
        <v>empty</v>
      </c>
      <c r="E55" s="54" t="str">
        <f>'[01_Entry.xlsx]Pay'!F55</f>
        <v>empty</v>
      </c>
      <c r="F55" s="55">
        <f>'[01_Entry.xlsx]Pay'!G55</f>
        <v/>
      </c>
      <c r="G55" s="54">
        <f>'[01_Entry.xlsx]Pay'!H55</f>
        <v/>
      </c>
      <c r="H55" s="54" t="str">
        <f>'[01_Entry.xlsx]Pay'!I55</f>
        <v>empty</v>
      </c>
      <c r="I55" s="54">
        <f>'[01_Entry.xlsx]Pay'!J55</f>
        <v/>
      </c>
      <c r="J55" s="56" t="str">
        <f>'[01_Entry.xlsx]Pay'!K55</f>
        <v>empty</v>
      </c>
      <c r="K55" s="54" t="str">
        <f>'[01_Entry.xlsx]Pay'!L55</f>
        <v>empty</v>
      </c>
      <c r="L55" s="54">
        <f>'[01_Entry.xlsx]Pay'!M55</f>
        <v/>
      </c>
      <c r="M55" s="57">
        <f>IF($D55="دریافت",IF($L55="انتقال داخلی",0,$J55),0)</f>
        <v>0</v>
      </c>
      <c r="N55" s="57">
        <f>IF($D55="پرداخت",IF($L55="انتقال داخلی",0,$J55),0)</f>
        <v>0</v>
      </c>
      <c r="O55" s="55" t="str">
        <f>'[01_Entry.xlsx]Pay'!P55</f>
        <v>empty</v>
      </c>
      <c r="P55" s="54">
        <f>IF($B55="","","ثبت روزانه")</f>
        <v>0</v>
      </c>
    </row>
    <row r="56" spans="1:16" ht="21" customHeight="1">
      <c r="A56" s="54" t="str">
        <f>'[01_Entry.xlsx]Pay'!B56</f>
        <v>empty</v>
      </c>
      <c r="B56" s="54" t="str">
        <f>'[01_Entry.xlsx]Pay'!C56</f>
        <v>empty</v>
      </c>
      <c r="C56" s="54" t="str">
        <f>'[01_Entry.xlsx]Pay'!D56</f>
        <v>empty</v>
      </c>
      <c r="D56" s="54" t="str">
        <f>'[01_Entry.xlsx]Pay'!E56</f>
        <v>empty</v>
      </c>
      <c r="E56" s="54" t="str">
        <f>'[01_Entry.xlsx]Pay'!F56</f>
        <v>empty</v>
      </c>
      <c r="F56" s="55">
        <f>'[01_Entry.xlsx]Pay'!G56</f>
        <v/>
      </c>
      <c r="G56" s="54">
        <f>'[01_Entry.xlsx]Pay'!H56</f>
        <v/>
      </c>
      <c r="H56" s="54" t="str">
        <f>'[01_Entry.xlsx]Pay'!I56</f>
        <v>empty</v>
      </c>
      <c r="I56" s="54">
        <f>'[01_Entry.xlsx]Pay'!J56</f>
        <v/>
      </c>
      <c r="J56" s="56" t="str">
        <f>'[01_Entry.xlsx]Pay'!K56</f>
        <v>empty</v>
      </c>
      <c r="K56" s="54" t="str">
        <f>'[01_Entry.xlsx]Pay'!L56</f>
        <v>empty</v>
      </c>
      <c r="L56" s="54">
        <f>'[01_Entry.xlsx]Pay'!M56</f>
        <v/>
      </c>
      <c r="M56" s="57">
        <f>IF($D56="دریافت",IF($L56="انتقال داخلی",0,$J56),0)</f>
        <v>0</v>
      </c>
      <c r="N56" s="57">
        <f>IF($D56="پرداخت",IF($L56="انتقال داخلی",0,$J56),0)</f>
        <v>0</v>
      </c>
      <c r="O56" s="55" t="str">
        <f>'[01_Entry.xlsx]Pay'!P56</f>
        <v>empty</v>
      </c>
      <c r="P56" s="54">
        <f>IF($B56="","","ثبت روزانه")</f>
        <v>0</v>
      </c>
    </row>
    <row r="57" spans="1:16" ht="21" customHeight="1">
      <c r="A57" s="54" t="str">
        <f>'[01_Entry.xlsx]Pay'!B57</f>
        <v>empty</v>
      </c>
      <c r="B57" s="54" t="str">
        <f>'[01_Entry.xlsx]Pay'!C57</f>
        <v>empty</v>
      </c>
      <c r="C57" s="54" t="str">
        <f>'[01_Entry.xlsx]Pay'!D57</f>
        <v>empty</v>
      </c>
      <c r="D57" s="54" t="str">
        <f>'[01_Entry.xlsx]Pay'!E57</f>
        <v>empty</v>
      </c>
      <c r="E57" s="54" t="str">
        <f>'[01_Entry.xlsx]Pay'!F57</f>
        <v>empty</v>
      </c>
      <c r="F57" s="55">
        <f>'[01_Entry.xlsx]Pay'!G57</f>
        <v/>
      </c>
      <c r="G57" s="54">
        <f>'[01_Entry.xlsx]Pay'!H57</f>
        <v/>
      </c>
      <c r="H57" s="54" t="str">
        <f>'[01_Entry.xlsx]Pay'!I57</f>
        <v>empty</v>
      </c>
      <c r="I57" s="54">
        <f>'[01_Entry.xlsx]Pay'!J57</f>
        <v/>
      </c>
      <c r="J57" s="56" t="str">
        <f>'[01_Entry.xlsx]Pay'!K57</f>
        <v>empty</v>
      </c>
      <c r="K57" s="54" t="str">
        <f>'[01_Entry.xlsx]Pay'!L57</f>
        <v>empty</v>
      </c>
      <c r="L57" s="54">
        <f>'[01_Entry.xlsx]Pay'!M57</f>
        <v/>
      </c>
      <c r="M57" s="57">
        <f>IF($D57="دریافت",IF($L57="انتقال داخلی",0,$J57),0)</f>
        <v>0</v>
      </c>
      <c r="N57" s="57">
        <f>IF($D57="پرداخت",IF($L57="انتقال داخلی",0,$J57),0)</f>
        <v>0</v>
      </c>
      <c r="O57" s="55" t="str">
        <f>'[01_Entry.xlsx]Pay'!P57</f>
        <v>empty</v>
      </c>
      <c r="P57" s="54">
        <f>IF($B57="","","ثبت روزانه")</f>
        <v>0</v>
      </c>
    </row>
    <row r="58" spans="1:16" ht="21" customHeight="1">
      <c r="A58" s="54" t="str">
        <f>'[01_Entry.xlsx]Pay'!B58</f>
        <v>empty</v>
      </c>
      <c r="B58" s="54" t="str">
        <f>'[01_Entry.xlsx]Pay'!C58</f>
        <v>empty</v>
      </c>
      <c r="C58" s="54" t="str">
        <f>'[01_Entry.xlsx]Pay'!D58</f>
        <v>empty</v>
      </c>
      <c r="D58" s="54" t="str">
        <f>'[01_Entry.xlsx]Pay'!E58</f>
        <v>empty</v>
      </c>
      <c r="E58" s="54" t="str">
        <f>'[01_Entry.xlsx]Pay'!F58</f>
        <v>empty</v>
      </c>
      <c r="F58" s="55">
        <f>'[01_Entry.xlsx]Pay'!G58</f>
        <v/>
      </c>
      <c r="G58" s="54">
        <f>'[01_Entry.xlsx]Pay'!H58</f>
        <v/>
      </c>
      <c r="H58" s="54" t="str">
        <f>'[01_Entry.xlsx]Pay'!I58</f>
        <v>empty</v>
      </c>
      <c r="I58" s="54">
        <f>'[01_Entry.xlsx]Pay'!J58</f>
        <v/>
      </c>
      <c r="J58" s="56" t="str">
        <f>'[01_Entry.xlsx]Pay'!K58</f>
        <v>empty</v>
      </c>
      <c r="K58" s="54" t="str">
        <f>'[01_Entry.xlsx]Pay'!L58</f>
        <v>empty</v>
      </c>
      <c r="L58" s="54">
        <f>'[01_Entry.xlsx]Pay'!M58</f>
        <v/>
      </c>
      <c r="M58" s="57">
        <f>IF($D58="دریافت",IF($L58="انتقال داخلی",0,$J58),0)</f>
        <v>0</v>
      </c>
      <c r="N58" s="57">
        <f>IF($D58="پرداخت",IF($L58="انتقال داخلی",0,$J58),0)</f>
        <v>0</v>
      </c>
      <c r="O58" s="55" t="str">
        <f>'[01_Entry.xlsx]Pay'!P58</f>
        <v>empty</v>
      </c>
      <c r="P58" s="54">
        <f>IF($B58="","","ثبت روزانه")</f>
        <v>0</v>
      </c>
    </row>
    <row r="59" spans="1:16" ht="21" customHeight="1">
      <c r="A59" s="54" t="str">
        <f>'[01_Entry.xlsx]Pay'!B59</f>
        <v>empty</v>
      </c>
      <c r="B59" s="54" t="str">
        <f>'[01_Entry.xlsx]Pay'!C59</f>
        <v>empty</v>
      </c>
      <c r="C59" s="54" t="str">
        <f>'[01_Entry.xlsx]Pay'!D59</f>
        <v>empty</v>
      </c>
      <c r="D59" s="54" t="str">
        <f>'[01_Entry.xlsx]Pay'!E59</f>
        <v>empty</v>
      </c>
      <c r="E59" s="54" t="str">
        <f>'[01_Entry.xlsx]Pay'!F59</f>
        <v>empty</v>
      </c>
      <c r="F59" s="55">
        <f>'[01_Entry.xlsx]Pay'!G59</f>
        <v/>
      </c>
      <c r="G59" s="54">
        <f>'[01_Entry.xlsx]Pay'!H59</f>
        <v/>
      </c>
      <c r="H59" s="54" t="str">
        <f>'[01_Entry.xlsx]Pay'!I59</f>
        <v>empty</v>
      </c>
      <c r="I59" s="54">
        <f>'[01_Entry.xlsx]Pay'!J59</f>
        <v/>
      </c>
      <c r="J59" s="56" t="str">
        <f>'[01_Entry.xlsx]Pay'!K59</f>
        <v>empty</v>
      </c>
      <c r="K59" s="54" t="str">
        <f>'[01_Entry.xlsx]Pay'!L59</f>
        <v>empty</v>
      </c>
      <c r="L59" s="54">
        <f>'[01_Entry.xlsx]Pay'!M59</f>
        <v/>
      </c>
      <c r="M59" s="57">
        <f>IF($D59="دریافت",IF($L59="انتقال داخلی",0,$J59),0)</f>
        <v>0</v>
      </c>
      <c r="N59" s="57">
        <f>IF($D59="پرداخت",IF($L59="انتقال داخلی",0,$J59),0)</f>
        <v>0</v>
      </c>
      <c r="O59" s="55" t="str">
        <f>'[01_Entry.xlsx]Pay'!P59</f>
        <v>empty</v>
      </c>
      <c r="P59" s="54">
        <f>IF($B59="","","ثبت روزانه")</f>
        <v>0</v>
      </c>
    </row>
    <row r="60" spans="1:16" ht="21" customHeight="1">
      <c r="A60" s="54" t="str">
        <f>'[01_Entry.xlsx]Pay'!B60</f>
        <v>empty</v>
      </c>
      <c r="B60" s="54" t="str">
        <f>'[01_Entry.xlsx]Pay'!C60</f>
        <v>empty</v>
      </c>
      <c r="C60" s="54" t="str">
        <f>'[01_Entry.xlsx]Pay'!D60</f>
        <v>empty</v>
      </c>
      <c r="D60" s="54" t="str">
        <f>'[01_Entry.xlsx]Pay'!E60</f>
        <v>empty</v>
      </c>
      <c r="E60" s="54" t="str">
        <f>'[01_Entry.xlsx]Pay'!F60</f>
        <v>empty</v>
      </c>
      <c r="F60" s="55">
        <f>'[01_Entry.xlsx]Pay'!G60</f>
        <v/>
      </c>
      <c r="G60" s="54">
        <f>'[01_Entry.xlsx]Pay'!H60</f>
        <v/>
      </c>
      <c r="H60" s="54" t="str">
        <f>'[01_Entry.xlsx]Pay'!I60</f>
        <v>empty</v>
      </c>
      <c r="I60" s="54">
        <f>'[01_Entry.xlsx]Pay'!J60</f>
        <v/>
      </c>
      <c r="J60" s="56" t="str">
        <f>'[01_Entry.xlsx]Pay'!K60</f>
        <v>empty</v>
      </c>
      <c r="K60" s="54" t="str">
        <f>'[01_Entry.xlsx]Pay'!L60</f>
        <v>empty</v>
      </c>
      <c r="L60" s="54">
        <f>'[01_Entry.xlsx]Pay'!M60</f>
        <v/>
      </c>
      <c r="M60" s="57">
        <f>IF($D60="دریافت",IF($L60="انتقال داخلی",0,$J60),0)</f>
        <v>0</v>
      </c>
      <c r="N60" s="57">
        <f>IF($D60="پرداخت",IF($L60="انتقال داخلی",0,$J60),0)</f>
        <v>0</v>
      </c>
      <c r="O60" s="55" t="str">
        <f>'[01_Entry.xlsx]Pay'!P60</f>
        <v>empty</v>
      </c>
      <c r="P60" s="54">
        <f>IF($B60="","","ثبت روزانه")</f>
        <v>0</v>
      </c>
    </row>
    <row r="61" spans="1:16" ht="21" customHeight="1">
      <c r="A61" s="54" t="str">
        <f>'[01_Entry.xlsx]Pay'!B61</f>
        <v>empty</v>
      </c>
      <c r="B61" s="54" t="str">
        <f>'[01_Entry.xlsx]Pay'!C61</f>
        <v>empty</v>
      </c>
      <c r="C61" s="54" t="str">
        <f>'[01_Entry.xlsx]Pay'!D61</f>
        <v>empty</v>
      </c>
      <c r="D61" s="54" t="str">
        <f>'[01_Entry.xlsx]Pay'!E61</f>
        <v>empty</v>
      </c>
      <c r="E61" s="54" t="str">
        <f>'[01_Entry.xlsx]Pay'!F61</f>
        <v>empty</v>
      </c>
      <c r="F61" s="55">
        <f>'[01_Entry.xlsx]Pay'!G61</f>
        <v/>
      </c>
      <c r="G61" s="54">
        <f>'[01_Entry.xlsx]Pay'!H61</f>
        <v/>
      </c>
      <c r="H61" s="54" t="str">
        <f>'[01_Entry.xlsx]Pay'!I61</f>
        <v>empty</v>
      </c>
      <c r="I61" s="54">
        <f>'[01_Entry.xlsx]Pay'!J61</f>
        <v/>
      </c>
      <c r="J61" s="56" t="str">
        <f>'[01_Entry.xlsx]Pay'!K61</f>
        <v>empty</v>
      </c>
      <c r="K61" s="54" t="str">
        <f>'[01_Entry.xlsx]Pay'!L61</f>
        <v>empty</v>
      </c>
      <c r="L61" s="54">
        <f>'[01_Entry.xlsx]Pay'!M61</f>
        <v/>
      </c>
      <c r="M61" s="57">
        <f>IF($D61="دریافت",IF($L61="انتقال داخلی",0,$J61),0)</f>
        <v>0</v>
      </c>
      <c r="N61" s="57">
        <f>IF($D61="پرداخت",IF($L61="انتقال داخلی",0,$J61),0)</f>
        <v>0</v>
      </c>
      <c r="O61" s="55" t="str">
        <f>'[01_Entry.xlsx]Pay'!P61</f>
        <v>empty</v>
      </c>
      <c r="P61" s="54">
        <f>IF($B61="","","ثبت روزانه")</f>
        <v>0</v>
      </c>
    </row>
    <row r="62" spans="1:16" ht="21" customHeight="1">
      <c r="A62" s="54" t="str">
        <f>'[01_Entry.xlsx]Pay'!B62</f>
        <v>empty</v>
      </c>
      <c r="B62" s="54" t="str">
        <f>'[01_Entry.xlsx]Pay'!C62</f>
        <v>empty</v>
      </c>
      <c r="C62" s="54" t="str">
        <f>'[01_Entry.xlsx]Pay'!D62</f>
        <v>empty</v>
      </c>
      <c r="D62" s="54" t="str">
        <f>'[01_Entry.xlsx]Pay'!E62</f>
        <v>empty</v>
      </c>
      <c r="E62" s="54" t="str">
        <f>'[01_Entry.xlsx]Pay'!F62</f>
        <v>empty</v>
      </c>
      <c r="F62" s="55">
        <f>'[01_Entry.xlsx]Pay'!G62</f>
        <v/>
      </c>
      <c r="G62" s="54">
        <f>'[01_Entry.xlsx]Pay'!H62</f>
        <v/>
      </c>
      <c r="H62" s="54" t="str">
        <f>'[01_Entry.xlsx]Pay'!I62</f>
        <v>empty</v>
      </c>
      <c r="I62" s="54">
        <f>'[01_Entry.xlsx]Pay'!J62</f>
        <v/>
      </c>
      <c r="J62" s="56" t="str">
        <f>'[01_Entry.xlsx]Pay'!K62</f>
        <v>empty</v>
      </c>
      <c r="K62" s="54" t="str">
        <f>'[01_Entry.xlsx]Pay'!L62</f>
        <v>empty</v>
      </c>
      <c r="L62" s="54">
        <f>'[01_Entry.xlsx]Pay'!M62</f>
        <v/>
      </c>
      <c r="M62" s="57">
        <f>IF($D62="دریافت",IF($L62="انتقال داخلی",0,$J62),0)</f>
        <v>0</v>
      </c>
      <c r="N62" s="57">
        <f>IF($D62="پرداخت",IF($L62="انتقال داخلی",0,$J62),0)</f>
        <v>0</v>
      </c>
      <c r="O62" s="55" t="str">
        <f>'[01_Entry.xlsx]Pay'!P62</f>
        <v>empty</v>
      </c>
      <c r="P62" s="54">
        <f>IF($B62="","","ثبت روزانه")</f>
        <v>0</v>
      </c>
    </row>
    <row r="63" spans="1:16" ht="21" customHeight="1">
      <c r="A63" s="54" t="str">
        <f>'[01_Entry.xlsx]Pay'!B63</f>
        <v>empty</v>
      </c>
      <c r="B63" s="54" t="str">
        <f>'[01_Entry.xlsx]Pay'!C63</f>
        <v>empty</v>
      </c>
      <c r="C63" s="54" t="str">
        <f>'[01_Entry.xlsx]Pay'!D63</f>
        <v>empty</v>
      </c>
      <c r="D63" s="54" t="str">
        <f>'[01_Entry.xlsx]Pay'!E63</f>
        <v>empty</v>
      </c>
      <c r="E63" s="54" t="str">
        <f>'[01_Entry.xlsx]Pay'!F63</f>
        <v>empty</v>
      </c>
      <c r="F63" s="55">
        <f>'[01_Entry.xlsx]Pay'!G63</f>
        <v/>
      </c>
      <c r="G63" s="54">
        <f>'[01_Entry.xlsx]Pay'!H63</f>
        <v/>
      </c>
      <c r="H63" s="54" t="str">
        <f>'[01_Entry.xlsx]Pay'!I63</f>
        <v>empty</v>
      </c>
      <c r="I63" s="54">
        <f>'[01_Entry.xlsx]Pay'!J63</f>
        <v/>
      </c>
      <c r="J63" s="56" t="str">
        <f>'[01_Entry.xlsx]Pay'!K63</f>
        <v>empty</v>
      </c>
      <c r="K63" s="54" t="str">
        <f>'[01_Entry.xlsx]Pay'!L63</f>
        <v>empty</v>
      </c>
      <c r="L63" s="54">
        <f>'[01_Entry.xlsx]Pay'!M63</f>
        <v/>
      </c>
      <c r="M63" s="57">
        <f>IF($D63="دریافت",IF($L63="انتقال داخلی",0,$J63),0)</f>
        <v>0</v>
      </c>
      <c r="N63" s="57">
        <f>IF($D63="پرداخت",IF($L63="انتقال داخلی",0,$J63),0)</f>
        <v>0</v>
      </c>
      <c r="O63" s="55" t="str">
        <f>'[01_Entry.xlsx]Pay'!P63</f>
        <v>empty</v>
      </c>
      <c r="P63" s="54">
        <f>IF($B63="","","ثبت روزانه")</f>
        <v>0</v>
      </c>
    </row>
    <row r="64" spans="1:16" ht="21" customHeight="1">
      <c r="A64" s="54" t="str">
        <f>'[01_Entry.xlsx]Pay'!B64</f>
        <v>empty</v>
      </c>
      <c r="B64" s="54" t="str">
        <f>'[01_Entry.xlsx]Pay'!C64</f>
        <v>empty</v>
      </c>
      <c r="C64" s="54" t="str">
        <f>'[01_Entry.xlsx]Pay'!D64</f>
        <v>empty</v>
      </c>
      <c r="D64" s="54" t="str">
        <f>'[01_Entry.xlsx]Pay'!E64</f>
        <v>empty</v>
      </c>
      <c r="E64" s="54" t="str">
        <f>'[01_Entry.xlsx]Pay'!F64</f>
        <v>empty</v>
      </c>
      <c r="F64" s="55">
        <f>'[01_Entry.xlsx]Pay'!G64</f>
        <v/>
      </c>
      <c r="G64" s="54">
        <f>'[01_Entry.xlsx]Pay'!H64</f>
        <v/>
      </c>
      <c r="H64" s="54" t="str">
        <f>'[01_Entry.xlsx]Pay'!I64</f>
        <v>empty</v>
      </c>
      <c r="I64" s="54">
        <f>'[01_Entry.xlsx]Pay'!J64</f>
        <v/>
      </c>
      <c r="J64" s="56" t="str">
        <f>'[01_Entry.xlsx]Pay'!K64</f>
        <v>empty</v>
      </c>
      <c r="K64" s="54" t="str">
        <f>'[01_Entry.xlsx]Pay'!L64</f>
        <v>empty</v>
      </c>
      <c r="L64" s="54">
        <f>'[01_Entry.xlsx]Pay'!M64</f>
        <v/>
      </c>
      <c r="M64" s="57">
        <f>IF($D64="دریافت",IF($L64="انتقال داخلی",0,$J64),0)</f>
        <v>0</v>
      </c>
      <c r="N64" s="57">
        <f>IF($D64="پرداخت",IF($L64="انتقال داخلی",0,$J64),0)</f>
        <v>0</v>
      </c>
      <c r="O64" s="55" t="str">
        <f>'[01_Entry.xlsx]Pay'!P64</f>
        <v>empty</v>
      </c>
      <c r="P64" s="54">
        <f>IF($B64="","","ثبت روزانه")</f>
        <v>0</v>
      </c>
    </row>
    <row r="65" spans="1:16" ht="21" customHeight="1">
      <c r="A65" s="54" t="str">
        <f>'[01_Entry.xlsx]Pay'!B65</f>
        <v>empty</v>
      </c>
      <c r="B65" s="54" t="str">
        <f>'[01_Entry.xlsx]Pay'!C65</f>
        <v>empty</v>
      </c>
      <c r="C65" s="54" t="str">
        <f>'[01_Entry.xlsx]Pay'!D65</f>
        <v>empty</v>
      </c>
      <c r="D65" s="54" t="str">
        <f>'[01_Entry.xlsx]Pay'!E65</f>
        <v>empty</v>
      </c>
      <c r="E65" s="54" t="str">
        <f>'[01_Entry.xlsx]Pay'!F65</f>
        <v>empty</v>
      </c>
      <c r="F65" s="55">
        <f>'[01_Entry.xlsx]Pay'!G65</f>
        <v/>
      </c>
      <c r="G65" s="54">
        <f>'[01_Entry.xlsx]Pay'!H65</f>
        <v/>
      </c>
      <c r="H65" s="54" t="str">
        <f>'[01_Entry.xlsx]Pay'!I65</f>
        <v>empty</v>
      </c>
      <c r="I65" s="54">
        <f>'[01_Entry.xlsx]Pay'!J65</f>
        <v/>
      </c>
      <c r="J65" s="56" t="str">
        <f>'[01_Entry.xlsx]Pay'!K65</f>
        <v>empty</v>
      </c>
      <c r="K65" s="54" t="str">
        <f>'[01_Entry.xlsx]Pay'!L65</f>
        <v>empty</v>
      </c>
      <c r="L65" s="54">
        <f>'[01_Entry.xlsx]Pay'!M65</f>
        <v/>
      </c>
      <c r="M65" s="57">
        <f>IF($D65="دریافت",IF($L65="انتقال داخلی",0,$J65),0)</f>
        <v>0</v>
      </c>
      <c r="N65" s="57">
        <f>IF($D65="پرداخت",IF($L65="انتقال داخلی",0,$J65),0)</f>
        <v>0</v>
      </c>
      <c r="O65" s="55" t="str">
        <f>'[01_Entry.xlsx]Pay'!P65</f>
        <v>empty</v>
      </c>
      <c r="P65" s="54">
        <f>IF($B65="","","ثبت روزانه")</f>
        <v>0</v>
      </c>
    </row>
    <row r="66" spans="1:16" ht="21" customHeight="1">
      <c r="A66" s="54" t="str">
        <f>'[01_Entry.xlsx]Pay'!B66</f>
        <v>empty</v>
      </c>
      <c r="B66" s="54" t="str">
        <f>'[01_Entry.xlsx]Pay'!C66</f>
        <v>empty</v>
      </c>
      <c r="C66" s="54" t="str">
        <f>'[01_Entry.xlsx]Pay'!D66</f>
        <v>empty</v>
      </c>
      <c r="D66" s="54" t="str">
        <f>'[01_Entry.xlsx]Pay'!E66</f>
        <v>empty</v>
      </c>
      <c r="E66" s="54" t="str">
        <f>'[01_Entry.xlsx]Pay'!F66</f>
        <v>empty</v>
      </c>
      <c r="F66" s="55">
        <f>'[01_Entry.xlsx]Pay'!G66</f>
        <v/>
      </c>
      <c r="G66" s="54">
        <f>'[01_Entry.xlsx]Pay'!H66</f>
        <v/>
      </c>
      <c r="H66" s="54" t="str">
        <f>'[01_Entry.xlsx]Pay'!I66</f>
        <v>empty</v>
      </c>
      <c r="I66" s="54">
        <f>'[01_Entry.xlsx]Pay'!J66</f>
        <v/>
      </c>
      <c r="J66" s="56" t="str">
        <f>'[01_Entry.xlsx]Pay'!K66</f>
        <v>empty</v>
      </c>
      <c r="K66" s="54" t="str">
        <f>'[01_Entry.xlsx]Pay'!L66</f>
        <v>empty</v>
      </c>
      <c r="L66" s="54">
        <f>'[01_Entry.xlsx]Pay'!M66</f>
        <v/>
      </c>
      <c r="M66" s="57">
        <f>IF($D66="دریافت",IF($L66="انتقال داخلی",0,$J66),0)</f>
        <v>0</v>
      </c>
      <c r="N66" s="57">
        <f>IF($D66="پرداخت",IF($L66="انتقال داخلی",0,$J66),0)</f>
        <v>0</v>
      </c>
      <c r="O66" s="55" t="str">
        <f>'[01_Entry.xlsx]Pay'!P66</f>
        <v>empty</v>
      </c>
      <c r="P66" s="54">
        <f>IF($B66="","","ثبت روزانه")</f>
        <v>0</v>
      </c>
    </row>
    <row r="67" spans="1:16" ht="21" customHeight="1">
      <c r="A67" s="54" t="str">
        <f>'[01_Entry.xlsx]Pay'!B67</f>
        <v>empty</v>
      </c>
      <c r="B67" s="54" t="str">
        <f>'[01_Entry.xlsx]Pay'!C67</f>
        <v>empty</v>
      </c>
      <c r="C67" s="54" t="str">
        <f>'[01_Entry.xlsx]Pay'!D67</f>
        <v>empty</v>
      </c>
      <c r="D67" s="54" t="str">
        <f>'[01_Entry.xlsx]Pay'!E67</f>
        <v>empty</v>
      </c>
      <c r="E67" s="54" t="str">
        <f>'[01_Entry.xlsx]Pay'!F67</f>
        <v>empty</v>
      </c>
      <c r="F67" s="55">
        <f>'[01_Entry.xlsx]Pay'!G67</f>
        <v/>
      </c>
      <c r="G67" s="54">
        <f>'[01_Entry.xlsx]Pay'!H67</f>
        <v/>
      </c>
      <c r="H67" s="54" t="str">
        <f>'[01_Entry.xlsx]Pay'!I67</f>
        <v>empty</v>
      </c>
      <c r="I67" s="54">
        <f>'[01_Entry.xlsx]Pay'!J67</f>
        <v/>
      </c>
      <c r="J67" s="56" t="str">
        <f>'[01_Entry.xlsx]Pay'!K67</f>
        <v>empty</v>
      </c>
      <c r="K67" s="54" t="str">
        <f>'[01_Entry.xlsx]Pay'!L67</f>
        <v>empty</v>
      </c>
      <c r="L67" s="54">
        <f>'[01_Entry.xlsx]Pay'!M67</f>
        <v/>
      </c>
      <c r="M67" s="57">
        <f>IF($D67="دریافت",IF($L67="انتقال داخلی",0,$J67),0)</f>
        <v>0</v>
      </c>
      <c r="N67" s="57">
        <f>IF($D67="پرداخت",IF($L67="انتقال داخلی",0,$J67),0)</f>
        <v>0</v>
      </c>
      <c r="O67" s="55" t="str">
        <f>'[01_Entry.xlsx]Pay'!P67</f>
        <v>empty</v>
      </c>
      <c r="P67" s="54">
        <f>IF($B67="","","ثبت روزانه")</f>
        <v>0</v>
      </c>
    </row>
    <row r="68" spans="1:16" ht="21" customHeight="1">
      <c r="A68" s="54" t="str">
        <f>'[01_Entry.xlsx]Pay'!B68</f>
        <v>empty</v>
      </c>
      <c r="B68" s="54" t="str">
        <f>'[01_Entry.xlsx]Pay'!C68</f>
        <v>empty</v>
      </c>
      <c r="C68" s="54" t="str">
        <f>'[01_Entry.xlsx]Pay'!D68</f>
        <v>empty</v>
      </c>
      <c r="D68" s="54" t="str">
        <f>'[01_Entry.xlsx]Pay'!E68</f>
        <v>empty</v>
      </c>
      <c r="E68" s="54" t="str">
        <f>'[01_Entry.xlsx]Pay'!F68</f>
        <v>empty</v>
      </c>
      <c r="F68" s="55">
        <f>'[01_Entry.xlsx]Pay'!G68</f>
        <v/>
      </c>
      <c r="G68" s="54">
        <f>'[01_Entry.xlsx]Pay'!H68</f>
        <v/>
      </c>
      <c r="H68" s="54" t="str">
        <f>'[01_Entry.xlsx]Pay'!I68</f>
        <v>empty</v>
      </c>
      <c r="I68" s="54">
        <f>'[01_Entry.xlsx]Pay'!J68</f>
        <v/>
      </c>
      <c r="J68" s="56" t="str">
        <f>'[01_Entry.xlsx]Pay'!K68</f>
        <v>empty</v>
      </c>
      <c r="K68" s="54" t="str">
        <f>'[01_Entry.xlsx]Pay'!L68</f>
        <v>empty</v>
      </c>
      <c r="L68" s="54">
        <f>'[01_Entry.xlsx]Pay'!M68</f>
        <v/>
      </c>
      <c r="M68" s="57">
        <f>IF($D68="دریافت",IF($L68="انتقال داخلی",0,$J68),0)</f>
        <v>0</v>
      </c>
      <c r="N68" s="57">
        <f>IF($D68="پرداخت",IF($L68="انتقال داخلی",0,$J68),0)</f>
        <v>0</v>
      </c>
      <c r="O68" s="55" t="str">
        <f>'[01_Entry.xlsx]Pay'!P68</f>
        <v>empty</v>
      </c>
      <c r="P68" s="54">
        <f>IF($B68="","","ثبت روزانه")</f>
        <v>0</v>
      </c>
    </row>
    <row r="69" spans="1:16" ht="21" customHeight="1">
      <c r="A69" s="54" t="str">
        <f>'[01_Entry.xlsx]Pay'!B69</f>
        <v>empty</v>
      </c>
      <c r="B69" s="54" t="str">
        <f>'[01_Entry.xlsx]Pay'!C69</f>
        <v>empty</v>
      </c>
      <c r="C69" s="54" t="str">
        <f>'[01_Entry.xlsx]Pay'!D69</f>
        <v>empty</v>
      </c>
      <c r="D69" s="54" t="str">
        <f>'[01_Entry.xlsx]Pay'!E69</f>
        <v>empty</v>
      </c>
      <c r="E69" s="54" t="str">
        <f>'[01_Entry.xlsx]Pay'!F69</f>
        <v>empty</v>
      </c>
      <c r="F69" s="55">
        <f>'[01_Entry.xlsx]Pay'!G69</f>
        <v/>
      </c>
      <c r="G69" s="54">
        <f>'[01_Entry.xlsx]Pay'!H69</f>
        <v/>
      </c>
      <c r="H69" s="54" t="str">
        <f>'[01_Entry.xlsx]Pay'!I69</f>
        <v>empty</v>
      </c>
      <c r="I69" s="54">
        <f>'[01_Entry.xlsx]Pay'!J69</f>
        <v/>
      </c>
      <c r="J69" s="56" t="str">
        <f>'[01_Entry.xlsx]Pay'!K69</f>
        <v>empty</v>
      </c>
      <c r="K69" s="54" t="str">
        <f>'[01_Entry.xlsx]Pay'!L69</f>
        <v>empty</v>
      </c>
      <c r="L69" s="54">
        <f>'[01_Entry.xlsx]Pay'!M69</f>
        <v/>
      </c>
      <c r="M69" s="57">
        <f>IF($D69="دریافت",IF($L69="انتقال داخلی",0,$J69),0)</f>
        <v>0</v>
      </c>
      <c r="N69" s="57">
        <f>IF($D69="پرداخت",IF($L69="انتقال داخلی",0,$J69),0)</f>
        <v>0</v>
      </c>
      <c r="O69" s="55" t="str">
        <f>'[01_Entry.xlsx]Pay'!P69</f>
        <v>empty</v>
      </c>
      <c r="P69" s="54">
        <f>IF($B69="","","ثبت روزانه")</f>
        <v>0</v>
      </c>
    </row>
    <row r="70" spans="1:16" ht="21" customHeight="1">
      <c r="A70" s="54" t="str">
        <f>'[01_Entry.xlsx]Pay'!B70</f>
        <v>empty</v>
      </c>
      <c r="B70" s="54" t="str">
        <f>'[01_Entry.xlsx]Pay'!C70</f>
        <v>empty</v>
      </c>
      <c r="C70" s="54" t="str">
        <f>'[01_Entry.xlsx]Pay'!D70</f>
        <v>empty</v>
      </c>
      <c r="D70" s="54" t="str">
        <f>'[01_Entry.xlsx]Pay'!E70</f>
        <v>empty</v>
      </c>
      <c r="E70" s="54" t="str">
        <f>'[01_Entry.xlsx]Pay'!F70</f>
        <v>empty</v>
      </c>
      <c r="F70" s="55">
        <f>'[01_Entry.xlsx]Pay'!G70</f>
        <v/>
      </c>
      <c r="G70" s="54">
        <f>'[01_Entry.xlsx]Pay'!H70</f>
        <v/>
      </c>
      <c r="H70" s="54" t="str">
        <f>'[01_Entry.xlsx]Pay'!I70</f>
        <v>empty</v>
      </c>
      <c r="I70" s="54">
        <f>'[01_Entry.xlsx]Pay'!J70</f>
        <v/>
      </c>
      <c r="J70" s="56" t="str">
        <f>'[01_Entry.xlsx]Pay'!K70</f>
        <v>empty</v>
      </c>
      <c r="K70" s="54" t="str">
        <f>'[01_Entry.xlsx]Pay'!L70</f>
        <v>empty</v>
      </c>
      <c r="L70" s="54">
        <f>'[01_Entry.xlsx]Pay'!M70</f>
        <v/>
      </c>
      <c r="M70" s="57">
        <f>IF($D70="دریافت",IF($L70="انتقال داخلی",0,$J70),0)</f>
        <v>0</v>
      </c>
      <c r="N70" s="57">
        <f>IF($D70="پرداخت",IF($L70="انتقال داخلی",0,$J70),0)</f>
        <v>0</v>
      </c>
      <c r="O70" s="55" t="str">
        <f>'[01_Entry.xlsx]Pay'!P70</f>
        <v>empty</v>
      </c>
      <c r="P70" s="54">
        <f>IF($B70="","","ثبت روزانه")</f>
        <v>0</v>
      </c>
    </row>
    <row r="71" spans="1:16" ht="21" customHeight="1">
      <c r="A71" s="54" t="str">
        <f>'[01_Entry.xlsx]Pay'!B71</f>
        <v>empty</v>
      </c>
      <c r="B71" s="54" t="str">
        <f>'[01_Entry.xlsx]Pay'!C71</f>
        <v>empty</v>
      </c>
      <c r="C71" s="54" t="str">
        <f>'[01_Entry.xlsx]Pay'!D71</f>
        <v>empty</v>
      </c>
      <c r="D71" s="54" t="str">
        <f>'[01_Entry.xlsx]Pay'!E71</f>
        <v>empty</v>
      </c>
      <c r="E71" s="54" t="str">
        <f>'[01_Entry.xlsx]Pay'!F71</f>
        <v>empty</v>
      </c>
      <c r="F71" s="55">
        <f>'[01_Entry.xlsx]Pay'!G71</f>
        <v/>
      </c>
      <c r="G71" s="54">
        <f>'[01_Entry.xlsx]Pay'!H71</f>
        <v/>
      </c>
      <c r="H71" s="54" t="str">
        <f>'[01_Entry.xlsx]Pay'!I71</f>
        <v>empty</v>
      </c>
      <c r="I71" s="54">
        <f>'[01_Entry.xlsx]Pay'!J71</f>
        <v/>
      </c>
      <c r="J71" s="56" t="str">
        <f>'[01_Entry.xlsx]Pay'!K71</f>
        <v>empty</v>
      </c>
      <c r="K71" s="54" t="str">
        <f>'[01_Entry.xlsx]Pay'!L71</f>
        <v>empty</v>
      </c>
      <c r="L71" s="54">
        <f>'[01_Entry.xlsx]Pay'!M71</f>
        <v/>
      </c>
      <c r="M71" s="57">
        <f>IF($D71="دریافت",IF($L71="انتقال داخلی",0,$J71),0)</f>
        <v>0</v>
      </c>
      <c r="N71" s="57">
        <f>IF($D71="پرداخت",IF($L71="انتقال داخلی",0,$J71),0)</f>
        <v>0</v>
      </c>
      <c r="O71" s="55" t="str">
        <f>'[01_Entry.xlsx]Pay'!P71</f>
        <v>empty</v>
      </c>
      <c r="P71" s="54">
        <f>IF($B71="","","ثبت روزانه")</f>
        <v>0</v>
      </c>
    </row>
    <row r="72" spans="1:16" ht="21" customHeight="1">
      <c r="A72" s="54" t="str">
        <f>'[01_Entry.xlsx]Pay'!B72</f>
        <v>empty</v>
      </c>
      <c r="B72" s="54" t="str">
        <f>'[01_Entry.xlsx]Pay'!C72</f>
        <v>empty</v>
      </c>
      <c r="C72" s="54" t="str">
        <f>'[01_Entry.xlsx]Pay'!D72</f>
        <v>empty</v>
      </c>
      <c r="D72" s="54" t="str">
        <f>'[01_Entry.xlsx]Pay'!E72</f>
        <v>empty</v>
      </c>
      <c r="E72" s="54" t="str">
        <f>'[01_Entry.xlsx]Pay'!F72</f>
        <v>empty</v>
      </c>
      <c r="F72" s="55">
        <f>'[01_Entry.xlsx]Pay'!G72</f>
        <v/>
      </c>
      <c r="G72" s="54">
        <f>'[01_Entry.xlsx]Pay'!H72</f>
        <v/>
      </c>
      <c r="H72" s="54" t="str">
        <f>'[01_Entry.xlsx]Pay'!I72</f>
        <v>empty</v>
      </c>
      <c r="I72" s="54">
        <f>'[01_Entry.xlsx]Pay'!J72</f>
        <v/>
      </c>
      <c r="J72" s="56" t="str">
        <f>'[01_Entry.xlsx]Pay'!K72</f>
        <v>empty</v>
      </c>
      <c r="K72" s="54" t="str">
        <f>'[01_Entry.xlsx]Pay'!L72</f>
        <v>empty</v>
      </c>
      <c r="L72" s="54">
        <f>'[01_Entry.xlsx]Pay'!M72</f>
        <v/>
      </c>
      <c r="M72" s="57">
        <f>IF($D72="دریافت",IF($L72="انتقال داخلی",0,$J72),0)</f>
        <v>0</v>
      </c>
      <c r="N72" s="57">
        <f>IF($D72="پرداخت",IF($L72="انتقال داخلی",0,$J72),0)</f>
        <v>0</v>
      </c>
      <c r="O72" s="55" t="str">
        <f>'[01_Entry.xlsx]Pay'!P72</f>
        <v>empty</v>
      </c>
      <c r="P72" s="54">
        <f>IF($B72="","","ثبت روزانه")</f>
        <v>0</v>
      </c>
    </row>
    <row r="73" spans="1:16" ht="21" customHeight="1">
      <c r="A73" s="54" t="str">
        <f>'[01_Entry.xlsx]Pay'!B73</f>
        <v>empty</v>
      </c>
      <c r="B73" s="54" t="str">
        <f>'[01_Entry.xlsx]Pay'!C73</f>
        <v>empty</v>
      </c>
      <c r="C73" s="54" t="str">
        <f>'[01_Entry.xlsx]Pay'!D73</f>
        <v>empty</v>
      </c>
      <c r="D73" s="54" t="str">
        <f>'[01_Entry.xlsx]Pay'!E73</f>
        <v>empty</v>
      </c>
      <c r="E73" s="54" t="str">
        <f>'[01_Entry.xlsx]Pay'!F73</f>
        <v>empty</v>
      </c>
      <c r="F73" s="55">
        <f>'[01_Entry.xlsx]Pay'!G73</f>
        <v/>
      </c>
      <c r="G73" s="54">
        <f>'[01_Entry.xlsx]Pay'!H73</f>
        <v/>
      </c>
      <c r="H73" s="54" t="str">
        <f>'[01_Entry.xlsx]Pay'!I73</f>
        <v>empty</v>
      </c>
      <c r="I73" s="54">
        <f>'[01_Entry.xlsx]Pay'!J73</f>
        <v/>
      </c>
      <c r="J73" s="56" t="str">
        <f>'[01_Entry.xlsx]Pay'!K73</f>
        <v>empty</v>
      </c>
      <c r="K73" s="54" t="str">
        <f>'[01_Entry.xlsx]Pay'!L73</f>
        <v>empty</v>
      </c>
      <c r="L73" s="54">
        <f>'[01_Entry.xlsx]Pay'!M73</f>
        <v/>
      </c>
      <c r="M73" s="57">
        <f>IF($D73="دریافت",IF($L73="انتقال داخلی",0,$J73),0)</f>
        <v>0</v>
      </c>
      <c r="N73" s="57">
        <f>IF($D73="پرداخت",IF($L73="انتقال داخلی",0,$J73),0)</f>
        <v>0</v>
      </c>
      <c r="O73" s="55" t="str">
        <f>'[01_Entry.xlsx]Pay'!P73</f>
        <v>empty</v>
      </c>
      <c r="P73" s="54">
        <f>IF($B73="","","ثبت روزانه")</f>
        <v>0</v>
      </c>
    </row>
    <row r="74" spans="1:16" ht="21" customHeight="1">
      <c r="A74" s="54" t="str">
        <f>'[01_Entry.xlsx]Pay'!B74</f>
        <v>empty</v>
      </c>
      <c r="B74" s="54" t="str">
        <f>'[01_Entry.xlsx]Pay'!C74</f>
        <v>empty</v>
      </c>
      <c r="C74" s="54" t="str">
        <f>'[01_Entry.xlsx]Pay'!D74</f>
        <v>empty</v>
      </c>
      <c r="D74" s="54" t="str">
        <f>'[01_Entry.xlsx]Pay'!E74</f>
        <v>empty</v>
      </c>
      <c r="E74" s="54" t="str">
        <f>'[01_Entry.xlsx]Pay'!F74</f>
        <v>empty</v>
      </c>
      <c r="F74" s="55">
        <f>'[01_Entry.xlsx]Pay'!G74</f>
        <v/>
      </c>
      <c r="G74" s="54">
        <f>'[01_Entry.xlsx]Pay'!H74</f>
        <v/>
      </c>
      <c r="H74" s="54" t="str">
        <f>'[01_Entry.xlsx]Pay'!I74</f>
        <v>empty</v>
      </c>
      <c r="I74" s="54">
        <f>'[01_Entry.xlsx]Pay'!J74</f>
        <v/>
      </c>
      <c r="J74" s="56" t="str">
        <f>'[01_Entry.xlsx]Pay'!K74</f>
        <v>empty</v>
      </c>
      <c r="K74" s="54" t="str">
        <f>'[01_Entry.xlsx]Pay'!L74</f>
        <v>empty</v>
      </c>
      <c r="L74" s="54">
        <f>'[01_Entry.xlsx]Pay'!M74</f>
        <v/>
      </c>
      <c r="M74" s="57">
        <f>IF($D74="دریافت",IF($L74="انتقال داخلی",0,$J74),0)</f>
        <v>0</v>
      </c>
      <c r="N74" s="57">
        <f>IF($D74="پرداخت",IF($L74="انتقال داخلی",0,$J74),0)</f>
        <v>0</v>
      </c>
      <c r="O74" s="55" t="str">
        <f>'[01_Entry.xlsx]Pay'!P74</f>
        <v>empty</v>
      </c>
      <c r="P74" s="54">
        <f>IF($B74="","","ثبت روزانه")</f>
        <v>0</v>
      </c>
    </row>
    <row r="75" spans="1:16" ht="21" customHeight="1">
      <c r="A75" s="54" t="str">
        <f>'[01_Entry.xlsx]Pay'!B75</f>
        <v>empty</v>
      </c>
      <c r="B75" s="54" t="str">
        <f>'[01_Entry.xlsx]Pay'!C75</f>
        <v>empty</v>
      </c>
      <c r="C75" s="54" t="str">
        <f>'[01_Entry.xlsx]Pay'!D75</f>
        <v>empty</v>
      </c>
      <c r="D75" s="54" t="str">
        <f>'[01_Entry.xlsx]Pay'!E75</f>
        <v>empty</v>
      </c>
      <c r="E75" s="54" t="str">
        <f>'[01_Entry.xlsx]Pay'!F75</f>
        <v>empty</v>
      </c>
      <c r="F75" s="55">
        <f>'[01_Entry.xlsx]Pay'!G75</f>
        <v/>
      </c>
      <c r="G75" s="54">
        <f>'[01_Entry.xlsx]Pay'!H75</f>
        <v/>
      </c>
      <c r="H75" s="54" t="str">
        <f>'[01_Entry.xlsx]Pay'!I75</f>
        <v>empty</v>
      </c>
      <c r="I75" s="54">
        <f>'[01_Entry.xlsx]Pay'!J75</f>
        <v/>
      </c>
      <c r="J75" s="56" t="str">
        <f>'[01_Entry.xlsx]Pay'!K75</f>
        <v>empty</v>
      </c>
      <c r="K75" s="54" t="str">
        <f>'[01_Entry.xlsx]Pay'!L75</f>
        <v>empty</v>
      </c>
      <c r="L75" s="54">
        <f>'[01_Entry.xlsx]Pay'!M75</f>
        <v/>
      </c>
      <c r="M75" s="57">
        <f>IF($D75="دریافت",IF($L75="انتقال داخلی",0,$J75),0)</f>
        <v>0</v>
      </c>
      <c r="N75" s="57">
        <f>IF($D75="پرداخت",IF($L75="انتقال داخلی",0,$J75),0)</f>
        <v>0</v>
      </c>
      <c r="O75" s="55" t="str">
        <f>'[01_Entry.xlsx]Pay'!P75</f>
        <v>empty</v>
      </c>
      <c r="P75" s="54">
        <f>IF($B75="","","ثبت روزانه")</f>
        <v>0</v>
      </c>
    </row>
    <row r="76" spans="1:16" ht="21" customHeight="1">
      <c r="A76" s="54" t="str">
        <f>'[01_Entry.xlsx]Pay'!B76</f>
        <v>empty</v>
      </c>
      <c r="B76" s="54" t="str">
        <f>'[01_Entry.xlsx]Pay'!C76</f>
        <v>empty</v>
      </c>
      <c r="C76" s="54" t="str">
        <f>'[01_Entry.xlsx]Pay'!D76</f>
        <v>empty</v>
      </c>
      <c r="D76" s="54" t="str">
        <f>'[01_Entry.xlsx]Pay'!E76</f>
        <v>empty</v>
      </c>
      <c r="E76" s="54" t="str">
        <f>'[01_Entry.xlsx]Pay'!F76</f>
        <v>empty</v>
      </c>
      <c r="F76" s="55">
        <f>'[01_Entry.xlsx]Pay'!G76</f>
        <v/>
      </c>
      <c r="G76" s="54">
        <f>'[01_Entry.xlsx]Pay'!H76</f>
        <v/>
      </c>
      <c r="H76" s="54" t="str">
        <f>'[01_Entry.xlsx]Pay'!I76</f>
        <v>empty</v>
      </c>
      <c r="I76" s="54">
        <f>'[01_Entry.xlsx]Pay'!J76</f>
        <v/>
      </c>
      <c r="J76" s="56" t="str">
        <f>'[01_Entry.xlsx]Pay'!K76</f>
        <v>empty</v>
      </c>
      <c r="K76" s="54" t="str">
        <f>'[01_Entry.xlsx]Pay'!L76</f>
        <v>empty</v>
      </c>
      <c r="L76" s="54">
        <f>'[01_Entry.xlsx]Pay'!M76</f>
        <v/>
      </c>
      <c r="M76" s="57">
        <f>IF($D76="دریافت",IF($L76="انتقال داخلی",0,$J76),0)</f>
        <v>0</v>
      </c>
      <c r="N76" s="57">
        <f>IF($D76="پرداخت",IF($L76="انتقال داخلی",0,$J76),0)</f>
        <v>0</v>
      </c>
      <c r="O76" s="55" t="str">
        <f>'[01_Entry.xlsx]Pay'!P76</f>
        <v>empty</v>
      </c>
      <c r="P76" s="54">
        <f>IF($B76="","","ثبت روزانه")</f>
        <v>0</v>
      </c>
    </row>
    <row r="77" spans="1:16" ht="21" customHeight="1">
      <c r="A77" s="54" t="str">
        <f>'[01_Entry.xlsx]Pay'!B77</f>
        <v>empty</v>
      </c>
      <c r="B77" s="54" t="str">
        <f>'[01_Entry.xlsx]Pay'!C77</f>
        <v>empty</v>
      </c>
      <c r="C77" s="54" t="str">
        <f>'[01_Entry.xlsx]Pay'!D77</f>
        <v>empty</v>
      </c>
      <c r="D77" s="54" t="str">
        <f>'[01_Entry.xlsx]Pay'!E77</f>
        <v>empty</v>
      </c>
      <c r="E77" s="54" t="str">
        <f>'[01_Entry.xlsx]Pay'!F77</f>
        <v>empty</v>
      </c>
      <c r="F77" s="55">
        <f>'[01_Entry.xlsx]Pay'!G77</f>
        <v/>
      </c>
      <c r="G77" s="54">
        <f>'[01_Entry.xlsx]Pay'!H77</f>
        <v/>
      </c>
      <c r="H77" s="54" t="str">
        <f>'[01_Entry.xlsx]Pay'!I77</f>
        <v>empty</v>
      </c>
      <c r="I77" s="54">
        <f>'[01_Entry.xlsx]Pay'!J77</f>
        <v/>
      </c>
      <c r="J77" s="56" t="str">
        <f>'[01_Entry.xlsx]Pay'!K77</f>
        <v>empty</v>
      </c>
      <c r="K77" s="54" t="str">
        <f>'[01_Entry.xlsx]Pay'!L77</f>
        <v>empty</v>
      </c>
      <c r="L77" s="54">
        <f>'[01_Entry.xlsx]Pay'!M77</f>
        <v/>
      </c>
      <c r="M77" s="57">
        <f>IF($D77="دریافت",IF($L77="انتقال داخلی",0,$J77),0)</f>
        <v>0</v>
      </c>
      <c r="N77" s="57">
        <f>IF($D77="پرداخت",IF($L77="انتقال داخلی",0,$J77),0)</f>
        <v>0</v>
      </c>
      <c r="O77" s="55" t="str">
        <f>'[01_Entry.xlsx]Pay'!P77</f>
        <v>empty</v>
      </c>
      <c r="P77" s="54">
        <f>IF($B77="","","ثبت روزانه")</f>
        <v>0</v>
      </c>
    </row>
    <row r="78" spans="1:16" ht="21" customHeight="1">
      <c r="A78" s="54" t="str">
        <f>'[01_Entry.xlsx]Pay'!B78</f>
        <v>empty</v>
      </c>
      <c r="B78" s="54" t="str">
        <f>'[01_Entry.xlsx]Pay'!C78</f>
        <v>empty</v>
      </c>
      <c r="C78" s="54" t="str">
        <f>'[01_Entry.xlsx]Pay'!D78</f>
        <v>empty</v>
      </c>
      <c r="D78" s="54" t="str">
        <f>'[01_Entry.xlsx]Pay'!E78</f>
        <v>empty</v>
      </c>
      <c r="E78" s="54" t="str">
        <f>'[01_Entry.xlsx]Pay'!F78</f>
        <v>empty</v>
      </c>
      <c r="F78" s="55">
        <f>'[01_Entry.xlsx]Pay'!G78</f>
        <v/>
      </c>
      <c r="G78" s="54">
        <f>'[01_Entry.xlsx]Pay'!H78</f>
        <v/>
      </c>
      <c r="H78" s="54" t="str">
        <f>'[01_Entry.xlsx]Pay'!I78</f>
        <v>empty</v>
      </c>
      <c r="I78" s="54">
        <f>'[01_Entry.xlsx]Pay'!J78</f>
        <v/>
      </c>
      <c r="J78" s="56" t="str">
        <f>'[01_Entry.xlsx]Pay'!K78</f>
        <v>empty</v>
      </c>
      <c r="K78" s="54" t="str">
        <f>'[01_Entry.xlsx]Pay'!L78</f>
        <v>empty</v>
      </c>
      <c r="L78" s="54">
        <f>'[01_Entry.xlsx]Pay'!M78</f>
        <v/>
      </c>
      <c r="M78" s="57">
        <f>IF($D78="دریافت",IF($L78="انتقال داخلی",0,$J78),0)</f>
        <v>0</v>
      </c>
      <c r="N78" s="57">
        <f>IF($D78="پرداخت",IF($L78="انتقال داخلی",0,$J78),0)</f>
        <v>0</v>
      </c>
      <c r="O78" s="55" t="str">
        <f>'[01_Entry.xlsx]Pay'!P78</f>
        <v>empty</v>
      </c>
      <c r="P78" s="54">
        <f>IF($B78="","","ثبت روزانه")</f>
        <v>0</v>
      </c>
    </row>
    <row r="79" spans="1:16" ht="21" customHeight="1">
      <c r="A79" s="54" t="str">
        <f>'[01_Entry.xlsx]Pay'!B79</f>
        <v>empty</v>
      </c>
      <c r="B79" s="54" t="str">
        <f>'[01_Entry.xlsx]Pay'!C79</f>
        <v>empty</v>
      </c>
      <c r="C79" s="54" t="str">
        <f>'[01_Entry.xlsx]Pay'!D79</f>
        <v>empty</v>
      </c>
      <c r="D79" s="54" t="str">
        <f>'[01_Entry.xlsx]Pay'!E79</f>
        <v>empty</v>
      </c>
      <c r="E79" s="54" t="str">
        <f>'[01_Entry.xlsx]Pay'!F79</f>
        <v>empty</v>
      </c>
      <c r="F79" s="55">
        <f>'[01_Entry.xlsx]Pay'!G79</f>
        <v/>
      </c>
      <c r="G79" s="54">
        <f>'[01_Entry.xlsx]Pay'!H79</f>
        <v/>
      </c>
      <c r="H79" s="54" t="str">
        <f>'[01_Entry.xlsx]Pay'!I79</f>
        <v>empty</v>
      </c>
      <c r="I79" s="54">
        <f>'[01_Entry.xlsx]Pay'!J79</f>
        <v/>
      </c>
      <c r="J79" s="56" t="str">
        <f>'[01_Entry.xlsx]Pay'!K79</f>
        <v>empty</v>
      </c>
      <c r="K79" s="54" t="str">
        <f>'[01_Entry.xlsx]Pay'!L79</f>
        <v>empty</v>
      </c>
      <c r="L79" s="54">
        <f>'[01_Entry.xlsx]Pay'!M79</f>
        <v/>
      </c>
      <c r="M79" s="57">
        <f>IF($D79="دریافت",IF($L79="انتقال داخلی",0,$J79),0)</f>
        <v>0</v>
      </c>
      <c r="N79" s="57">
        <f>IF($D79="پرداخت",IF($L79="انتقال داخلی",0,$J79),0)</f>
        <v>0</v>
      </c>
      <c r="O79" s="55" t="str">
        <f>'[01_Entry.xlsx]Pay'!P79</f>
        <v>empty</v>
      </c>
      <c r="P79" s="54">
        <f>IF($B79="","","ثبت روزانه")</f>
        <v>0</v>
      </c>
    </row>
    <row r="80" spans="1:16" ht="21" customHeight="1">
      <c r="A80" s="54" t="str">
        <f>'[01_Entry.xlsx]Pay'!B80</f>
        <v>empty</v>
      </c>
      <c r="B80" s="54" t="str">
        <f>'[01_Entry.xlsx]Pay'!C80</f>
        <v>empty</v>
      </c>
      <c r="C80" s="54" t="str">
        <f>'[01_Entry.xlsx]Pay'!D80</f>
        <v>empty</v>
      </c>
      <c r="D80" s="54" t="str">
        <f>'[01_Entry.xlsx]Pay'!E80</f>
        <v>empty</v>
      </c>
      <c r="E80" s="54" t="str">
        <f>'[01_Entry.xlsx]Pay'!F80</f>
        <v>empty</v>
      </c>
      <c r="F80" s="55">
        <f>'[01_Entry.xlsx]Pay'!G80</f>
        <v/>
      </c>
      <c r="G80" s="54">
        <f>'[01_Entry.xlsx]Pay'!H80</f>
        <v/>
      </c>
      <c r="H80" s="54" t="str">
        <f>'[01_Entry.xlsx]Pay'!I80</f>
        <v>empty</v>
      </c>
      <c r="I80" s="54">
        <f>'[01_Entry.xlsx]Pay'!J80</f>
        <v/>
      </c>
      <c r="J80" s="56" t="str">
        <f>'[01_Entry.xlsx]Pay'!K80</f>
        <v>empty</v>
      </c>
      <c r="K80" s="54" t="str">
        <f>'[01_Entry.xlsx]Pay'!L80</f>
        <v>empty</v>
      </c>
      <c r="L80" s="54">
        <f>'[01_Entry.xlsx]Pay'!M80</f>
        <v/>
      </c>
      <c r="M80" s="57">
        <f>IF($D80="دریافت",IF($L80="انتقال داخلی",0,$J80),0)</f>
        <v>0</v>
      </c>
      <c r="N80" s="57">
        <f>IF($D80="پرداخت",IF($L80="انتقال داخلی",0,$J80),0)</f>
        <v>0</v>
      </c>
      <c r="O80" s="55" t="str">
        <f>'[01_Entry.xlsx]Pay'!P80</f>
        <v>empty</v>
      </c>
      <c r="P80" s="54">
        <f>IF($B80="","","ثبت روزانه")</f>
        <v>0</v>
      </c>
    </row>
    <row r="81" spans="1:16" ht="21" customHeight="1">
      <c r="A81" s="54" t="str">
        <f>'[01_Entry.xlsx]Pay'!B81</f>
        <v>empty</v>
      </c>
      <c r="B81" s="54" t="str">
        <f>'[01_Entry.xlsx]Pay'!C81</f>
        <v>empty</v>
      </c>
      <c r="C81" s="54" t="str">
        <f>'[01_Entry.xlsx]Pay'!D81</f>
        <v>empty</v>
      </c>
      <c r="D81" s="54" t="str">
        <f>'[01_Entry.xlsx]Pay'!E81</f>
        <v>empty</v>
      </c>
      <c r="E81" s="54" t="str">
        <f>'[01_Entry.xlsx]Pay'!F81</f>
        <v>empty</v>
      </c>
      <c r="F81" s="55">
        <f>'[01_Entry.xlsx]Pay'!G81</f>
        <v/>
      </c>
      <c r="G81" s="54">
        <f>'[01_Entry.xlsx]Pay'!H81</f>
        <v/>
      </c>
      <c r="H81" s="54" t="str">
        <f>'[01_Entry.xlsx]Pay'!I81</f>
        <v>empty</v>
      </c>
      <c r="I81" s="54">
        <f>'[01_Entry.xlsx]Pay'!J81</f>
        <v/>
      </c>
      <c r="J81" s="56" t="str">
        <f>'[01_Entry.xlsx]Pay'!K81</f>
        <v>empty</v>
      </c>
      <c r="K81" s="54" t="str">
        <f>'[01_Entry.xlsx]Pay'!L81</f>
        <v>empty</v>
      </c>
      <c r="L81" s="54">
        <f>'[01_Entry.xlsx]Pay'!M81</f>
        <v/>
      </c>
      <c r="M81" s="57">
        <f>IF($D81="دریافت",IF($L81="انتقال داخلی",0,$J81),0)</f>
        <v>0</v>
      </c>
      <c r="N81" s="57">
        <f>IF($D81="پرداخت",IF($L81="انتقال داخلی",0,$J81),0)</f>
        <v>0</v>
      </c>
      <c r="O81" s="55" t="str">
        <f>'[01_Entry.xlsx]Pay'!P81</f>
        <v>empty</v>
      </c>
      <c r="P81" s="54">
        <f>IF($B81="","","ثبت روزانه")</f>
        <v>0</v>
      </c>
    </row>
    <row r="82" spans="1:16" ht="21" customHeight="1">
      <c r="A82" s="54" t="str">
        <f>'[01_Entry.xlsx]Pay'!B82</f>
        <v>empty</v>
      </c>
      <c r="B82" s="54" t="str">
        <f>'[01_Entry.xlsx]Pay'!C82</f>
        <v>empty</v>
      </c>
      <c r="C82" s="54" t="str">
        <f>'[01_Entry.xlsx]Pay'!D82</f>
        <v>empty</v>
      </c>
      <c r="D82" s="54" t="str">
        <f>'[01_Entry.xlsx]Pay'!E82</f>
        <v>empty</v>
      </c>
      <c r="E82" s="54" t="str">
        <f>'[01_Entry.xlsx]Pay'!F82</f>
        <v>empty</v>
      </c>
      <c r="F82" s="55">
        <f>'[01_Entry.xlsx]Pay'!G82</f>
        <v/>
      </c>
      <c r="G82" s="54">
        <f>'[01_Entry.xlsx]Pay'!H82</f>
        <v/>
      </c>
      <c r="H82" s="54" t="str">
        <f>'[01_Entry.xlsx]Pay'!I82</f>
        <v>empty</v>
      </c>
      <c r="I82" s="54">
        <f>'[01_Entry.xlsx]Pay'!J82</f>
        <v/>
      </c>
      <c r="J82" s="56" t="str">
        <f>'[01_Entry.xlsx]Pay'!K82</f>
        <v>empty</v>
      </c>
      <c r="K82" s="54" t="str">
        <f>'[01_Entry.xlsx]Pay'!L82</f>
        <v>empty</v>
      </c>
      <c r="L82" s="54">
        <f>'[01_Entry.xlsx]Pay'!M82</f>
        <v/>
      </c>
      <c r="M82" s="57">
        <f>IF($D82="دریافت",IF($L82="انتقال داخلی",0,$J82),0)</f>
        <v>0</v>
      </c>
      <c r="N82" s="57">
        <f>IF($D82="پرداخت",IF($L82="انتقال داخلی",0,$J82),0)</f>
        <v>0</v>
      </c>
      <c r="O82" s="55" t="str">
        <f>'[01_Entry.xlsx]Pay'!P82</f>
        <v>empty</v>
      </c>
      <c r="P82" s="54">
        <f>IF($B82="","","ثبت روزانه")</f>
        <v>0</v>
      </c>
    </row>
    <row r="83" spans="1:16" ht="21" customHeight="1">
      <c r="A83" s="54" t="str">
        <f>'[01_Entry.xlsx]Pay'!B83</f>
        <v>empty</v>
      </c>
      <c r="B83" s="54" t="str">
        <f>'[01_Entry.xlsx]Pay'!C83</f>
        <v>empty</v>
      </c>
      <c r="C83" s="54" t="str">
        <f>'[01_Entry.xlsx]Pay'!D83</f>
        <v>empty</v>
      </c>
      <c r="D83" s="54" t="str">
        <f>'[01_Entry.xlsx]Pay'!E83</f>
        <v>empty</v>
      </c>
      <c r="E83" s="54" t="str">
        <f>'[01_Entry.xlsx]Pay'!F83</f>
        <v>empty</v>
      </c>
      <c r="F83" s="55">
        <f>'[01_Entry.xlsx]Pay'!G83</f>
        <v/>
      </c>
      <c r="G83" s="54">
        <f>'[01_Entry.xlsx]Pay'!H83</f>
        <v/>
      </c>
      <c r="H83" s="54" t="str">
        <f>'[01_Entry.xlsx]Pay'!I83</f>
        <v>empty</v>
      </c>
      <c r="I83" s="54">
        <f>'[01_Entry.xlsx]Pay'!J83</f>
        <v/>
      </c>
      <c r="J83" s="56" t="str">
        <f>'[01_Entry.xlsx]Pay'!K83</f>
        <v>empty</v>
      </c>
      <c r="K83" s="54" t="str">
        <f>'[01_Entry.xlsx]Pay'!L83</f>
        <v>empty</v>
      </c>
      <c r="L83" s="54">
        <f>'[01_Entry.xlsx]Pay'!M83</f>
        <v/>
      </c>
      <c r="M83" s="57">
        <f>IF($D83="دریافت",IF($L83="انتقال داخلی",0,$J83),0)</f>
        <v>0</v>
      </c>
      <c r="N83" s="57">
        <f>IF($D83="پرداخت",IF($L83="انتقال داخلی",0,$J83),0)</f>
        <v>0</v>
      </c>
      <c r="O83" s="55" t="str">
        <f>'[01_Entry.xlsx]Pay'!P83</f>
        <v>empty</v>
      </c>
      <c r="P83" s="54">
        <f>IF($B83="","","ثبت روزانه")</f>
        <v>0</v>
      </c>
    </row>
    <row r="84" spans="1:16" ht="21" customHeight="1">
      <c r="A84" s="54" t="str">
        <f>'[01_Entry.xlsx]Pay'!B84</f>
        <v>empty</v>
      </c>
      <c r="B84" s="54" t="str">
        <f>'[01_Entry.xlsx]Pay'!C84</f>
        <v>empty</v>
      </c>
      <c r="C84" s="54" t="str">
        <f>'[01_Entry.xlsx]Pay'!D84</f>
        <v>empty</v>
      </c>
      <c r="D84" s="54" t="str">
        <f>'[01_Entry.xlsx]Pay'!E84</f>
        <v>empty</v>
      </c>
      <c r="E84" s="54" t="str">
        <f>'[01_Entry.xlsx]Pay'!F84</f>
        <v>empty</v>
      </c>
      <c r="F84" s="55">
        <f>'[01_Entry.xlsx]Pay'!G84</f>
        <v/>
      </c>
      <c r="G84" s="54">
        <f>'[01_Entry.xlsx]Pay'!H84</f>
        <v/>
      </c>
      <c r="H84" s="54" t="str">
        <f>'[01_Entry.xlsx]Pay'!I84</f>
        <v>empty</v>
      </c>
      <c r="I84" s="54">
        <f>'[01_Entry.xlsx]Pay'!J84</f>
        <v/>
      </c>
      <c r="J84" s="56" t="str">
        <f>'[01_Entry.xlsx]Pay'!K84</f>
        <v>empty</v>
      </c>
      <c r="K84" s="54" t="str">
        <f>'[01_Entry.xlsx]Pay'!L84</f>
        <v>empty</v>
      </c>
      <c r="L84" s="54">
        <f>'[01_Entry.xlsx]Pay'!M84</f>
        <v/>
      </c>
      <c r="M84" s="57">
        <f>IF($D84="دریافت",IF($L84="انتقال داخلی",0,$J84),0)</f>
        <v>0</v>
      </c>
      <c r="N84" s="57">
        <f>IF($D84="پرداخت",IF($L84="انتقال داخلی",0,$J84),0)</f>
        <v>0</v>
      </c>
      <c r="O84" s="55" t="str">
        <f>'[01_Entry.xlsx]Pay'!P84</f>
        <v>empty</v>
      </c>
      <c r="P84" s="54">
        <f>IF($B84="","","ثبت روزانه")</f>
        <v>0</v>
      </c>
    </row>
    <row r="85" spans="1:16" ht="21" customHeight="1">
      <c r="A85" s="54" t="str">
        <f>'[01_Entry.xlsx]Pay'!B85</f>
        <v>empty</v>
      </c>
      <c r="B85" s="54" t="str">
        <f>'[01_Entry.xlsx]Pay'!C85</f>
        <v>empty</v>
      </c>
      <c r="C85" s="54" t="str">
        <f>'[01_Entry.xlsx]Pay'!D85</f>
        <v>empty</v>
      </c>
      <c r="D85" s="54" t="str">
        <f>'[01_Entry.xlsx]Pay'!E85</f>
        <v>empty</v>
      </c>
      <c r="E85" s="54" t="str">
        <f>'[01_Entry.xlsx]Pay'!F85</f>
        <v>empty</v>
      </c>
      <c r="F85" s="55">
        <f>'[01_Entry.xlsx]Pay'!G85</f>
        <v/>
      </c>
      <c r="G85" s="54">
        <f>'[01_Entry.xlsx]Pay'!H85</f>
        <v/>
      </c>
      <c r="H85" s="54" t="str">
        <f>'[01_Entry.xlsx]Pay'!I85</f>
        <v>empty</v>
      </c>
      <c r="I85" s="54">
        <f>'[01_Entry.xlsx]Pay'!J85</f>
        <v/>
      </c>
      <c r="J85" s="56" t="str">
        <f>'[01_Entry.xlsx]Pay'!K85</f>
        <v>empty</v>
      </c>
      <c r="K85" s="54" t="str">
        <f>'[01_Entry.xlsx]Pay'!L85</f>
        <v>empty</v>
      </c>
      <c r="L85" s="54">
        <f>'[01_Entry.xlsx]Pay'!M85</f>
        <v/>
      </c>
      <c r="M85" s="57">
        <f>IF($D85="دریافت",IF($L85="انتقال داخلی",0,$J85),0)</f>
        <v>0</v>
      </c>
      <c r="N85" s="57">
        <f>IF($D85="پرداخت",IF($L85="انتقال داخلی",0,$J85),0)</f>
        <v>0</v>
      </c>
      <c r="O85" s="55" t="str">
        <f>'[01_Entry.xlsx]Pay'!P85</f>
        <v>empty</v>
      </c>
      <c r="P85" s="54">
        <f>IF($B85="","","ثبت روزانه")</f>
        <v>0</v>
      </c>
    </row>
    <row r="86" spans="1:16" ht="21" customHeight="1">
      <c r="A86" s="54" t="str">
        <f>'[01_Entry.xlsx]Pay'!B86</f>
        <v>empty</v>
      </c>
      <c r="B86" s="54" t="str">
        <f>'[01_Entry.xlsx]Pay'!C86</f>
        <v>empty</v>
      </c>
      <c r="C86" s="54" t="str">
        <f>'[01_Entry.xlsx]Pay'!D86</f>
        <v>empty</v>
      </c>
      <c r="D86" s="54" t="str">
        <f>'[01_Entry.xlsx]Pay'!E86</f>
        <v>empty</v>
      </c>
      <c r="E86" s="54" t="str">
        <f>'[01_Entry.xlsx]Pay'!F86</f>
        <v>empty</v>
      </c>
      <c r="F86" s="55">
        <f>'[01_Entry.xlsx]Pay'!G86</f>
        <v/>
      </c>
      <c r="G86" s="54">
        <f>'[01_Entry.xlsx]Pay'!H86</f>
        <v/>
      </c>
      <c r="H86" s="54" t="str">
        <f>'[01_Entry.xlsx]Pay'!I86</f>
        <v>empty</v>
      </c>
      <c r="I86" s="54">
        <f>'[01_Entry.xlsx]Pay'!J86</f>
        <v/>
      </c>
      <c r="J86" s="56" t="str">
        <f>'[01_Entry.xlsx]Pay'!K86</f>
        <v>empty</v>
      </c>
      <c r="K86" s="54" t="str">
        <f>'[01_Entry.xlsx]Pay'!L86</f>
        <v>empty</v>
      </c>
      <c r="L86" s="54">
        <f>'[01_Entry.xlsx]Pay'!M86</f>
        <v/>
      </c>
      <c r="M86" s="57">
        <f>IF($D86="دریافت",IF($L86="انتقال داخلی",0,$J86),0)</f>
        <v>0</v>
      </c>
      <c r="N86" s="57">
        <f>IF($D86="پرداخت",IF($L86="انتقال داخلی",0,$J86),0)</f>
        <v>0</v>
      </c>
      <c r="O86" s="55" t="str">
        <f>'[01_Entry.xlsx]Pay'!P86</f>
        <v>empty</v>
      </c>
      <c r="P86" s="54">
        <f>IF($B86="","","ثبت روزانه")</f>
        <v>0</v>
      </c>
    </row>
    <row r="87" spans="1:16" ht="21" customHeight="1">
      <c r="A87" s="54" t="str">
        <f>'[01_Entry.xlsx]Pay'!B87</f>
        <v>empty</v>
      </c>
      <c r="B87" s="54" t="str">
        <f>'[01_Entry.xlsx]Pay'!C87</f>
        <v>empty</v>
      </c>
      <c r="C87" s="54" t="str">
        <f>'[01_Entry.xlsx]Pay'!D87</f>
        <v>empty</v>
      </c>
      <c r="D87" s="54" t="str">
        <f>'[01_Entry.xlsx]Pay'!E87</f>
        <v>empty</v>
      </c>
      <c r="E87" s="54" t="str">
        <f>'[01_Entry.xlsx]Pay'!F87</f>
        <v>empty</v>
      </c>
      <c r="F87" s="55">
        <f>'[01_Entry.xlsx]Pay'!G87</f>
        <v/>
      </c>
      <c r="G87" s="54">
        <f>'[01_Entry.xlsx]Pay'!H87</f>
        <v/>
      </c>
      <c r="H87" s="54" t="str">
        <f>'[01_Entry.xlsx]Pay'!I87</f>
        <v>empty</v>
      </c>
      <c r="I87" s="54">
        <f>'[01_Entry.xlsx]Pay'!J87</f>
        <v/>
      </c>
      <c r="J87" s="56" t="str">
        <f>'[01_Entry.xlsx]Pay'!K87</f>
        <v>empty</v>
      </c>
      <c r="K87" s="54" t="str">
        <f>'[01_Entry.xlsx]Pay'!L87</f>
        <v>empty</v>
      </c>
      <c r="L87" s="54">
        <f>'[01_Entry.xlsx]Pay'!M87</f>
        <v/>
      </c>
      <c r="M87" s="57">
        <f>IF($D87="دریافت",IF($L87="انتقال داخلی",0,$J87),0)</f>
        <v>0</v>
      </c>
      <c r="N87" s="57">
        <f>IF($D87="پرداخت",IF($L87="انتقال داخلی",0,$J87),0)</f>
        <v>0</v>
      </c>
      <c r="O87" s="55" t="str">
        <f>'[01_Entry.xlsx]Pay'!P87</f>
        <v>empty</v>
      </c>
      <c r="P87" s="54">
        <f>IF($B87="","","ثبت روزانه")</f>
        <v>0</v>
      </c>
    </row>
    <row r="88" spans="1:16" ht="21" customHeight="1">
      <c r="A88" s="54" t="str">
        <f>'[01_Entry.xlsx]Pay'!B88</f>
        <v>empty</v>
      </c>
      <c r="B88" s="54" t="str">
        <f>'[01_Entry.xlsx]Pay'!C88</f>
        <v>empty</v>
      </c>
      <c r="C88" s="54" t="str">
        <f>'[01_Entry.xlsx]Pay'!D88</f>
        <v>empty</v>
      </c>
      <c r="D88" s="54" t="str">
        <f>'[01_Entry.xlsx]Pay'!E88</f>
        <v>empty</v>
      </c>
      <c r="E88" s="54" t="str">
        <f>'[01_Entry.xlsx]Pay'!F88</f>
        <v>empty</v>
      </c>
      <c r="F88" s="55">
        <f>'[01_Entry.xlsx]Pay'!G88</f>
        <v/>
      </c>
      <c r="G88" s="54">
        <f>'[01_Entry.xlsx]Pay'!H88</f>
        <v/>
      </c>
      <c r="H88" s="54" t="str">
        <f>'[01_Entry.xlsx]Pay'!I88</f>
        <v>empty</v>
      </c>
      <c r="I88" s="54">
        <f>'[01_Entry.xlsx]Pay'!J88</f>
        <v/>
      </c>
      <c r="J88" s="56" t="str">
        <f>'[01_Entry.xlsx]Pay'!K88</f>
        <v>empty</v>
      </c>
      <c r="K88" s="54" t="str">
        <f>'[01_Entry.xlsx]Pay'!L88</f>
        <v>empty</v>
      </c>
      <c r="L88" s="54">
        <f>'[01_Entry.xlsx]Pay'!M88</f>
        <v/>
      </c>
      <c r="M88" s="57">
        <f>IF($D88="دریافت",IF($L88="انتقال داخلی",0,$J88),0)</f>
        <v>0</v>
      </c>
      <c r="N88" s="57">
        <f>IF($D88="پرداخت",IF($L88="انتقال داخلی",0,$J88),0)</f>
        <v>0</v>
      </c>
      <c r="O88" s="55" t="str">
        <f>'[01_Entry.xlsx]Pay'!P88</f>
        <v>empty</v>
      </c>
      <c r="P88" s="54">
        <f>IF($B88="","","ثبت روزانه")</f>
        <v>0</v>
      </c>
    </row>
    <row r="89" spans="1:16" ht="21" customHeight="1">
      <c r="A89" s="54" t="str">
        <f>'[01_Entry.xlsx]Pay'!B89</f>
        <v>empty</v>
      </c>
      <c r="B89" s="54" t="str">
        <f>'[01_Entry.xlsx]Pay'!C89</f>
        <v>empty</v>
      </c>
      <c r="C89" s="54" t="str">
        <f>'[01_Entry.xlsx]Pay'!D89</f>
        <v>empty</v>
      </c>
      <c r="D89" s="54" t="str">
        <f>'[01_Entry.xlsx]Pay'!E89</f>
        <v>empty</v>
      </c>
      <c r="E89" s="54" t="str">
        <f>'[01_Entry.xlsx]Pay'!F89</f>
        <v>empty</v>
      </c>
      <c r="F89" s="55">
        <f>'[01_Entry.xlsx]Pay'!G89</f>
        <v/>
      </c>
      <c r="G89" s="54">
        <f>'[01_Entry.xlsx]Pay'!H89</f>
        <v/>
      </c>
      <c r="H89" s="54" t="str">
        <f>'[01_Entry.xlsx]Pay'!I89</f>
        <v>empty</v>
      </c>
      <c r="I89" s="54">
        <f>'[01_Entry.xlsx]Pay'!J89</f>
        <v/>
      </c>
      <c r="J89" s="56" t="str">
        <f>'[01_Entry.xlsx]Pay'!K89</f>
        <v>empty</v>
      </c>
      <c r="K89" s="54" t="str">
        <f>'[01_Entry.xlsx]Pay'!L89</f>
        <v>empty</v>
      </c>
      <c r="L89" s="54">
        <f>'[01_Entry.xlsx]Pay'!M89</f>
        <v/>
      </c>
      <c r="M89" s="57">
        <f>IF($D89="دریافت",IF($L89="انتقال داخلی",0,$J89),0)</f>
        <v>0</v>
      </c>
      <c r="N89" s="57">
        <f>IF($D89="پرداخت",IF($L89="انتقال داخلی",0,$J89),0)</f>
        <v>0</v>
      </c>
      <c r="O89" s="55" t="str">
        <f>'[01_Entry.xlsx]Pay'!P89</f>
        <v>empty</v>
      </c>
      <c r="P89" s="54">
        <f>IF($B89="","","ثبت روزانه")</f>
        <v>0</v>
      </c>
    </row>
    <row r="90" spans="1:16" ht="21" customHeight="1">
      <c r="A90" s="54" t="str">
        <f>'[01_Entry.xlsx]Pay'!B90</f>
        <v>empty</v>
      </c>
      <c r="B90" s="54" t="str">
        <f>'[01_Entry.xlsx]Pay'!C90</f>
        <v>empty</v>
      </c>
      <c r="C90" s="54" t="str">
        <f>'[01_Entry.xlsx]Pay'!D90</f>
        <v>empty</v>
      </c>
      <c r="D90" s="54" t="str">
        <f>'[01_Entry.xlsx]Pay'!E90</f>
        <v>empty</v>
      </c>
      <c r="E90" s="54" t="str">
        <f>'[01_Entry.xlsx]Pay'!F90</f>
        <v>empty</v>
      </c>
      <c r="F90" s="55">
        <f>'[01_Entry.xlsx]Pay'!G90</f>
        <v/>
      </c>
      <c r="G90" s="54">
        <f>'[01_Entry.xlsx]Pay'!H90</f>
        <v/>
      </c>
      <c r="H90" s="54" t="str">
        <f>'[01_Entry.xlsx]Pay'!I90</f>
        <v>empty</v>
      </c>
      <c r="I90" s="54">
        <f>'[01_Entry.xlsx]Pay'!J90</f>
        <v/>
      </c>
      <c r="J90" s="56" t="str">
        <f>'[01_Entry.xlsx]Pay'!K90</f>
        <v>empty</v>
      </c>
      <c r="K90" s="54" t="str">
        <f>'[01_Entry.xlsx]Pay'!L90</f>
        <v>empty</v>
      </c>
      <c r="L90" s="54">
        <f>'[01_Entry.xlsx]Pay'!M90</f>
        <v/>
      </c>
      <c r="M90" s="57">
        <f>IF($D90="دریافت",IF($L90="انتقال داخلی",0,$J90),0)</f>
        <v>0</v>
      </c>
      <c r="N90" s="57">
        <f>IF($D90="پرداخت",IF($L90="انتقال داخلی",0,$J90),0)</f>
        <v>0</v>
      </c>
      <c r="O90" s="55" t="str">
        <f>'[01_Entry.xlsx]Pay'!P90</f>
        <v>empty</v>
      </c>
      <c r="P90" s="54">
        <f>IF($B90="","","ثبت روزانه")</f>
        <v>0</v>
      </c>
    </row>
    <row r="91" spans="1:16" ht="21" customHeight="1">
      <c r="A91" s="54" t="str">
        <f>'[01_Entry.xlsx]Pay'!B91</f>
        <v>empty</v>
      </c>
      <c r="B91" s="54" t="str">
        <f>'[01_Entry.xlsx]Pay'!C91</f>
        <v>empty</v>
      </c>
      <c r="C91" s="54" t="str">
        <f>'[01_Entry.xlsx]Pay'!D91</f>
        <v>empty</v>
      </c>
      <c r="D91" s="54" t="str">
        <f>'[01_Entry.xlsx]Pay'!E91</f>
        <v>empty</v>
      </c>
      <c r="E91" s="54" t="str">
        <f>'[01_Entry.xlsx]Pay'!F91</f>
        <v>empty</v>
      </c>
      <c r="F91" s="55">
        <f>'[01_Entry.xlsx]Pay'!G91</f>
        <v/>
      </c>
      <c r="G91" s="54">
        <f>'[01_Entry.xlsx]Pay'!H91</f>
        <v/>
      </c>
      <c r="H91" s="54" t="str">
        <f>'[01_Entry.xlsx]Pay'!I91</f>
        <v>empty</v>
      </c>
      <c r="I91" s="54">
        <f>'[01_Entry.xlsx]Pay'!J91</f>
        <v/>
      </c>
      <c r="J91" s="56" t="str">
        <f>'[01_Entry.xlsx]Pay'!K91</f>
        <v>empty</v>
      </c>
      <c r="K91" s="54" t="str">
        <f>'[01_Entry.xlsx]Pay'!L91</f>
        <v>empty</v>
      </c>
      <c r="L91" s="54">
        <f>'[01_Entry.xlsx]Pay'!M91</f>
        <v/>
      </c>
      <c r="M91" s="57">
        <f>IF($D91="دریافت",IF($L91="انتقال داخلی",0,$J91),0)</f>
        <v>0</v>
      </c>
      <c r="N91" s="57">
        <f>IF($D91="پرداخت",IF($L91="انتقال داخلی",0,$J91),0)</f>
        <v>0</v>
      </c>
      <c r="O91" s="55" t="str">
        <f>'[01_Entry.xlsx]Pay'!P91</f>
        <v>empty</v>
      </c>
      <c r="P91" s="54">
        <f>IF($B91="","","ثبت روزانه")</f>
        <v>0</v>
      </c>
    </row>
    <row r="92" spans="1:16" ht="21" customHeight="1">
      <c r="A92" s="54" t="str">
        <f>'[01_Entry.xlsx]Pay'!B92</f>
        <v>empty</v>
      </c>
      <c r="B92" s="54" t="str">
        <f>'[01_Entry.xlsx]Pay'!C92</f>
        <v>empty</v>
      </c>
      <c r="C92" s="54" t="str">
        <f>'[01_Entry.xlsx]Pay'!D92</f>
        <v>empty</v>
      </c>
      <c r="D92" s="54" t="str">
        <f>'[01_Entry.xlsx]Pay'!E92</f>
        <v>empty</v>
      </c>
      <c r="E92" s="54" t="str">
        <f>'[01_Entry.xlsx]Pay'!F92</f>
        <v>empty</v>
      </c>
      <c r="F92" s="55">
        <f>'[01_Entry.xlsx]Pay'!G92</f>
        <v/>
      </c>
      <c r="G92" s="54">
        <f>'[01_Entry.xlsx]Pay'!H92</f>
        <v/>
      </c>
      <c r="H92" s="54" t="str">
        <f>'[01_Entry.xlsx]Pay'!I92</f>
        <v>empty</v>
      </c>
      <c r="I92" s="54">
        <f>'[01_Entry.xlsx]Pay'!J92</f>
        <v/>
      </c>
      <c r="J92" s="56" t="str">
        <f>'[01_Entry.xlsx]Pay'!K92</f>
        <v>empty</v>
      </c>
      <c r="K92" s="54" t="str">
        <f>'[01_Entry.xlsx]Pay'!L92</f>
        <v>empty</v>
      </c>
      <c r="L92" s="54">
        <f>'[01_Entry.xlsx]Pay'!M92</f>
        <v/>
      </c>
      <c r="M92" s="57">
        <f>IF($D92="دریافت",IF($L92="انتقال داخلی",0,$J92),0)</f>
        <v>0</v>
      </c>
      <c r="N92" s="57">
        <f>IF($D92="پرداخت",IF($L92="انتقال داخلی",0,$J92),0)</f>
        <v>0</v>
      </c>
      <c r="O92" s="55" t="str">
        <f>'[01_Entry.xlsx]Pay'!P92</f>
        <v>empty</v>
      </c>
      <c r="P92" s="54">
        <f>IF($B92="","","ثبت روزانه")</f>
        <v>0</v>
      </c>
    </row>
    <row r="93" spans="1:16" ht="21" customHeight="1">
      <c r="A93" s="54" t="str">
        <f>'[01_Entry.xlsx]Pay'!B93</f>
        <v>empty</v>
      </c>
      <c r="B93" s="54" t="str">
        <f>'[01_Entry.xlsx]Pay'!C93</f>
        <v>empty</v>
      </c>
      <c r="C93" s="54" t="str">
        <f>'[01_Entry.xlsx]Pay'!D93</f>
        <v>empty</v>
      </c>
      <c r="D93" s="54" t="str">
        <f>'[01_Entry.xlsx]Pay'!E93</f>
        <v>empty</v>
      </c>
      <c r="E93" s="54" t="str">
        <f>'[01_Entry.xlsx]Pay'!F93</f>
        <v>empty</v>
      </c>
      <c r="F93" s="55">
        <f>'[01_Entry.xlsx]Pay'!G93</f>
        <v/>
      </c>
      <c r="G93" s="54">
        <f>'[01_Entry.xlsx]Pay'!H93</f>
        <v/>
      </c>
      <c r="H93" s="54" t="str">
        <f>'[01_Entry.xlsx]Pay'!I93</f>
        <v>empty</v>
      </c>
      <c r="I93" s="54">
        <f>'[01_Entry.xlsx]Pay'!J93</f>
        <v/>
      </c>
      <c r="J93" s="56" t="str">
        <f>'[01_Entry.xlsx]Pay'!K93</f>
        <v>empty</v>
      </c>
      <c r="K93" s="54" t="str">
        <f>'[01_Entry.xlsx]Pay'!L93</f>
        <v>empty</v>
      </c>
      <c r="L93" s="54">
        <f>'[01_Entry.xlsx]Pay'!M93</f>
        <v/>
      </c>
      <c r="M93" s="57">
        <f>IF($D93="دریافت",IF($L93="انتقال داخلی",0,$J93),0)</f>
        <v>0</v>
      </c>
      <c r="N93" s="57">
        <f>IF($D93="پرداخت",IF($L93="انتقال داخلی",0,$J93),0)</f>
        <v>0</v>
      </c>
      <c r="O93" s="55" t="str">
        <f>'[01_Entry.xlsx]Pay'!P93</f>
        <v>empty</v>
      </c>
      <c r="P93" s="54">
        <f>IF($B93="","","ثبت روزانه")</f>
        <v>0</v>
      </c>
    </row>
    <row r="94" spans="1:16" ht="21" customHeight="1">
      <c r="A94" s="54" t="str">
        <f>'[01_Entry.xlsx]Pay'!B94</f>
        <v>empty</v>
      </c>
      <c r="B94" s="54" t="str">
        <f>'[01_Entry.xlsx]Pay'!C94</f>
        <v>empty</v>
      </c>
      <c r="C94" s="54" t="str">
        <f>'[01_Entry.xlsx]Pay'!D94</f>
        <v>empty</v>
      </c>
      <c r="D94" s="54" t="str">
        <f>'[01_Entry.xlsx]Pay'!E94</f>
        <v>empty</v>
      </c>
      <c r="E94" s="54" t="str">
        <f>'[01_Entry.xlsx]Pay'!F94</f>
        <v>empty</v>
      </c>
      <c r="F94" s="55">
        <f>'[01_Entry.xlsx]Pay'!G94</f>
        <v/>
      </c>
      <c r="G94" s="54">
        <f>'[01_Entry.xlsx]Pay'!H94</f>
        <v/>
      </c>
      <c r="H94" s="54" t="str">
        <f>'[01_Entry.xlsx]Pay'!I94</f>
        <v>empty</v>
      </c>
      <c r="I94" s="54">
        <f>'[01_Entry.xlsx]Pay'!J94</f>
        <v/>
      </c>
      <c r="J94" s="56" t="str">
        <f>'[01_Entry.xlsx]Pay'!K94</f>
        <v>empty</v>
      </c>
      <c r="K94" s="54" t="str">
        <f>'[01_Entry.xlsx]Pay'!L94</f>
        <v>empty</v>
      </c>
      <c r="L94" s="54">
        <f>'[01_Entry.xlsx]Pay'!M94</f>
        <v/>
      </c>
      <c r="M94" s="57">
        <f>IF($D94="دریافت",IF($L94="انتقال داخلی",0,$J94),0)</f>
        <v>0</v>
      </c>
      <c r="N94" s="57">
        <f>IF($D94="پرداخت",IF($L94="انتقال داخلی",0,$J94),0)</f>
        <v>0</v>
      </c>
      <c r="O94" s="55" t="str">
        <f>'[01_Entry.xlsx]Pay'!P94</f>
        <v>empty</v>
      </c>
      <c r="P94" s="54">
        <f>IF($B94="","","ثبت روزانه")</f>
        <v>0</v>
      </c>
    </row>
    <row r="95" spans="1:16" ht="21" customHeight="1">
      <c r="A95" s="54" t="str">
        <f>'[01_Entry.xlsx]Pay'!B95</f>
        <v>empty</v>
      </c>
      <c r="B95" s="54" t="str">
        <f>'[01_Entry.xlsx]Pay'!C95</f>
        <v>empty</v>
      </c>
      <c r="C95" s="54" t="str">
        <f>'[01_Entry.xlsx]Pay'!D95</f>
        <v>empty</v>
      </c>
      <c r="D95" s="54" t="str">
        <f>'[01_Entry.xlsx]Pay'!E95</f>
        <v>empty</v>
      </c>
      <c r="E95" s="54" t="str">
        <f>'[01_Entry.xlsx]Pay'!F95</f>
        <v>empty</v>
      </c>
      <c r="F95" s="55">
        <f>'[01_Entry.xlsx]Pay'!G95</f>
        <v/>
      </c>
      <c r="G95" s="54">
        <f>'[01_Entry.xlsx]Pay'!H95</f>
        <v/>
      </c>
      <c r="H95" s="54" t="str">
        <f>'[01_Entry.xlsx]Pay'!I95</f>
        <v>empty</v>
      </c>
      <c r="I95" s="54">
        <f>'[01_Entry.xlsx]Pay'!J95</f>
        <v/>
      </c>
      <c r="J95" s="56" t="str">
        <f>'[01_Entry.xlsx]Pay'!K95</f>
        <v>empty</v>
      </c>
      <c r="K95" s="54" t="str">
        <f>'[01_Entry.xlsx]Pay'!L95</f>
        <v>empty</v>
      </c>
      <c r="L95" s="54">
        <f>'[01_Entry.xlsx]Pay'!M95</f>
        <v/>
      </c>
      <c r="M95" s="57">
        <f>IF($D95="دریافت",IF($L95="انتقال داخلی",0,$J95),0)</f>
        <v>0</v>
      </c>
      <c r="N95" s="57">
        <f>IF($D95="پرداخت",IF($L95="انتقال داخلی",0,$J95),0)</f>
        <v>0</v>
      </c>
      <c r="O95" s="55" t="str">
        <f>'[01_Entry.xlsx]Pay'!P95</f>
        <v>empty</v>
      </c>
      <c r="P95" s="54">
        <f>IF($B95="","","ثبت روزانه")</f>
        <v>0</v>
      </c>
    </row>
    <row r="96" spans="1:16" ht="21" customHeight="1">
      <c r="A96" s="54" t="str">
        <f>'[01_Entry.xlsx]Pay'!B96</f>
        <v>empty</v>
      </c>
      <c r="B96" s="54" t="str">
        <f>'[01_Entry.xlsx]Pay'!C96</f>
        <v>empty</v>
      </c>
      <c r="C96" s="54" t="str">
        <f>'[01_Entry.xlsx]Pay'!D96</f>
        <v>empty</v>
      </c>
      <c r="D96" s="54" t="str">
        <f>'[01_Entry.xlsx]Pay'!E96</f>
        <v>empty</v>
      </c>
      <c r="E96" s="54" t="str">
        <f>'[01_Entry.xlsx]Pay'!F96</f>
        <v>empty</v>
      </c>
      <c r="F96" s="55">
        <f>'[01_Entry.xlsx]Pay'!G96</f>
        <v/>
      </c>
      <c r="G96" s="54">
        <f>'[01_Entry.xlsx]Pay'!H96</f>
        <v/>
      </c>
      <c r="H96" s="54" t="str">
        <f>'[01_Entry.xlsx]Pay'!I96</f>
        <v>empty</v>
      </c>
      <c r="I96" s="54">
        <f>'[01_Entry.xlsx]Pay'!J96</f>
        <v/>
      </c>
      <c r="J96" s="56" t="str">
        <f>'[01_Entry.xlsx]Pay'!K96</f>
        <v>empty</v>
      </c>
      <c r="K96" s="54" t="str">
        <f>'[01_Entry.xlsx]Pay'!L96</f>
        <v>empty</v>
      </c>
      <c r="L96" s="54">
        <f>'[01_Entry.xlsx]Pay'!M96</f>
        <v/>
      </c>
      <c r="M96" s="57">
        <f>IF($D96="دریافت",IF($L96="انتقال داخلی",0,$J96),0)</f>
        <v>0</v>
      </c>
      <c r="N96" s="57">
        <f>IF($D96="پرداخت",IF($L96="انتقال داخلی",0,$J96),0)</f>
        <v>0</v>
      </c>
      <c r="O96" s="55" t="str">
        <f>'[01_Entry.xlsx]Pay'!P96</f>
        <v>empty</v>
      </c>
      <c r="P96" s="54">
        <f>IF($B96="","","ثبت روزانه")</f>
        <v>0</v>
      </c>
    </row>
    <row r="97" spans="1:16" ht="21" customHeight="1">
      <c r="A97" s="54" t="str">
        <f>'[01_Entry.xlsx]Pay'!B97</f>
        <v>empty</v>
      </c>
      <c r="B97" s="54" t="str">
        <f>'[01_Entry.xlsx]Pay'!C97</f>
        <v>empty</v>
      </c>
      <c r="C97" s="54" t="str">
        <f>'[01_Entry.xlsx]Pay'!D97</f>
        <v>empty</v>
      </c>
      <c r="D97" s="54" t="str">
        <f>'[01_Entry.xlsx]Pay'!E97</f>
        <v>empty</v>
      </c>
      <c r="E97" s="54" t="str">
        <f>'[01_Entry.xlsx]Pay'!F97</f>
        <v>empty</v>
      </c>
      <c r="F97" s="55">
        <f>'[01_Entry.xlsx]Pay'!G97</f>
        <v/>
      </c>
      <c r="G97" s="54">
        <f>'[01_Entry.xlsx]Pay'!H97</f>
        <v/>
      </c>
      <c r="H97" s="54" t="str">
        <f>'[01_Entry.xlsx]Pay'!I97</f>
        <v>empty</v>
      </c>
      <c r="I97" s="54">
        <f>'[01_Entry.xlsx]Pay'!J97</f>
        <v/>
      </c>
      <c r="J97" s="56" t="str">
        <f>'[01_Entry.xlsx]Pay'!K97</f>
        <v>empty</v>
      </c>
      <c r="K97" s="54" t="str">
        <f>'[01_Entry.xlsx]Pay'!L97</f>
        <v>empty</v>
      </c>
      <c r="L97" s="54">
        <f>'[01_Entry.xlsx]Pay'!M97</f>
        <v/>
      </c>
      <c r="M97" s="57">
        <f>IF($D97="دریافت",IF($L97="انتقال داخلی",0,$J97),0)</f>
        <v>0</v>
      </c>
      <c r="N97" s="57">
        <f>IF($D97="پرداخت",IF($L97="انتقال داخلی",0,$J97),0)</f>
        <v>0</v>
      </c>
      <c r="O97" s="55" t="str">
        <f>'[01_Entry.xlsx]Pay'!P97</f>
        <v>empty</v>
      </c>
      <c r="P97" s="54">
        <f>IF($B97="","","ثبت روزانه")</f>
        <v>0</v>
      </c>
    </row>
    <row r="98" spans="1:16" ht="21" customHeight="1">
      <c r="A98" s="54" t="str">
        <f>'[01_Entry.xlsx]Pay'!B98</f>
        <v>empty</v>
      </c>
      <c r="B98" s="54" t="str">
        <f>'[01_Entry.xlsx]Pay'!C98</f>
        <v>empty</v>
      </c>
      <c r="C98" s="54" t="str">
        <f>'[01_Entry.xlsx]Pay'!D98</f>
        <v>empty</v>
      </c>
      <c r="D98" s="54" t="str">
        <f>'[01_Entry.xlsx]Pay'!E98</f>
        <v>empty</v>
      </c>
      <c r="E98" s="54" t="str">
        <f>'[01_Entry.xlsx]Pay'!F98</f>
        <v>empty</v>
      </c>
      <c r="F98" s="55">
        <f>'[01_Entry.xlsx]Pay'!G98</f>
        <v/>
      </c>
      <c r="G98" s="54">
        <f>'[01_Entry.xlsx]Pay'!H98</f>
        <v/>
      </c>
      <c r="H98" s="54" t="str">
        <f>'[01_Entry.xlsx]Pay'!I98</f>
        <v>empty</v>
      </c>
      <c r="I98" s="54">
        <f>'[01_Entry.xlsx]Pay'!J98</f>
        <v/>
      </c>
      <c r="J98" s="56" t="str">
        <f>'[01_Entry.xlsx]Pay'!K98</f>
        <v>empty</v>
      </c>
      <c r="K98" s="54" t="str">
        <f>'[01_Entry.xlsx]Pay'!L98</f>
        <v>empty</v>
      </c>
      <c r="L98" s="54">
        <f>'[01_Entry.xlsx]Pay'!M98</f>
        <v/>
      </c>
      <c r="M98" s="57">
        <f>IF($D98="دریافت",IF($L98="انتقال داخلی",0,$J98),0)</f>
        <v>0</v>
      </c>
      <c r="N98" s="57">
        <f>IF($D98="پرداخت",IF($L98="انتقال داخلی",0,$J98),0)</f>
        <v>0</v>
      </c>
      <c r="O98" s="55" t="str">
        <f>'[01_Entry.xlsx]Pay'!P98</f>
        <v>empty</v>
      </c>
      <c r="P98" s="54">
        <f>IF($B98="","","ثبت روزانه")</f>
        <v>0</v>
      </c>
    </row>
    <row r="99" spans="1:16" ht="21" customHeight="1">
      <c r="A99" s="54" t="str">
        <f>'[01_Entry.xlsx]Pay'!B99</f>
        <v>empty</v>
      </c>
      <c r="B99" s="54" t="str">
        <f>'[01_Entry.xlsx]Pay'!C99</f>
        <v>empty</v>
      </c>
      <c r="C99" s="54" t="str">
        <f>'[01_Entry.xlsx]Pay'!D99</f>
        <v>empty</v>
      </c>
      <c r="D99" s="54" t="str">
        <f>'[01_Entry.xlsx]Pay'!E99</f>
        <v>empty</v>
      </c>
      <c r="E99" s="54" t="str">
        <f>'[01_Entry.xlsx]Pay'!F99</f>
        <v>empty</v>
      </c>
      <c r="F99" s="55">
        <f>'[01_Entry.xlsx]Pay'!G99</f>
        <v/>
      </c>
      <c r="G99" s="54">
        <f>'[01_Entry.xlsx]Pay'!H99</f>
        <v/>
      </c>
      <c r="H99" s="54" t="str">
        <f>'[01_Entry.xlsx]Pay'!I99</f>
        <v>empty</v>
      </c>
      <c r="I99" s="54">
        <f>'[01_Entry.xlsx]Pay'!J99</f>
        <v/>
      </c>
      <c r="J99" s="56" t="str">
        <f>'[01_Entry.xlsx]Pay'!K99</f>
        <v>empty</v>
      </c>
      <c r="K99" s="54" t="str">
        <f>'[01_Entry.xlsx]Pay'!L99</f>
        <v>empty</v>
      </c>
      <c r="L99" s="54">
        <f>'[01_Entry.xlsx]Pay'!M99</f>
        <v/>
      </c>
      <c r="M99" s="57">
        <f>IF($D99="دریافت",IF($L99="انتقال داخلی",0,$J99),0)</f>
        <v>0</v>
      </c>
      <c r="N99" s="57">
        <f>IF($D99="پرداخت",IF($L99="انتقال داخلی",0,$J99),0)</f>
        <v>0</v>
      </c>
      <c r="O99" s="55" t="str">
        <f>'[01_Entry.xlsx]Pay'!P99</f>
        <v>empty</v>
      </c>
      <c r="P99" s="54">
        <f>IF($B99="","","ثبت روزانه")</f>
        <v>0</v>
      </c>
    </row>
    <row r="100" spans="1:16" ht="21" customHeight="1">
      <c r="A100" s="54" t="str">
        <f>'[01_Entry.xlsx]Pay'!B100</f>
        <v>empty</v>
      </c>
      <c r="B100" s="54" t="str">
        <f>'[01_Entry.xlsx]Pay'!C100</f>
        <v>empty</v>
      </c>
      <c r="C100" s="54" t="str">
        <f>'[01_Entry.xlsx]Pay'!D100</f>
        <v>empty</v>
      </c>
      <c r="D100" s="54" t="str">
        <f>'[01_Entry.xlsx]Pay'!E100</f>
        <v>empty</v>
      </c>
      <c r="E100" s="54" t="str">
        <f>'[01_Entry.xlsx]Pay'!F100</f>
        <v>empty</v>
      </c>
      <c r="F100" s="55">
        <f>'[01_Entry.xlsx]Pay'!G100</f>
        <v/>
      </c>
      <c r="G100" s="54">
        <f>'[01_Entry.xlsx]Pay'!H100</f>
        <v/>
      </c>
      <c r="H100" s="54" t="str">
        <f>'[01_Entry.xlsx]Pay'!I100</f>
        <v>empty</v>
      </c>
      <c r="I100" s="54">
        <f>'[01_Entry.xlsx]Pay'!J100</f>
        <v/>
      </c>
      <c r="J100" s="56" t="str">
        <f>'[01_Entry.xlsx]Pay'!K100</f>
        <v>empty</v>
      </c>
      <c r="K100" s="54" t="str">
        <f>'[01_Entry.xlsx]Pay'!L100</f>
        <v>empty</v>
      </c>
      <c r="L100" s="54">
        <f>'[01_Entry.xlsx]Pay'!M100</f>
        <v/>
      </c>
      <c r="M100" s="57">
        <f>IF($D100="دریافت",IF($L100="انتقال داخلی",0,$J100),0)</f>
        <v>0</v>
      </c>
      <c r="N100" s="57">
        <f>IF($D100="پرداخت",IF($L100="انتقال داخلی",0,$J100),0)</f>
        <v>0</v>
      </c>
      <c r="O100" s="55" t="str">
        <f>'[01_Entry.xlsx]Pay'!P100</f>
        <v>empty</v>
      </c>
      <c r="P100" s="54">
        <f>IF($B100="","","ثبت روزانه")</f>
        <v>0</v>
      </c>
    </row>
    <row r="101" spans="1:16" ht="21" customHeight="1">
      <c r="A101" s="54" t="str">
        <f>'[01_Entry.xlsx]Pay'!B101</f>
        <v>empty</v>
      </c>
      <c r="B101" s="54" t="str">
        <f>'[01_Entry.xlsx]Pay'!C101</f>
        <v>empty</v>
      </c>
      <c r="C101" s="54" t="str">
        <f>'[01_Entry.xlsx]Pay'!D101</f>
        <v>empty</v>
      </c>
      <c r="D101" s="54" t="str">
        <f>'[01_Entry.xlsx]Pay'!E101</f>
        <v>empty</v>
      </c>
      <c r="E101" s="54" t="str">
        <f>'[01_Entry.xlsx]Pay'!F101</f>
        <v>empty</v>
      </c>
      <c r="F101" s="55">
        <f>'[01_Entry.xlsx]Pay'!G101</f>
        <v/>
      </c>
      <c r="G101" s="54">
        <f>'[01_Entry.xlsx]Pay'!H101</f>
        <v/>
      </c>
      <c r="H101" s="54" t="str">
        <f>'[01_Entry.xlsx]Pay'!I101</f>
        <v>empty</v>
      </c>
      <c r="I101" s="54">
        <f>'[01_Entry.xlsx]Pay'!J101</f>
        <v/>
      </c>
      <c r="J101" s="56" t="str">
        <f>'[01_Entry.xlsx]Pay'!K101</f>
        <v>empty</v>
      </c>
      <c r="K101" s="54" t="str">
        <f>'[01_Entry.xlsx]Pay'!L101</f>
        <v>empty</v>
      </c>
      <c r="L101" s="54">
        <f>'[01_Entry.xlsx]Pay'!M101</f>
        <v/>
      </c>
      <c r="M101" s="57">
        <f>IF($D101="دریافت",IF($L101="انتقال داخلی",0,$J101),0)</f>
        <v>0</v>
      </c>
      <c r="N101" s="57">
        <f>IF($D101="پرداخت",IF($L101="انتقال داخلی",0,$J101),0)</f>
        <v>0</v>
      </c>
      <c r="O101" s="55" t="str">
        <f>'[01_Entry.xlsx]Pay'!P101</f>
        <v>empty</v>
      </c>
      <c r="P101" s="54">
        <f>IF($B101="","","ثبت روزانه")</f>
        <v>0</v>
      </c>
    </row>
    <row r="102" spans="1:16" ht="21" customHeight="1">
      <c r="A102" s="54" t="str">
        <f>'[01_Entry.xlsx]Pay'!B102</f>
        <v>empty</v>
      </c>
      <c r="B102" s="54" t="str">
        <f>'[01_Entry.xlsx]Pay'!C102</f>
        <v>empty</v>
      </c>
      <c r="C102" s="54" t="str">
        <f>'[01_Entry.xlsx]Pay'!D102</f>
        <v>empty</v>
      </c>
      <c r="D102" s="54" t="str">
        <f>'[01_Entry.xlsx]Pay'!E102</f>
        <v>empty</v>
      </c>
      <c r="E102" s="54" t="str">
        <f>'[01_Entry.xlsx]Pay'!F102</f>
        <v>empty</v>
      </c>
      <c r="F102" s="55">
        <f>'[01_Entry.xlsx]Pay'!G102</f>
        <v/>
      </c>
      <c r="G102" s="54">
        <f>'[01_Entry.xlsx]Pay'!H102</f>
        <v/>
      </c>
      <c r="H102" s="54" t="str">
        <f>'[01_Entry.xlsx]Pay'!I102</f>
        <v>empty</v>
      </c>
      <c r="I102" s="54">
        <f>'[01_Entry.xlsx]Pay'!J102</f>
        <v/>
      </c>
      <c r="J102" s="56" t="str">
        <f>'[01_Entry.xlsx]Pay'!K102</f>
        <v>empty</v>
      </c>
      <c r="K102" s="54" t="str">
        <f>'[01_Entry.xlsx]Pay'!L102</f>
        <v>empty</v>
      </c>
      <c r="L102" s="54">
        <f>'[01_Entry.xlsx]Pay'!M102</f>
        <v/>
      </c>
      <c r="M102" s="57">
        <f>IF($D102="دریافت",IF($L102="انتقال داخلی",0,$J102),0)</f>
        <v>0</v>
      </c>
      <c r="N102" s="57">
        <f>IF($D102="پرداخت",IF($L102="انتقال داخلی",0,$J102),0)</f>
        <v>0</v>
      </c>
      <c r="O102" s="55" t="str">
        <f>'[01_Entry.xlsx]Pay'!P102</f>
        <v>empty</v>
      </c>
      <c r="P102" s="54">
        <f>IF($B102="","","ثبت روزانه")</f>
        <v>0</v>
      </c>
    </row>
    <row r="103" spans="1:16" ht="21" customHeight="1">
      <c r="A103" s="54" t="str">
        <f>'[01_Entry.xlsx]Pay'!B103</f>
        <v>empty</v>
      </c>
      <c r="B103" s="54" t="str">
        <f>'[01_Entry.xlsx]Pay'!C103</f>
        <v>empty</v>
      </c>
      <c r="C103" s="54" t="str">
        <f>'[01_Entry.xlsx]Pay'!D103</f>
        <v>empty</v>
      </c>
      <c r="D103" s="54" t="str">
        <f>'[01_Entry.xlsx]Pay'!E103</f>
        <v>empty</v>
      </c>
      <c r="E103" s="54" t="str">
        <f>'[01_Entry.xlsx]Pay'!F103</f>
        <v>empty</v>
      </c>
      <c r="F103" s="55">
        <f>'[01_Entry.xlsx]Pay'!G103</f>
        <v/>
      </c>
      <c r="G103" s="54">
        <f>'[01_Entry.xlsx]Pay'!H103</f>
        <v/>
      </c>
      <c r="H103" s="54" t="str">
        <f>'[01_Entry.xlsx]Pay'!I103</f>
        <v>empty</v>
      </c>
      <c r="I103" s="54">
        <f>'[01_Entry.xlsx]Pay'!J103</f>
        <v/>
      </c>
      <c r="J103" s="56" t="str">
        <f>'[01_Entry.xlsx]Pay'!K103</f>
        <v>empty</v>
      </c>
      <c r="K103" s="54" t="str">
        <f>'[01_Entry.xlsx]Pay'!L103</f>
        <v>empty</v>
      </c>
      <c r="L103" s="54">
        <f>'[01_Entry.xlsx]Pay'!M103</f>
        <v/>
      </c>
      <c r="M103" s="57">
        <f>IF($D103="دریافت",IF($L103="انتقال داخلی",0,$J103),0)</f>
        <v>0</v>
      </c>
      <c r="N103" s="57">
        <f>IF($D103="پرداخت",IF($L103="انتقال داخلی",0,$J103),0)</f>
        <v>0</v>
      </c>
      <c r="O103" s="55" t="str">
        <f>'[01_Entry.xlsx]Pay'!P103</f>
        <v>empty</v>
      </c>
      <c r="P103" s="54">
        <f>IF($B103="","","ثبت روزانه")</f>
        <v>0</v>
      </c>
    </row>
    <row r="104" spans="1:16" ht="21" customHeight="1">
      <c r="A104" s="54" t="str">
        <f>'[01_Entry.xlsx]Pay'!B104</f>
        <v>empty</v>
      </c>
      <c r="B104" s="54" t="str">
        <f>'[01_Entry.xlsx]Pay'!C104</f>
        <v>empty</v>
      </c>
      <c r="C104" s="54" t="str">
        <f>'[01_Entry.xlsx]Pay'!D104</f>
        <v>empty</v>
      </c>
      <c r="D104" s="54" t="str">
        <f>'[01_Entry.xlsx]Pay'!E104</f>
        <v>empty</v>
      </c>
      <c r="E104" s="54" t="str">
        <f>'[01_Entry.xlsx]Pay'!F104</f>
        <v>empty</v>
      </c>
      <c r="F104" s="55">
        <f>'[01_Entry.xlsx]Pay'!G104</f>
        <v/>
      </c>
      <c r="G104" s="54">
        <f>'[01_Entry.xlsx]Pay'!H104</f>
        <v/>
      </c>
      <c r="H104" s="54" t="str">
        <f>'[01_Entry.xlsx]Pay'!I104</f>
        <v>empty</v>
      </c>
      <c r="I104" s="54">
        <f>'[01_Entry.xlsx]Pay'!J104</f>
        <v/>
      </c>
      <c r="J104" s="56" t="str">
        <f>'[01_Entry.xlsx]Pay'!K104</f>
        <v>empty</v>
      </c>
      <c r="K104" s="54" t="str">
        <f>'[01_Entry.xlsx]Pay'!L104</f>
        <v>empty</v>
      </c>
      <c r="L104" s="54">
        <f>'[01_Entry.xlsx]Pay'!M104</f>
        <v/>
      </c>
      <c r="M104" s="57">
        <f>IF($D104="دریافت",IF($L104="انتقال داخلی",0,$J104),0)</f>
        <v>0</v>
      </c>
      <c r="N104" s="57">
        <f>IF($D104="پرداخت",IF($L104="انتقال داخلی",0,$J104),0)</f>
        <v>0</v>
      </c>
      <c r="O104" s="55" t="str">
        <f>'[01_Entry.xlsx]Pay'!P104</f>
        <v>empty</v>
      </c>
      <c r="P104" s="54">
        <f>IF($B104="","","ثبت روزانه")</f>
        <v>0</v>
      </c>
    </row>
    <row r="105" spans="1:16" ht="21" customHeight="1">
      <c r="A105" s="54" t="str">
        <f>'[01_Entry.xlsx]Pay'!B105</f>
        <v>empty</v>
      </c>
      <c r="B105" s="54" t="str">
        <f>'[01_Entry.xlsx]Pay'!C105</f>
        <v>empty</v>
      </c>
      <c r="C105" s="54" t="str">
        <f>'[01_Entry.xlsx]Pay'!D105</f>
        <v>empty</v>
      </c>
      <c r="D105" s="54" t="str">
        <f>'[01_Entry.xlsx]Pay'!E105</f>
        <v>empty</v>
      </c>
      <c r="E105" s="54" t="str">
        <f>'[01_Entry.xlsx]Pay'!F105</f>
        <v>empty</v>
      </c>
      <c r="F105" s="55">
        <f>'[01_Entry.xlsx]Pay'!G105</f>
        <v/>
      </c>
      <c r="G105" s="54">
        <f>'[01_Entry.xlsx]Pay'!H105</f>
        <v/>
      </c>
      <c r="H105" s="54" t="str">
        <f>'[01_Entry.xlsx]Pay'!I105</f>
        <v>empty</v>
      </c>
      <c r="I105" s="54">
        <f>'[01_Entry.xlsx]Pay'!J105</f>
        <v/>
      </c>
      <c r="J105" s="56" t="str">
        <f>'[01_Entry.xlsx]Pay'!K105</f>
        <v>empty</v>
      </c>
      <c r="K105" s="54" t="str">
        <f>'[01_Entry.xlsx]Pay'!L105</f>
        <v>empty</v>
      </c>
      <c r="L105" s="54">
        <f>'[01_Entry.xlsx]Pay'!M105</f>
        <v/>
      </c>
      <c r="M105" s="57">
        <f>IF($D105="دریافت",IF($L105="انتقال داخلی",0,$J105),0)</f>
        <v>0</v>
      </c>
      <c r="N105" s="57">
        <f>IF($D105="پرداخت",IF($L105="انتقال داخلی",0,$J105),0)</f>
        <v>0</v>
      </c>
      <c r="O105" s="55" t="str">
        <f>'[01_Entry.xlsx]Pay'!P105</f>
        <v>empty</v>
      </c>
      <c r="P105" s="54">
        <f>IF($B105="","","ثبت روزانه")</f>
        <v>0</v>
      </c>
    </row>
    <row r="106" spans="1:16" ht="21" customHeight="1">
      <c r="A106" s="54" t="str">
        <f>'[01_Entry.xlsx]Pay'!B106</f>
        <v>empty</v>
      </c>
      <c r="B106" s="54" t="str">
        <f>'[01_Entry.xlsx]Pay'!C106</f>
        <v>empty</v>
      </c>
      <c r="C106" s="54" t="str">
        <f>'[01_Entry.xlsx]Pay'!D106</f>
        <v>empty</v>
      </c>
      <c r="D106" s="54" t="str">
        <f>'[01_Entry.xlsx]Pay'!E106</f>
        <v>empty</v>
      </c>
      <c r="E106" s="54" t="str">
        <f>'[01_Entry.xlsx]Pay'!F106</f>
        <v>empty</v>
      </c>
      <c r="F106" s="55">
        <f>'[01_Entry.xlsx]Pay'!G106</f>
        <v/>
      </c>
      <c r="G106" s="54">
        <f>'[01_Entry.xlsx]Pay'!H106</f>
        <v/>
      </c>
      <c r="H106" s="54" t="str">
        <f>'[01_Entry.xlsx]Pay'!I106</f>
        <v>empty</v>
      </c>
      <c r="I106" s="54">
        <f>'[01_Entry.xlsx]Pay'!J106</f>
        <v/>
      </c>
      <c r="J106" s="56" t="str">
        <f>'[01_Entry.xlsx]Pay'!K106</f>
        <v>empty</v>
      </c>
      <c r="K106" s="54" t="str">
        <f>'[01_Entry.xlsx]Pay'!L106</f>
        <v>empty</v>
      </c>
      <c r="L106" s="54">
        <f>'[01_Entry.xlsx]Pay'!M106</f>
        <v/>
      </c>
      <c r="M106" s="57">
        <f>IF($D106="دریافت",IF($L106="انتقال داخلی",0,$J106),0)</f>
        <v>0</v>
      </c>
      <c r="N106" s="57">
        <f>IF($D106="پرداخت",IF($L106="انتقال داخلی",0,$J106),0)</f>
        <v>0</v>
      </c>
      <c r="O106" s="55" t="str">
        <f>'[01_Entry.xlsx]Pay'!P106</f>
        <v>empty</v>
      </c>
      <c r="P106" s="54">
        <f>IF($B106="","","ثبت روزانه")</f>
        <v>0</v>
      </c>
    </row>
    <row r="107" spans="1:16" ht="21" customHeight="1">
      <c r="A107" s="54" t="str">
        <f>'[01_Entry.xlsx]Pay'!B107</f>
        <v>empty</v>
      </c>
      <c r="B107" s="54" t="str">
        <f>'[01_Entry.xlsx]Pay'!C107</f>
        <v>empty</v>
      </c>
      <c r="C107" s="54" t="str">
        <f>'[01_Entry.xlsx]Pay'!D107</f>
        <v>empty</v>
      </c>
      <c r="D107" s="54" t="str">
        <f>'[01_Entry.xlsx]Pay'!E107</f>
        <v>empty</v>
      </c>
      <c r="E107" s="54" t="str">
        <f>'[01_Entry.xlsx]Pay'!F107</f>
        <v>empty</v>
      </c>
      <c r="F107" s="55">
        <f>'[01_Entry.xlsx]Pay'!G107</f>
        <v/>
      </c>
      <c r="G107" s="54">
        <f>'[01_Entry.xlsx]Pay'!H107</f>
        <v/>
      </c>
      <c r="H107" s="54" t="str">
        <f>'[01_Entry.xlsx]Pay'!I107</f>
        <v>empty</v>
      </c>
      <c r="I107" s="54">
        <f>'[01_Entry.xlsx]Pay'!J107</f>
        <v/>
      </c>
      <c r="J107" s="56" t="str">
        <f>'[01_Entry.xlsx]Pay'!K107</f>
        <v>empty</v>
      </c>
      <c r="K107" s="54" t="str">
        <f>'[01_Entry.xlsx]Pay'!L107</f>
        <v>empty</v>
      </c>
      <c r="L107" s="54">
        <f>'[01_Entry.xlsx]Pay'!M107</f>
        <v/>
      </c>
      <c r="M107" s="57">
        <f>IF($D107="دریافت",IF($L107="انتقال داخلی",0,$J107),0)</f>
        <v>0</v>
      </c>
      <c r="N107" s="57">
        <f>IF($D107="پرداخت",IF($L107="انتقال داخلی",0,$J107),0)</f>
        <v>0</v>
      </c>
      <c r="O107" s="55" t="str">
        <f>'[01_Entry.xlsx]Pay'!P107</f>
        <v>empty</v>
      </c>
      <c r="P107" s="54">
        <f>IF($B107="","","ثبت روزانه")</f>
        <v>0</v>
      </c>
    </row>
    <row r="108" spans="1:16" ht="21" customHeight="1">
      <c r="A108" s="54" t="str">
        <f>'[01_Entry.xlsx]Pay'!B108</f>
        <v>empty</v>
      </c>
      <c r="B108" s="54" t="str">
        <f>'[01_Entry.xlsx]Pay'!C108</f>
        <v>empty</v>
      </c>
      <c r="C108" s="54" t="str">
        <f>'[01_Entry.xlsx]Pay'!D108</f>
        <v>empty</v>
      </c>
      <c r="D108" s="54" t="str">
        <f>'[01_Entry.xlsx]Pay'!E108</f>
        <v>empty</v>
      </c>
      <c r="E108" s="54" t="str">
        <f>'[01_Entry.xlsx]Pay'!F108</f>
        <v>empty</v>
      </c>
      <c r="F108" s="55">
        <f>'[01_Entry.xlsx]Pay'!G108</f>
        <v/>
      </c>
      <c r="G108" s="54">
        <f>'[01_Entry.xlsx]Pay'!H108</f>
        <v/>
      </c>
      <c r="H108" s="54" t="str">
        <f>'[01_Entry.xlsx]Pay'!I108</f>
        <v>empty</v>
      </c>
      <c r="I108" s="54">
        <f>'[01_Entry.xlsx]Pay'!J108</f>
        <v/>
      </c>
      <c r="J108" s="56" t="str">
        <f>'[01_Entry.xlsx]Pay'!K108</f>
        <v>empty</v>
      </c>
      <c r="K108" s="54" t="str">
        <f>'[01_Entry.xlsx]Pay'!L108</f>
        <v>empty</v>
      </c>
      <c r="L108" s="54">
        <f>'[01_Entry.xlsx]Pay'!M108</f>
        <v/>
      </c>
      <c r="M108" s="57">
        <f>IF($D108="دریافت",IF($L108="انتقال داخلی",0,$J108),0)</f>
        <v>0</v>
      </c>
      <c r="N108" s="57">
        <f>IF($D108="پرداخت",IF($L108="انتقال داخلی",0,$J108),0)</f>
        <v>0</v>
      </c>
      <c r="O108" s="55" t="str">
        <f>'[01_Entry.xlsx]Pay'!P108</f>
        <v>empty</v>
      </c>
      <c r="P108" s="54">
        <f>IF($B108="","","ثبت روزانه")</f>
        <v>0</v>
      </c>
    </row>
    <row r="109" spans="1:16" ht="21" customHeight="1">
      <c r="A109" s="54" t="str">
        <f>'[01_Entry.xlsx]Pay'!B109</f>
        <v>empty</v>
      </c>
      <c r="B109" s="54" t="str">
        <f>'[01_Entry.xlsx]Pay'!C109</f>
        <v>empty</v>
      </c>
      <c r="C109" s="54" t="str">
        <f>'[01_Entry.xlsx]Pay'!D109</f>
        <v>empty</v>
      </c>
      <c r="D109" s="54" t="str">
        <f>'[01_Entry.xlsx]Pay'!E109</f>
        <v>empty</v>
      </c>
      <c r="E109" s="54" t="str">
        <f>'[01_Entry.xlsx]Pay'!F109</f>
        <v>empty</v>
      </c>
      <c r="F109" s="55">
        <f>'[01_Entry.xlsx]Pay'!G109</f>
        <v/>
      </c>
      <c r="G109" s="54">
        <f>'[01_Entry.xlsx]Pay'!H109</f>
        <v/>
      </c>
      <c r="H109" s="54" t="str">
        <f>'[01_Entry.xlsx]Pay'!I109</f>
        <v>empty</v>
      </c>
      <c r="I109" s="54">
        <f>'[01_Entry.xlsx]Pay'!J109</f>
        <v/>
      </c>
      <c r="J109" s="56" t="str">
        <f>'[01_Entry.xlsx]Pay'!K109</f>
        <v>empty</v>
      </c>
      <c r="K109" s="54" t="str">
        <f>'[01_Entry.xlsx]Pay'!L109</f>
        <v>empty</v>
      </c>
      <c r="L109" s="54">
        <f>'[01_Entry.xlsx]Pay'!M109</f>
        <v/>
      </c>
      <c r="M109" s="57">
        <f>IF($D109="دریافت",IF($L109="انتقال داخلی",0,$J109),0)</f>
        <v>0</v>
      </c>
      <c r="N109" s="57">
        <f>IF($D109="پرداخت",IF($L109="انتقال داخلی",0,$J109),0)</f>
        <v>0</v>
      </c>
      <c r="O109" s="55" t="str">
        <f>'[01_Entry.xlsx]Pay'!P109</f>
        <v>empty</v>
      </c>
      <c r="P109" s="54">
        <f>IF($B109="","","ثبت روزانه")</f>
        <v>0</v>
      </c>
    </row>
    <row r="110" spans="1:16" ht="21" customHeight="1">
      <c r="A110" s="54" t="str">
        <f>'[01_Entry.xlsx]Pay'!B110</f>
        <v>empty</v>
      </c>
      <c r="B110" s="54" t="str">
        <f>'[01_Entry.xlsx]Pay'!C110</f>
        <v>empty</v>
      </c>
      <c r="C110" s="54" t="str">
        <f>'[01_Entry.xlsx]Pay'!D110</f>
        <v>empty</v>
      </c>
      <c r="D110" s="54" t="str">
        <f>'[01_Entry.xlsx]Pay'!E110</f>
        <v>empty</v>
      </c>
      <c r="E110" s="54" t="str">
        <f>'[01_Entry.xlsx]Pay'!F110</f>
        <v>empty</v>
      </c>
      <c r="F110" s="55">
        <f>'[01_Entry.xlsx]Pay'!G110</f>
        <v/>
      </c>
      <c r="G110" s="54">
        <f>'[01_Entry.xlsx]Pay'!H110</f>
        <v/>
      </c>
      <c r="H110" s="54" t="str">
        <f>'[01_Entry.xlsx]Pay'!I110</f>
        <v>empty</v>
      </c>
      <c r="I110" s="54">
        <f>'[01_Entry.xlsx]Pay'!J110</f>
        <v/>
      </c>
      <c r="J110" s="56" t="str">
        <f>'[01_Entry.xlsx]Pay'!K110</f>
        <v>empty</v>
      </c>
      <c r="K110" s="54" t="str">
        <f>'[01_Entry.xlsx]Pay'!L110</f>
        <v>empty</v>
      </c>
      <c r="L110" s="54">
        <f>'[01_Entry.xlsx]Pay'!M110</f>
        <v/>
      </c>
      <c r="M110" s="57">
        <f>IF($D110="دریافت",IF($L110="انتقال داخلی",0,$J110),0)</f>
        <v>0</v>
      </c>
      <c r="N110" s="57">
        <f>IF($D110="پرداخت",IF($L110="انتقال داخلی",0,$J110),0)</f>
        <v>0</v>
      </c>
      <c r="O110" s="55" t="str">
        <f>'[01_Entry.xlsx]Pay'!P110</f>
        <v>empty</v>
      </c>
      <c r="P110" s="54">
        <f>IF($B110="","","ثبت روزانه")</f>
        <v>0</v>
      </c>
    </row>
    <row r="111" spans="1:16" ht="21" customHeight="1">
      <c r="A111" s="54" t="str">
        <f>'[01_Entry.xlsx]Pay'!B111</f>
        <v>empty</v>
      </c>
      <c r="B111" s="54" t="str">
        <f>'[01_Entry.xlsx]Pay'!C111</f>
        <v>empty</v>
      </c>
      <c r="C111" s="54" t="str">
        <f>'[01_Entry.xlsx]Pay'!D111</f>
        <v>empty</v>
      </c>
      <c r="D111" s="54" t="str">
        <f>'[01_Entry.xlsx]Pay'!E111</f>
        <v>empty</v>
      </c>
      <c r="E111" s="54" t="str">
        <f>'[01_Entry.xlsx]Pay'!F111</f>
        <v>empty</v>
      </c>
      <c r="F111" s="55">
        <f>'[01_Entry.xlsx]Pay'!G111</f>
        <v/>
      </c>
      <c r="G111" s="54">
        <f>'[01_Entry.xlsx]Pay'!H111</f>
        <v/>
      </c>
      <c r="H111" s="54" t="str">
        <f>'[01_Entry.xlsx]Pay'!I111</f>
        <v>empty</v>
      </c>
      <c r="I111" s="54">
        <f>'[01_Entry.xlsx]Pay'!J111</f>
        <v/>
      </c>
      <c r="J111" s="56" t="str">
        <f>'[01_Entry.xlsx]Pay'!K111</f>
        <v>empty</v>
      </c>
      <c r="K111" s="54" t="str">
        <f>'[01_Entry.xlsx]Pay'!L111</f>
        <v>empty</v>
      </c>
      <c r="L111" s="54">
        <f>'[01_Entry.xlsx]Pay'!M111</f>
        <v/>
      </c>
      <c r="M111" s="57">
        <f>IF($D111="دریافت",IF($L111="انتقال داخلی",0,$J111),0)</f>
        <v>0</v>
      </c>
      <c r="N111" s="57">
        <f>IF($D111="پرداخت",IF($L111="انتقال داخلی",0,$J111),0)</f>
        <v>0</v>
      </c>
      <c r="O111" s="55" t="str">
        <f>'[01_Entry.xlsx]Pay'!P111</f>
        <v>empty</v>
      </c>
      <c r="P111" s="54">
        <f>IF($B111="","","ثبت روزانه")</f>
        <v>0</v>
      </c>
    </row>
    <row r="112" spans="1:16" ht="21" customHeight="1">
      <c r="A112" s="54" t="str">
        <f>'[01_Entry.xlsx]Pay'!B112</f>
        <v>empty</v>
      </c>
      <c r="B112" s="54" t="str">
        <f>'[01_Entry.xlsx]Pay'!C112</f>
        <v>empty</v>
      </c>
      <c r="C112" s="54" t="str">
        <f>'[01_Entry.xlsx]Pay'!D112</f>
        <v>empty</v>
      </c>
      <c r="D112" s="54" t="str">
        <f>'[01_Entry.xlsx]Pay'!E112</f>
        <v>empty</v>
      </c>
      <c r="E112" s="54" t="str">
        <f>'[01_Entry.xlsx]Pay'!F112</f>
        <v>empty</v>
      </c>
      <c r="F112" s="55">
        <f>'[01_Entry.xlsx]Pay'!G112</f>
        <v/>
      </c>
      <c r="G112" s="54">
        <f>'[01_Entry.xlsx]Pay'!H112</f>
        <v/>
      </c>
      <c r="H112" s="54" t="str">
        <f>'[01_Entry.xlsx]Pay'!I112</f>
        <v>empty</v>
      </c>
      <c r="I112" s="54">
        <f>'[01_Entry.xlsx]Pay'!J112</f>
        <v/>
      </c>
      <c r="J112" s="56" t="str">
        <f>'[01_Entry.xlsx]Pay'!K112</f>
        <v>empty</v>
      </c>
      <c r="K112" s="54" t="str">
        <f>'[01_Entry.xlsx]Pay'!L112</f>
        <v>empty</v>
      </c>
      <c r="L112" s="54">
        <f>'[01_Entry.xlsx]Pay'!M112</f>
        <v/>
      </c>
      <c r="M112" s="57">
        <f>IF($D112="دریافت",IF($L112="انتقال داخلی",0,$J112),0)</f>
        <v>0</v>
      </c>
      <c r="N112" s="57">
        <f>IF($D112="پرداخت",IF($L112="انتقال داخلی",0,$J112),0)</f>
        <v>0</v>
      </c>
      <c r="O112" s="55" t="str">
        <f>'[01_Entry.xlsx]Pay'!P112</f>
        <v>empty</v>
      </c>
      <c r="P112" s="54">
        <f>IF($B112="","","ثبت روزانه")</f>
        <v>0</v>
      </c>
    </row>
    <row r="113" spans="1:16" ht="21" customHeight="1">
      <c r="A113" s="54" t="str">
        <f>'[01_Entry.xlsx]Pay'!B113</f>
        <v>empty</v>
      </c>
      <c r="B113" s="54" t="str">
        <f>'[01_Entry.xlsx]Pay'!C113</f>
        <v>empty</v>
      </c>
      <c r="C113" s="54" t="str">
        <f>'[01_Entry.xlsx]Pay'!D113</f>
        <v>empty</v>
      </c>
      <c r="D113" s="54" t="str">
        <f>'[01_Entry.xlsx]Pay'!E113</f>
        <v>empty</v>
      </c>
      <c r="E113" s="54" t="str">
        <f>'[01_Entry.xlsx]Pay'!F113</f>
        <v>empty</v>
      </c>
      <c r="F113" s="55">
        <f>'[01_Entry.xlsx]Pay'!G113</f>
        <v/>
      </c>
      <c r="G113" s="54">
        <f>'[01_Entry.xlsx]Pay'!H113</f>
        <v/>
      </c>
      <c r="H113" s="54" t="str">
        <f>'[01_Entry.xlsx]Pay'!I113</f>
        <v>empty</v>
      </c>
      <c r="I113" s="54">
        <f>'[01_Entry.xlsx]Pay'!J113</f>
        <v/>
      </c>
      <c r="J113" s="56" t="str">
        <f>'[01_Entry.xlsx]Pay'!K113</f>
        <v>empty</v>
      </c>
      <c r="K113" s="54" t="str">
        <f>'[01_Entry.xlsx]Pay'!L113</f>
        <v>empty</v>
      </c>
      <c r="L113" s="54">
        <f>'[01_Entry.xlsx]Pay'!M113</f>
        <v/>
      </c>
      <c r="M113" s="57">
        <f>IF($D113="دریافت",IF($L113="انتقال داخلی",0,$J113),0)</f>
        <v>0</v>
      </c>
      <c r="N113" s="57">
        <f>IF($D113="پرداخت",IF($L113="انتقال داخلی",0,$J113),0)</f>
        <v>0</v>
      </c>
      <c r="O113" s="55" t="str">
        <f>'[01_Entry.xlsx]Pay'!P113</f>
        <v>empty</v>
      </c>
      <c r="P113" s="54">
        <f>IF($B113="","","ثبت روزانه")</f>
        <v>0</v>
      </c>
    </row>
    <row r="114" spans="1:16" ht="21" customHeight="1">
      <c r="A114" s="54" t="str">
        <f>'[01_Entry.xlsx]Pay'!B114</f>
        <v>empty</v>
      </c>
      <c r="B114" s="54" t="str">
        <f>'[01_Entry.xlsx]Pay'!C114</f>
        <v>empty</v>
      </c>
      <c r="C114" s="54" t="str">
        <f>'[01_Entry.xlsx]Pay'!D114</f>
        <v>empty</v>
      </c>
      <c r="D114" s="54" t="str">
        <f>'[01_Entry.xlsx]Pay'!E114</f>
        <v>empty</v>
      </c>
      <c r="E114" s="54" t="str">
        <f>'[01_Entry.xlsx]Pay'!F114</f>
        <v>empty</v>
      </c>
      <c r="F114" s="55">
        <f>'[01_Entry.xlsx]Pay'!G114</f>
        <v/>
      </c>
      <c r="G114" s="54">
        <f>'[01_Entry.xlsx]Pay'!H114</f>
        <v/>
      </c>
      <c r="H114" s="54" t="str">
        <f>'[01_Entry.xlsx]Pay'!I114</f>
        <v>empty</v>
      </c>
      <c r="I114" s="54">
        <f>'[01_Entry.xlsx]Pay'!J114</f>
        <v/>
      </c>
      <c r="J114" s="56" t="str">
        <f>'[01_Entry.xlsx]Pay'!K114</f>
        <v>empty</v>
      </c>
      <c r="K114" s="54" t="str">
        <f>'[01_Entry.xlsx]Pay'!L114</f>
        <v>empty</v>
      </c>
      <c r="L114" s="54">
        <f>'[01_Entry.xlsx]Pay'!M114</f>
        <v/>
      </c>
      <c r="M114" s="57">
        <f>IF($D114="دریافت",IF($L114="انتقال داخلی",0,$J114),0)</f>
        <v>0</v>
      </c>
      <c r="N114" s="57">
        <f>IF($D114="پرداخت",IF($L114="انتقال داخلی",0,$J114),0)</f>
        <v>0</v>
      </c>
      <c r="O114" s="55" t="str">
        <f>'[01_Entry.xlsx]Pay'!P114</f>
        <v>empty</v>
      </c>
      <c r="P114" s="54">
        <f>IF($B114="","","ثبت روزانه")</f>
        <v>0</v>
      </c>
    </row>
    <row r="115" spans="1:16" ht="21" customHeight="1">
      <c r="A115" s="54" t="str">
        <f>'[01_Entry.xlsx]Pay'!B115</f>
        <v>empty</v>
      </c>
      <c r="B115" s="54" t="str">
        <f>'[01_Entry.xlsx]Pay'!C115</f>
        <v>empty</v>
      </c>
      <c r="C115" s="54" t="str">
        <f>'[01_Entry.xlsx]Pay'!D115</f>
        <v>empty</v>
      </c>
      <c r="D115" s="54" t="str">
        <f>'[01_Entry.xlsx]Pay'!E115</f>
        <v>empty</v>
      </c>
      <c r="E115" s="54" t="str">
        <f>'[01_Entry.xlsx]Pay'!F115</f>
        <v>empty</v>
      </c>
      <c r="F115" s="55">
        <f>'[01_Entry.xlsx]Pay'!G115</f>
        <v/>
      </c>
      <c r="G115" s="54">
        <f>'[01_Entry.xlsx]Pay'!H115</f>
        <v/>
      </c>
      <c r="H115" s="54" t="str">
        <f>'[01_Entry.xlsx]Pay'!I115</f>
        <v>empty</v>
      </c>
      <c r="I115" s="54">
        <f>'[01_Entry.xlsx]Pay'!J115</f>
        <v/>
      </c>
      <c r="J115" s="56" t="str">
        <f>'[01_Entry.xlsx]Pay'!K115</f>
        <v>empty</v>
      </c>
      <c r="K115" s="54" t="str">
        <f>'[01_Entry.xlsx]Pay'!L115</f>
        <v>empty</v>
      </c>
      <c r="L115" s="54">
        <f>'[01_Entry.xlsx]Pay'!M115</f>
        <v/>
      </c>
      <c r="M115" s="57">
        <f>IF($D115="دریافت",IF($L115="انتقال داخلی",0,$J115),0)</f>
        <v>0</v>
      </c>
      <c r="N115" s="57">
        <f>IF($D115="پرداخت",IF($L115="انتقال داخلی",0,$J115),0)</f>
        <v>0</v>
      </c>
      <c r="O115" s="55" t="str">
        <f>'[01_Entry.xlsx]Pay'!P115</f>
        <v>empty</v>
      </c>
      <c r="P115" s="54">
        <f>IF($B115="","","ثبت روزانه")</f>
        <v>0</v>
      </c>
    </row>
    <row r="116" spans="1:16" ht="21" customHeight="1">
      <c r="A116" s="54" t="str">
        <f>'[01_Entry.xlsx]Pay'!B116</f>
        <v>empty</v>
      </c>
      <c r="B116" s="54" t="str">
        <f>'[01_Entry.xlsx]Pay'!C116</f>
        <v>empty</v>
      </c>
      <c r="C116" s="54" t="str">
        <f>'[01_Entry.xlsx]Pay'!D116</f>
        <v>empty</v>
      </c>
      <c r="D116" s="54" t="str">
        <f>'[01_Entry.xlsx]Pay'!E116</f>
        <v>empty</v>
      </c>
      <c r="E116" s="54" t="str">
        <f>'[01_Entry.xlsx]Pay'!F116</f>
        <v>empty</v>
      </c>
      <c r="F116" s="55">
        <f>'[01_Entry.xlsx]Pay'!G116</f>
        <v/>
      </c>
      <c r="G116" s="54">
        <f>'[01_Entry.xlsx]Pay'!H116</f>
        <v/>
      </c>
      <c r="H116" s="54" t="str">
        <f>'[01_Entry.xlsx]Pay'!I116</f>
        <v>empty</v>
      </c>
      <c r="I116" s="54">
        <f>'[01_Entry.xlsx]Pay'!J116</f>
        <v/>
      </c>
      <c r="J116" s="56" t="str">
        <f>'[01_Entry.xlsx]Pay'!K116</f>
        <v>empty</v>
      </c>
      <c r="K116" s="54" t="str">
        <f>'[01_Entry.xlsx]Pay'!L116</f>
        <v>empty</v>
      </c>
      <c r="L116" s="54">
        <f>'[01_Entry.xlsx]Pay'!M116</f>
        <v/>
      </c>
      <c r="M116" s="57">
        <f>IF($D116="دریافت",IF($L116="انتقال داخلی",0,$J116),0)</f>
        <v>0</v>
      </c>
      <c r="N116" s="57">
        <f>IF($D116="پرداخت",IF($L116="انتقال داخلی",0,$J116),0)</f>
        <v>0</v>
      </c>
      <c r="O116" s="55" t="str">
        <f>'[01_Entry.xlsx]Pay'!P116</f>
        <v>empty</v>
      </c>
      <c r="P116" s="54">
        <f>IF($B116="","","ثبت روزانه")</f>
        <v>0</v>
      </c>
    </row>
    <row r="117" spans="1:16" ht="21" customHeight="1">
      <c r="A117" s="54" t="str">
        <f>'[01_Entry.xlsx]Pay'!B117</f>
        <v>empty</v>
      </c>
      <c r="B117" s="54" t="str">
        <f>'[01_Entry.xlsx]Pay'!C117</f>
        <v>empty</v>
      </c>
      <c r="C117" s="54" t="str">
        <f>'[01_Entry.xlsx]Pay'!D117</f>
        <v>empty</v>
      </c>
      <c r="D117" s="54" t="str">
        <f>'[01_Entry.xlsx]Pay'!E117</f>
        <v>empty</v>
      </c>
      <c r="E117" s="54" t="str">
        <f>'[01_Entry.xlsx]Pay'!F117</f>
        <v>empty</v>
      </c>
      <c r="F117" s="55">
        <f>'[01_Entry.xlsx]Pay'!G117</f>
        <v/>
      </c>
      <c r="G117" s="54">
        <f>'[01_Entry.xlsx]Pay'!H117</f>
        <v/>
      </c>
      <c r="H117" s="54" t="str">
        <f>'[01_Entry.xlsx]Pay'!I117</f>
        <v>empty</v>
      </c>
      <c r="I117" s="54">
        <f>'[01_Entry.xlsx]Pay'!J117</f>
        <v/>
      </c>
      <c r="J117" s="56" t="str">
        <f>'[01_Entry.xlsx]Pay'!K117</f>
        <v>empty</v>
      </c>
      <c r="K117" s="54" t="str">
        <f>'[01_Entry.xlsx]Pay'!L117</f>
        <v>empty</v>
      </c>
      <c r="L117" s="54">
        <f>'[01_Entry.xlsx]Pay'!M117</f>
        <v/>
      </c>
      <c r="M117" s="57">
        <f>IF($D117="دریافت",IF($L117="انتقال داخلی",0,$J117),0)</f>
        <v>0</v>
      </c>
      <c r="N117" s="57">
        <f>IF($D117="پرداخت",IF($L117="انتقال داخلی",0,$J117),0)</f>
        <v>0</v>
      </c>
      <c r="O117" s="55" t="str">
        <f>'[01_Entry.xlsx]Pay'!P117</f>
        <v>empty</v>
      </c>
      <c r="P117" s="54">
        <f>IF($B117="","","ثبت روزانه")</f>
        <v>0</v>
      </c>
    </row>
    <row r="118" spans="1:16" ht="21" customHeight="1">
      <c r="A118" s="54" t="str">
        <f>'[01_Entry.xlsx]Pay'!B118</f>
        <v>empty</v>
      </c>
      <c r="B118" s="54" t="str">
        <f>'[01_Entry.xlsx]Pay'!C118</f>
        <v>empty</v>
      </c>
      <c r="C118" s="54" t="str">
        <f>'[01_Entry.xlsx]Pay'!D118</f>
        <v>empty</v>
      </c>
      <c r="D118" s="54" t="str">
        <f>'[01_Entry.xlsx]Pay'!E118</f>
        <v>empty</v>
      </c>
      <c r="E118" s="54" t="str">
        <f>'[01_Entry.xlsx]Pay'!F118</f>
        <v>empty</v>
      </c>
      <c r="F118" s="55">
        <f>'[01_Entry.xlsx]Pay'!G118</f>
        <v/>
      </c>
      <c r="G118" s="54">
        <f>'[01_Entry.xlsx]Pay'!H118</f>
        <v/>
      </c>
      <c r="H118" s="54" t="str">
        <f>'[01_Entry.xlsx]Pay'!I118</f>
        <v>empty</v>
      </c>
      <c r="I118" s="54">
        <f>'[01_Entry.xlsx]Pay'!J118</f>
        <v/>
      </c>
      <c r="J118" s="56" t="str">
        <f>'[01_Entry.xlsx]Pay'!K118</f>
        <v>empty</v>
      </c>
      <c r="K118" s="54" t="str">
        <f>'[01_Entry.xlsx]Pay'!L118</f>
        <v>empty</v>
      </c>
      <c r="L118" s="54">
        <f>'[01_Entry.xlsx]Pay'!M118</f>
        <v/>
      </c>
      <c r="M118" s="57">
        <f>IF($D118="دریافت",IF($L118="انتقال داخلی",0,$J118),0)</f>
        <v>0</v>
      </c>
      <c r="N118" s="57">
        <f>IF($D118="پرداخت",IF($L118="انتقال داخلی",0,$J118),0)</f>
        <v>0</v>
      </c>
      <c r="O118" s="55" t="str">
        <f>'[01_Entry.xlsx]Pay'!P118</f>
        <v>empty</v>
      </c>
      <c r="P118" s="54">
        <f>IF($B118="","","ثبت روزانه")</f>
        <v>0</v>
      </c>
    </row>
    <row r="119" spans="1:16" ht="21" customHeight="1">
      <c r="A119" s="54" t="str">
        <f>'[01_Entry.xlsx]Pay'!B119</f>
        <v>empty</v>
      </c>
      <c r="B119" s="54" t="str">
        <f>'[01_Entry.xlsx]Pay'!C119</f>
        <v>empty</v>
      </c>
      <c r="C119" s="54" t="str">
        <f>'[01_Entry.xlsx]Pay'!D119</f>
        <v>empty</v>
      </c>
      <c r="D119" s="54" t="str">
        <f>'[01_Entry.xlsx]Pay'!E119</f>
        <v>empty</v>
      </c>
      <c r="E119" s="54" t="str">
        <f>'[01_Entry.xlsx]Pay'!F119</f>
        <v>empty</v>
      </c>
      <c r="F119" s="55">
        <f>'[01_Entry.xlsx]Pay'!G119</f>
        <v/>
      </c>
      <c r="G119" s="54">
        <f>'[01_Entry.xlsx]Pay'!H119</f>
        <v/>
      </c>
      <c r="H119" s="54" t="str">
        <f>'[01_Entry.xlsx]Pay'!I119</f>
        <v>empty</v>
      </c>
      <c r="I119" s="54">
        <f>'[01_Entry.xlsx]Pay'!J119</f>
        <v/>
      </c>
      <c r="J119" s="56" t="str">
        <f>'[01_Entry.xlsx]Pay'!K119</f>
        <v>empty</v>
      </c>
      <c r="K119" s="54" t="str">
        <f>'[01_Entry.xlsx]Pay'!L119</f>
        <v>empty</v>
      </c>
      <c r="L119" s="54">
        <f>'[01_Entry.xlsx]Pay'!M119</f>
        <v/>
      </c>
      <c r="M119" s="57">
        <f>IF($D119="دریافت",IF($L119="انتقال داخلی",0,$J119),0)</f>
        <v>0</v>
      </c>
      <c r="N119" s="57">
        <f>IF($D119="پرداخت",IF($L119="انتقال داخلی",0,$J119),0)</f>
        <v>0</v>
      </c>
      <c r="O119" s="55" t="str">
        <f>'[01_Entry.xlsx]Pay'!P119</f>
        <v>empty</v>
      </c>
      <c r="P119" s="54">
        <f>IF($B119="","","ثبت روزانه")</f>
        <v>0</v>
      </c>
    </row>
    <row r="120" spans="1:16" ht="21" customHeight="1">
      <c r="A120" s="54" t="str">
        <f>'[01_Entry.xlsx]Pay'!B120</f>
        <v>empty</v>
      </c>
      <c r="B120" s="54" t="str">
        <f>'[01_Entry.xlsx]Pay'!C120</f>
        <v>empty</v>
      </c>
      <c r="C120" s="54" t="str">
        <f>'[01_Entry.xlsx]Pay'!D120</f>
        <v>empty</v>
      </c>
      <c r="D120" s="54" t="str">
        <f>'[01_Entry.xlsx]Pay'!E120</f>
        <v>empty</v>
      </c>
      <c r="E120" s="54" t="str">
        <f>'[01_Entry.xlsx]Pay'!F120</f>
        <v>empty</v>
      </c>
      <c r="F120" s="55">
        <f>'[01_Entry.xlsx]Pay'!G120</f>
        <v/>
      </c>
      <c r="G120" s="54">
        <f>'[01_Entry.xlsx]Pay'!H120</f>
        <v/>
      </c>
      <c r="H120" s="54" t="str">
        <f>'[01_Entry.xlsx]Pay'!I120</f>
        <v>empty</v>
      </c>
      <c r="I120" s="54">
        <f>'[01_Entry.xlsx]Pay'!J120</f>
        <v/>
      </c>
      <c r="J120" s="56" t="str">
        <f>'[01_Entry.xlsx]Pay'!K120</f>
        <v>empty</v>
      </c>
      <c r="K120" s="54" t="str">
        <f>'[01_Entry.xlsx]Pay'!L120</f>
        <v>empty</v>
      </c>
      <c r="L120" s="54">
        <f>'[01_Entry.xlsx]Pay'!M120</f>
        <v/>
      </c>
      <c r="M120" s="57">
        <f>IF($D120="دریافت",IF($L120="انتقال داخلی",0,$J120),0)</f>
        <v>0</v>
      </c>
      <c r="N120" s="57">
        <f>IF($D120="پرداخت",IF($L120="انتقال داخلی",0,$J120),0)</f>
        <v>0</v>
      </c>
      <c r="O120" s="55" t="str">
        <f>'[01_Entry.xlsx]Pay'!P120</f>
        <v>empty</v>
      </c>
      <c r="P120" s="54">
        <f>IF($B120="","","ثبت روزانه")</f>
        <v>0</v>
      </c>
    </row>
    <row r="121" spans="1:16" ht="21" customHeight="1">
      <c r="A121" s="54" t="str">
        <f>'[01_Entry.xlsx]Pay'!B121</f>
        <v>empty</v>
      </c>
      <c r="B121" s="54" t="str">
        <f>'[01_Entry.xlsx]Pay'!C121</f>
        <v>empty</v>
      </c>
      <c r="C121" s="54" t="str">
        <f>'[01_Entry.xlsx]Pay'!D121</f>
        <v>empty</v>
      </c>
      <c r="D121" s="54" t="str">
        <f>'[01_Entry.xlsx]Pay'!E121</f>
        <v>empty</v>
      </c>
      <c r="E121" s="54" t="str">
        <f>'[01_Entry.xlsx]Pay'!F121</f>
        <v>empty</v>
      </c>
      <c r="F121" s="55">
        <f>'[01_Entry.xlsx]Pay'!G121</f>
        <v/>
      </c>
      <c r="G121" s="54">
        <f>'[01_Entry.xlsx]Pay'!H121</f>
        <v/>
      </c>
      <c r="H121" s="54" t="str">
        <f>'[01_Entry.xlsx]Pay'!I121</f>
        <v>empty</v>
      </c>
      <c r="I121" s="54">
        <f>'[01_Entry.xlsx]Pay'!J121</f>
        <v/>
      </c>
      <c r="J121" s="56" t="str">
        <f>'[01_Entry.xlsx]Pay'!K121</f>
        <v>empty</v>
      </c>
      <c r="K121" s="54" t="str">
        <f>'[01_Entry.xlsx]Pay'!L121</f>
        <v>empty</v>
      </c>
      <c r="L121" s="54">
        <f>'[01_Entry.xlsx]Pay'!M121</f>
        <v/>
      </c>
      <c r="M121" s="57">
        <f>IF($D121="دریافت",IF($L121="انتقال داخلی",0,$J121),0)</f>
        <v>0</v>
      </c>
      <c r="N121" s="57">
        <f>IF($D121="پرداخت",IF($L121="انتقال داخلی",0,$J121),0)</f>
        <v>0</v>
      </c>
      <c r="O121" s="55" t="str">
        <f>'[01_Entry.xlsx]Pay'!P121</f>
        <v>empty</v>
      </c>
      <c r="P121" s="54">
        <f>IF($B121="","","ثبت روزانه")</f>
        <v>0</v>
      </c>
    </row>
    <row r="122" spans="1:16" ht="21" customHeight="1">
      <c r="A122" s="54" t="str">
        <f>'[01_Entry.xlsx]Pay'!B122</f>
        <v>empty</v>
      </c>
      <c r="B122" s="54" t="str">
        <f>'[01_Entry.xlsx]Pay'!C122</f>
        <v>empty</v>
      </c>
      <c r="C122" s="54" t="str">
        <f>'[01_Entry.xlsx]Pay'!D122</f>
        <v>empty</v>
      </c>
      <c r="D122" s="54" t="str">
        <f>'[01_Entry.xlsx]Pay'!E122</f>
        <v>empty</v>
      </c>
      <c r="E122" s="54" t="str">
        <f>'[01_Entry.xlsx]Pay'!F122</f>
        <v>empty</v>
      </c>
      <c r="F122" s="55">
        <f>'[01_Entry.xlsx]Pay'!G122</f>
        <v/>
      </c>
      <c r="G122" s="54">
        <f>'[01_Entry.xlsx]Pay'!H122</f>
        <v/>
      </c>
      <c r="H122" s="54" t="str">
        <f>'[01_Entry.xlsx]Pay'!I122</f>
        <v>empty</v>
      </c>
      <c r="I122" s="54">
        <f>'[01_Entry.xlsx]Pay'!J122</f>
        <v/>
      </c>
      <c r="J122" s="56" t="str">
        <f>'[01_Entry.xlsx]Pay'!K122</f>
        <v>empty</v>
      </c>
      <c r="K122" s="54" t="str">
        <f>'[01_Entry.xlsx]Pay'!L122</f>
        <v>empty</v>
      </c>
      <c r="L122" s="54">
        <f>'[01_Entry.xlsx]Pay'!M122</f>
        <v/>
      </c>
      <c r="M122" s="57">
        <f>IF($D122="دریافت",IF($L122="انتقال داخلی",0,$J122),0)</f>
        <v>0</v>
      </c>
      <c r="N122" s="57">
        <f>IF($D122="پرداخت",IF($L122="انتقال داخلی",0,$J122),0)</f>
        <v>0</v>
      </c>
      <c r="O122" s="55" t="str">
        <f>'[01_Entry.xlsx]Pay'!P122</f>
        <v>empty</v>
      </c>
      <c r="P122" s="54">
        <f>IF($B122="","","ثبت روزانه")</f>
        <v>0</v>
      </c>
    </row>
    <row r="123" spans="1:16" ht="21" customHeight="1">
      <c r="A123" s="54" t="str">
        <f>'[01_Entry.xlsx]Pay'!B123</f>
        <v>empty</v>
      </c>
      <c r="B123" s="54" t="str">
        <f>'[01_Entry.xlsx]Pay'!C123</f>
        <v>empty</v>
      </c>
      <c r="C123" s="54" t="str">
        <f>'[01_Entry.xlsx]Pay'!D123</f>
        <v>empty</v>
      </c>
      <c r="D123" s="54" t="str">
        <f>'[01_Entry.xlsx]Pay'!E123</f>
        <v>empty</v>
      </c>
      <c r="E123" s="54" t="str">
        <f>'[01_Entry.xlsx]Pay'!F123</f>
        <v>empty</v>
      </c>
      <c r="F123" s="55">
        <f>'[01_Entry.xlsx]Pay'!G123</f>
        <v/>
      </c>
      <c r="G123" s="54">
        <f>'[01_Entry.xlsx]Pay'!H123</f>
        <v/>
      </c>
      <c r="H123" s="54" t="str">
        <f>'[01_Entry.xlsx]Pay'!I123</f>
        <v>empty</v>
      </c>
      <c r="I123" s="54">
        <f>'[01_Entry.xlsx]Pay'!J123</f>
        <v/>
      </c>
      <c r="J123" s="56" t="str">
        <f>'[01_Entry.xlsx]Pay'!K123</f>
        <v>empty</v>
      </c>
      <c r="K123" s="54" t="str">
        <f>'[01_Entry.xlsx]Pay'!L123</f>
        <v>empty</v>
      </c>
      <c r="L123" s="54">
        <f>'[01_Entry.xlsx]Pay'!M123</f>
        <v/>
      </c>
      <c r="M123" s="57">
        <f>IF($D123="دریافت",IF($L123="انتقال داخلی",0,$J123),0)</f>
        <v>0</v>
      </c>
      <c r="N123" s="57">
        <f>IF($D123="پرداخت",IF($L123="انتقال داخلی",0,$J123),0)</f>
        <v>0</v>
      </c>
      <c r="O123" s="55" t="str">
        <f>'[01_Entry.xlsx]Pay'!P123</f>
        <v>empty</v>
      </c>
      <c r="P123" s="54">
        <f>IF($B123="","","ثبت روزانه")</f>
        <v>0</v>
      </c>
    </row>
    <row r="124" spans="1:16" ht="21" customHeight="1">
      <c r="A124" s="54" t="str">
        <f>'[01_Entry.xlsx]Pay'!B124</f>
        <v>empty</v>
      </c>
      <c r="B124" s="54" t="str">
        <f>'[01_Entry.xlsx]Pay'!C124</f>
        <v>empty</v>
      </c>
      <c r="C124" s="54" t="str">
        <f>'[01_Entry.xlsx]Pay'!D124</f>
        <v>empty</v>
      </c>
      <c r="D124" s="54" t="str">
        <f>'[01_Entry.xlsx]Pay'!E124</f>
        <v>empty</v>
      </c>
      <c r="E124" s="54" t="str">
        <f>'[01_Entry.xlsx]Pay'!F124</f>
        <v>empty</v>
      </c>
      <c r="F124" s="55">
        <f>'[01_Entry.xlsx]Pay'!G124</f>
        <v/>
      </c>
      <c r="G124" s="54">
        <f>'[01_Entry.xlsx]Pay'!H124</f>
        <v/>
      </c>
      <c r="H124" s="54" t="str">
        <f>'[01_Entry.xlsx]Pay'!I124</f>
        <v>empty</v>
      </c>
      <c r="I124" s="54">
        <f>'[01_Entry.xlsx]Pay'!J124</f>
        <v/>
      </c>
      <c r="J124" s="56" t="str">
        <f>'[01_Entry.xlsx]Pay'!K124</f>
        <v>empty</v>
      </c>
      <c r="K124" s="54" t="str">
        <f>'[01_Entry.xlsx]Pay'!L124</f>
        <v>empty</v>
      </c>
      <c r="L124" s="54">
        <f>'[01_Entry.xlsx]Pay'!M124</f>
        <v/>
      </c>
      <c r="M124" s="57">
        <f>IF($D124="دریافت",IF($L124="انتقال داخلی",0,$J124),0)</f>
        <v>0</v>
      </c>
      <c r="N124" s="57">
        <f>IF($D124="پرداخت",IF($L124="انتقال داخلی",0,$J124),0)</f>
        <v>0</v>
      </c>
      <c r="O124" s="55" t="str">
        <f>'[01_Entry.xlsx]Pay'!P124</f>
        <v>empty</v>
      </c>
      <c r="P124" s="54">
        <f>IF($B124="","","ثبت روزانه")</f>
        <v>0</v>
      </c>
    </row>
    <row r="125" spans="1:16" ht="21" customHeight="1">
      <c r="A125" s="54" t="str">
        <f>'[01_Entry.xlsx]Pay'!B125</f>
        <v>empty</v>
      </c>
      <c r="B125" s="54" t="str">
        <f>'[01_Entry.xlsx]Pay'!C125</f>
        <v>empty</v>
      </c>
      <c r="C125" s="54" t="str">
        <f>'[01_Entry.xlsx]Pay'!D125</f>
        <v>empty</v>
      </c>
      <c r="D125" s="54" t="str">
        <f>'[01_Entry.xlsx]Pay'!E125</f>
        <v>empty</v>
      </c>
      <c r="E125" s="54" t="str">
        <f>'[01_Entry.xlsx]Pay'!F125</f>
        <v>empty</v>
      </c>
      <c r="F125" s="55">
        <f>'[01_Entry.xlsx]Pay'!G125</f>
        <v/>
      </c>
      <c r="G125" s="54">
        <f>'[01_Entry.xlsx]Pay'!H125</f>
        <v/>
      </c>
      <c r="H125" s="54" t="str">
        <f>'[01_Entry.xlsx]Pay'!I125</f>
        <v>empty</v>
      </c>
      <c r="I125" s="54">
        <f>'[01_Entry.xlsx]Pay'!J125</f>
        <v/>
      </c>
      <c r="J125" s="56" t="str">
        <f>'[01_Entry.xlsx]Pay'!K125</f>
        <v>empty</v>
      </c>
      <c r="K125" s="54" t="str">
        <f>'[01_Entry.xlsx]Pay'!L125</f>
        <v>empty</v>
      </c>
      <c r="L125" s="54">
        <f>'[01_Entry.xlsx]Pay'!M125</f>
        <v/>
      </c>
      <c r="M125" s="57">
        <f>IF($D125="دریافت",IF($L125="انتقال داخلی",0,$J125),0)</f>
        <v>0</v>
      </c>
      <c r="N125" s="57">
        <f>IF($D125="پرداخت",IF($L125="انتقال داخلی",0,$J125),0)</f>
        <v>0</v>
      </c>
      <c r="O125" s="55" t="str">
        <f>'[01_Entry.xlsx]Pay'!P125</f>
        <v>empty</v>
      </c>
      <c r="P125" s="54">
        <f>IF($B125="","","ثبت روزانه")</f>
        <v>0</v>
      </c>
    </row>
    <row r="126" spans="1:16" ht="21" customHeight="1">
      <c r="A126" s="54" t="str">
        <f>'[01_Entry.xlsx]Pay'!B126</f>
        <v>empty</v>
      </c>
      <c r="B126" s="54" t="str">
        <f>'[01_Entry.xlsx]Pay'!C126</f>
        <v>empty</v>
      </c>
      <c r="C126" s="54" t="str">
        <f>'[01_Entry.xlsx]Pay'!D126</f>
        <v>empty</v>
      </c>
      <c r="D126" s="54" t="str">
        <f>'[01_Entry.xlsx]Pay'!E126</f>
        <v>empty</v>
      </c>
      <c r="E126" s="54" t="str">
        <f>'[01_Entry.xlsx]Pay'!F126</f>
        <v>empty</v>
      </c>
      <c r="F126" s="55">
        <f>'[01_Entry.xlsx]Pay'!G126</f>
        <v/>
      </c>
      <c r="G126" s="54">
        <f>'[01_Entry.xlsx]Pay'!H126</f>
        <v/>
      </c>
      <c r="H126" s="54" t="str">
        <f>'[01_Entry.xlsx]Pay'!I126</f>
        <v>empty</v>
      </c>
      <c r="I126" s="54">
        <f>'[01_Entry.xlsx]Pay'!J126</f>
        <v/>
      </c>
      <c r="J126" s="56" t="str">
        <f>'[01_Entry.xlsx]Pay'!K126</f>
        <v>empty</v>
      </c>
      <c r="K126" s="54" t="str">
        <f>'[01_Entry.xlsx]Pay'!L126</f>
        <v>empty</v>
      </c>
      <c r="L126" s="54">
        <f>'[01_Entry.xlsx]Pay'!M126</f>
        <v/>
      </c>
      <c r="M126" s="57">
        <f>IF($D126="دریافت",IF($L126="انتقال داخلی",0,$J126),0)</f>
        <v>0</v>
      </c>
      <c r="N126" s="57">
        <f>IF($D126="پرداخت",IF($L126="انتقال داخلی",0,$J126),0)</f>
        <v>0</v>
      </c>
      <c r="O126" s="55" t="str">
        <f>'[01_Entry.xlsx]Pay'!P126</f>
        <v>empty</v>
      </c>
      <c r="P126" s="54">
        <f>IF($B126="","","ثبت روزانه")</f>
        <v>0</v>
      </c>
    </row>
    <row r="127" spans="1:16" ht="21" customHeight="1">
      <c r="A127" s="54" t="str">
        <f>'[01_Entry.xlsx]Pay'!B127</f>
        <v>empty</v>
      </c>
      <c r="B127" s="54" t="str">
        <f>'[01_Entry.xlsx]Pay'!C127</f>
        <v>empty</v>
      </c>
      <c r="C127" s="54" t="str">
        <f>'[01_Entry.xlsx]Pay'!D127</f>
        <v>empty</v>
      </c>
      <c r="D127" s="54" t="str">
        <f>'[01_Entry.xlsx]Pay'!E127</f>
        <v>empty</v>
      </c>
      <c r="E127" s="54" t="str">
        <f>'[01_Entry.xlsx]Pay'!F127</f>
        <v>empty</v>
      </c>
      <c r="F127" s="55">
        <f>'[01_Entry.xlsx]Pay'!G127</f>
        <v/>
      </c>
      <c r="G127" s="54">
        <f>'[01_Entry.xlsx]Pay'!H127</f>
        <v/>
      </c>
      <c r="H127" s="54" t="str">
        <f>'[01_Entry.xlsx]Pay'!I127</f>
        <v>empty</v>
      </c>
      <c r="I127" s="54">
        <f>'[01_Entry.xlsx]Pay'!J127</f>
        <v/>
      </c>
      <c r="J127" s="56" t="str">
        <f>'[01_Entry.xlsx]Pay'!K127</f>
        <v>empty</v>
      </c>
      <c r="K127" s="54" t="str">
        <f>'[01_Entry.xlsx]Pay'!L127</f>
        <v>empty</v>
      </c>
      <c r="L127" s="54">
        <f>'[01_Entry.xlsx]Pay'!M127</f>
        <v/>
      </c>
      <c r="M127" s="57">
        <f>IF($D127="دریافت",IF($L127="انتقال داخلی",0,$J127),0)</f>
        <v>0</v>
      </c>
      <c r="N127" s="57">
        <f>IF($D127="پرداخت",IF($L127="انتقال داخلی",0,$J127),0)</f>
        <v>0</v>
      </c>
      <c r="O127" s="55" t="str">
        <f>'[01_Entry.xlsx]Pay'!P127</f>
        <v>empty</v>
      </c>
      <c r="P127" s="54">
        <f>IF($B127="","","ثبت روزانه")</f>
        <v>0</v>
      </c>
    </row>
    <row r="128" spans="1:16" ht="21" customHeight="1">
      <c r="A128" s="54" t="str">
        <f>'[01_Entry.xlsx]Pay'!B128</f>
        <v>empty</v>
      </c>
      <c r="B128" s="54" t="str">
        <f>'[01_Entry.xlsx]Pay'!C128</f>
        <v>empty</v>
      </c>
      <c r="C128" s="54" t="str">
        <f>'[01_Entry.xlsx]Pay'!D128</f>
        <v>empty</v>
      </c>
      <c r="D128" s="54" t="str">
        <f>'[01_Entry.xlsx]Pay'!E128</f>
        <v>empty</v>
      </c>
      <c r="E128" s="54" t="str">
        <f>'[01_Entry.xlsx]Pay'!F128</f>
        <v>empty</v>
      </c>
      <c r="F128" s="55">
        <f>'[01_Entry.xlsx]Pay'!G128</f>
        <v/>
      </c>
      <c r="G128" s="54">
        <f>'[01_Entry.xlsx]Pay'!H128</f>
        <v/>
      </c>
      <c r="H128" s="54" t="str">
        <f>'[01_Entry.xlsx]Pay'!I128</f>
        <v>empty</v>
      </c>
      <c r="I128" s="54">
        <f>'[01_Entry.xlsx]Pay'!J128</f>
        <v/>
      </c>
      <c r="J128" s="56" t="str">
        <f>'[01_Entry.xlsx]Pay'!K128</f>
        <v>empty</v>
      </c>
      <c r="K128" s="54" t="str">
        <f>'[01_Entry.xlsx]Pay'!L128</f>
        <v>empty</v>
      </c>
      <c r="L128" s="54">
        <f>'[01_Entry.xlsx]Pay'!M128</f>
        <v/>
      </c>
      <c r="M128" s="57">
        <f>IF($D128="دریافت",IF($L128="انتقال داخلی",0,$J128),0)</f>
        <v>0</v>
      </c>
      <c r="N128" s="57">
        <f>IF($D128="پرداخت",IF($L128="انتقال داخلی",0,$J128),0)</f>
        <v>0</v>
      </c>
      <c r="O128" s="55" t="str">
        <f>'[01_Entry.xlsx]Pay'!P128</f>
        <v>empty</v>
      </c>
      <c r="P128" s="54">
        <f>IF($B128="","","ثبت روزانه")</f>
        <v>0</v>
      </c>
    </row>
    <row r="129" spans="1:16" ht="21" customHeight="1">
      <c r="A129" s="54" t="str">
        <f>'[01_Entry.xlsx]Pay'!B129</f>
        <v>empty</v>
      </c>
      <c r="B129" s="54" t="str">
        <f>'[01_Entry.xlsx]Pay'!C129</f>
        <v>empty</v>
      </c>
      <c r="C129" s="54" t="str">
        <f>'[01_Entry.xlsx]Pay'!D129</f>
        <v>empty</v>
      </c>
      <c r="D129" s="54" t="str">
        <f>'[01_Entry.xlsx]Pay'!E129</f>
        <v>empty</v>
      </c>
      <c r="E129" s="54" t="str">
        <f>'[01_Entry.xlsx]Pay'!F129</f>
        <v>empty</v>
      </c>
      <c r="F129" s="55">
        <f>'[01_Entry.xlsx]Pay'!G129</f>
        <v/>
      </c>
      <c r="G129" s="54">
        <f>'[01_Entry.xlsx]Pay'!H129</f>
        <v/>
      </c>
      <c r="H129" s="54" t="str">
        <f>'[01_Entry.xlsx]Pay'!I129</f>
        <v>empty</v>
      </c>
      <c r="I129" s="54">
        <f>'[01_Entry.xlsx]Pay'!J129</f>
        <v/>
      </c>
      <c r="J129" s="56" t="str">
        <f>'[01_Entry.xlsx]Pay'!K129</f>
        <v>empty</v>
      </c>
      <c r="K129" s="54" t="str">
        <f>'[01_Entry.xlsx]Pay'!L129</f>
        <v>empty</v>
      </c>
      <c r="L129" s="54">
        <f>'[01_Entry.xlsx]Pay'!M129</f>
        <v/>
      </c>
      <c r="M129" s="57">
        <f>IF($D129="دریافت",IF($L129="انتقال داخلی",0,$J129),0)</f>
        <v>0</v>
      </c>
      <c r="N129" s="57">
        <f>IF($D129="پرداخت",IF($L129="انتقال داخلی",0,$J129),0)</f>
        <v>0</v>
      </c>
      <c r="O129" s="55" t="str">
        <f>'[01_Entry.xlsx]Pay'!P129</f>
        <v>empty</v>
      </c>
      <c r="P129" s="54">
        <f>IF($B129="","","ثبت روزانه")</f>
        <v>0</v>
      </c>
    </row>
    <row r="130" spans="1:16" ht="21" customHeight="1">
      <c r="A130" s="54" t="str">
        <f>'[01_Entry.xlsx]Pay'!B130</f>
        <v>empty</v>
      </c>
      <c r="B130" s="54" t="str">
        <f>'[01_Entry.xlsx]Pay'!C130</f>
        <v>empty</v>
      </c>
      <c r="C130" s="54" t="str">
        <f>'[01_Entry.xlsx]Pay'!D130</f>
        <v>empty</v>
      </c>
      <c r="D130" s="54" t="str">
        <f>'[01_Entry.xlsx]Pay'!E130</f>
        <v>empty</v>
      </c>
      <c r="E130" s="54" t="str">
        <f>'[01_Entry.xlsx]Pay'!F130</f>
        <v>empty</v>
      </c>
      <c r="F130" s="55">
        <f>'[01_Entry.xlsx]Pay'!G130</f>
        <v/>
      </c>
      <c r="G130" s="54">
        <f>'[01_Entry.xlsx]Pay'!H130</f>
        <v/>
      </c>
      <c r="H130" s="54" t="str">
        <f>'[01_Entry.xlsx]Pay'!I130</f>
        <v>empty</v>
      </c>
      <c r="I130" s="54">
        <f>'[01_Entry.xlsx]Pay'!J130</f>
        <v/>
      </c>
      <c r="J130" s="56" t="str">
        <f>'[01_Entry.xlsx]Pay'!K130</f>
        <v>empty</v>
      </c>
      <c r="K130" s="54" t="str">
        <f>'[01_Entry.xlsx]Pay'!L130</f>
        <v>empty</v>
      </c>
      <c r="L130" s="54">
        <f>'[01_Entry.xlsx]Pay'!M130</f>
        <v/>
      </c>
      <c r="M130" s="57">
        <f>IF($D130="دریافت",IF($L130="انتقال داخلی",0,$J130),0)</f>
        <v>0</v>
      </c>
      <c r="N130" s="57">
        <f>IF($D130="پرداخت",IF($L130="انتقال داخلی",0,$J130),0)</f>
        <v>0</v>
      </c>
      <c r="O130" s="55" t="str">
        <f>'[01_Entry.xlsx]Pay'!P130</f>
        <v>empty</v>
      </c>
      <c r="P130" s="54">
        <f>IF($B130="","","ثبت روزانه")</f>
        <v>0</v>
      </c>
    </row>
    <row r="131" spans="1:16" ht="21" customHeight="1">
      <c r="A131" s="54" t="str">
        <f>'[01_Entry.xlsx]Pay'!B131</f>
        <v>empty</v>
      </c>
      <c r="B131" s="54" t="str">
        <f>'[01_Entry.xlsx]Pay'!C131</f>
        <v>empty</v>
      </c>
      <c r="C131" s="54" t="str">
        <f>'[01_Entry.xlsx]Pay'!D131</f>
        <v>empty</v>
      </c>
      <c r="D131" s="54" t="str">
        <f>'[01_Entry.xlsx]Pay'!E131</f>
        <v>empty</v>
      </c>
      <c r="E131" s="54" t="str">
        <f>'[01_Entry.xlsx]Pay'!F131</f>
        <v>empty</v>
      </c>
      <c r="F131" s="55">
        <f>'[01_Entry.xlsx]Pay'!G131</f>
        <v/>
      </c>
      <c r="G131" s="54">
        <f>'[01_Entry.xlsx]Pay'!H131</f>
        <v/>
      </c>
      <c r="H131" s="54" t="str">
        <f>'[01_Entry.xlsx]Pay'!I131</f>
        <v>empty</v>
      </c>
      <c r="I131" s="54">
        <f>'[01_Entry.xlsx]Pay'!J131</f>
        <v/>
      </c>
      <c r="J131" s="56" t="str">
        <f>'[01_Entry.xlsx]Pay'!K131</f>
        <v>empty</v>
      </c>
      <c r="K131" s="54" t="str">
        <f>'[01_Entry.xlsx]Pay'!L131</f>
        <v>empty</v>
      </c>
      <c r="L131" s="54">
        <f>'[01_Entry.xlsx]Pay'!M131</f>
        <v/>
      </c>
      <c r="M131" s="57">
        <f>IF($D131="دریافت",IF($L131="انتقال داخلی",0,$J131),0)</f>
        <v>0</v>
      </c>
      <c r="N131" s="57">
        <f>IF($D131="پرداخت",IF($L131="انتقال داخلی",0,$J131),0)</f>
        <v>0</v>
      </c>
      <c r="O131" s="55" t="str">
        <f>'[01_Entry.xlsx]Pay'!P131</f>
        <v>empty</v>
      </c>
      <c r="P131" s="54">
        <f>IF($B131="","","ثبت روزانه")</f>
        <v>0</v>
      </c>
    </row>
    <row r="132" spans="1:16" ht="21" customHeight="1">
      <c r="A132" s="54" t="str">
        <f>'[01_Entry.xlsx]Pay'!B132</f>
        <v>empty</v>
      </c>
      <c r="B132" s="54" t="str">
        <f>'[01_Entry.xlsx]Pay'!C132</f>
        <v>empty</v>
      </c>
      <c r="C132" s="54" t="str">
        <f>'[01_Entry.xlsx]Pay'!D132</f>
        <v>empty</v>
      </c>
      <c r="D132" s="54" t="str">
        <f>'[01_Entry.xlsx]Pay'!E132</f>
        <v>empty</v>
      </c>
      <c r="E132" s="54" t="str">
        <f>'[01_Entry.xlsx]Pay'!F132</f>
        <v>empty</v>
      </c>
      <c r="F132" s="55">
        <f>'[01_Entry.xlsx]Pay'!G132</f>
        <v/>
      </c>
      <c r="G132" s="54">
        <f>'[01_Entry.xlsx]Pay'!H132</f>
        <v/>
      </c>
      <c r="H132" s="54" t="str">
        <f>'[01_Entry.xlsx]Pay'!I132</f>
        <v>empty</v>
      </c>
      <c r="I132" s="54">
        <f>'[01_Entry.xlsx]Pay'!J132</f>
        <v/>
      </c>
      <c r="J132" s="56" t="str">
        <f>'[01_Entry.xlsx]Pay'!K132</f>
        <v>empty</v>
      </c>
      <c r="K132" s="54" t="str">
        <f>'[01_Entry.xlsx]Pay'!L132</f>
        <v>empty</v>
      </c>
      <c r="L132" s="54">
        <f>'[01_Entry.xlsx]Pay'!M132</f>
        <v/>
      </c>
      <c r="M132" s="57">
        <f>IF($D132="دریافت",IF($L132="انتقال داخلی",0,$J132),0)</f>
        <v>0</v>
      </c>
      <c r="N132" s="57">
        <f>IF($D132="پرداخت",IF($L132="انتقال داخلی",0,$J132),0)</f>
        <v>0</v>
      </c>
      <c r="O132" s="55" t="str">
        <f>'[01_Entry.xlsx]Pay'!P132</f>
        <v>empty</v>
      </c>
      <c r="P132" s="54">
        <f>IF($B132="","","ثبت روزانه")</f>
        <v>0</v>
      </c>
    </row>
    <row r="133" spans="1:16" ht="21" customHeight="1">
      <c r="A133" s="54" t="str">
        <f>'[01_Entry.xlsx]Pay'!B133</f>
        <v>empty</v>
      </c>
      <c r="B133" s="54" t="str">
        <f>'[01_Entry.xlsx]Pay'!C133</f>
        <v>empty</v>
      </c>
      <c r="C133" s="54" t="str">
        <f>'[01_Entry.xlsx]Pay'!D133</f>
        <v>empty</v>
      </c>
      <c r="D133" s="54" t="str">
        <f>'[01_Entry.xlsx]Pay'!E133</f>
        <v>empty</v>
      </c>
      <c r="E133" s="54" t="str">
        <f>'[01_Entry.xlsx]Pay'!F133</f>
        <v>empty</v>
      </c>
      <c r="F133" s="55">
        <f>'[01_Entry.xlsx]Pay'!G133</f>
        <v/>
      </c>
      <c r="G133" s="54">
        <f>'[01_Entry.xlsx]Pay'!H133</f>
        <v/>
      </c>
      <c r="H133" s="54" t="str">
        <f>'[01_Entry.xlsx]Pay'!I133</f>
        <v>empty</v>
      </c>
      <c r="I133" s="54">
        <f>'[01_Entry.xlsx]Pay'!J133</f>
        <v/>
      </c>
      <c r="J133" s="56" t="str">
        <f>'[01_Entry.xlsx]Pay'!K133</f>
        <v>empty</v>
      </c>
      <c r="K133" s="54" t="str">
        <f>'[01_Entry.xlsx]Pay'!L133</f>
        <v>empty</v>
      </c>
      <c r="L133" s="54">
        <f>'[01_Entry.xlsx]Pay'!M133</f>
        <v/>
      </c>
      <c r="M133" s="57">
        <f>IF($D133="دریافت",IF($L133="انتقال داخلی",0,$J133),0)</f>
        <v>0</v>
      </c>
      <c r="N133" s="57">
        <f>IF($D133="پرداخت",IF($L133="انتقال داخلی",0,$J133),0)</f>
        <v>0</v>
      </c>
      <c r="O133" s="55" t="str">
        <f>'[01_Entry.xlsx]Pay'!P133</f>
        <v>empty</v>
      </c>
      <c r="P133" s="54">
        <f>IF($B133="","","ثبت روزانه")</f>
        <v>0</v>
      </c>
    </row>
    <row r="134" spans="1:16" ht="21" customHeight="1">
      <c r="A134" s="54" t="str">
        <f>'[01_Entry.xlsx]Pay'!B134</f>
        <v>empty</v>
      </c>
      <c r="B134" s="54" t="str">
        <f>'[01_Entry.xlsx]Pay'!C134</f>
        <v>empty</v>
      </c>
      <c r="C134" s="54" t="str">
        <f>'[01_Entry.xlsx]Pay'!D134</f>
        <v>empty</v>
      </c>
      <c r="D134" s="54" t="str">
        <f>'[01_Entry.xlsx]Pay'!E134</f>
        <v>empty</v>
      </c>
      <c r="E134" s="54" t="str">
        <f>'[01_Entry.xlsx]Pay'!F134</f>
        <v>empty</v>
      </c>
      <c r="F134" s="55">
        <f>'[01_Entry.xlsx]Pay'!G134</f>
        <v/>
      </c>
      <c r="G134" s="54">
        <f>'[01_Entry.xlsx]Pay'!H134</f>
        <v/>
      </c>
      <c r="H134" s="54" t="str">
        <f>'[01_Entry.xlsx]Pay'!I134</f>
        <v>empty</v>
      </c>
      <c r="I134" s="54">
        <f>'[01_Entry.xlsx]Pay'!J134</f>
        <v/>
      </c>
      <c r="J134" s="56" t="str">
        <f>'[01_Entry.xlsx]Pay'!K134</f>
        <v>empty</v>
      </c>
      <c r="K134" s="54" t="str">
        <f>'[01_Entry.xlsx]Pay'!L134</f>
        <v>empty</v>
      </c>
      <c r="L134" s="54">
        <f>'[01_Entry.xlsx]Pay'!M134</f>
        <v/>
      </c>
      <c r="M134" s="57">
        <f>IF($D134="دریافت",IF($L134="انتقال داخلی",0,$J134),0)</f>
        <v>0</v>
      </c>
      <c r="N134" s="57">
        <f>IF($D134="پرداخت",IF($L134="انتقال داخلی",0,$J134),0)</f>
        <v>0</v>
      </c>
      <c r="O134" s="55" t="str">
        <f>'[01_Entry.xlsx]Pay'!P134</f>
        <v>empty</v>
      </c>
      <c r="P134" s="54">
        <f>IF($B134="","","ثبت روزانه")</f>
        <v>0</v>
      </c>
    </row>
    <row r="135" spans="1:16" ht="21" customHeight="1">
      <c r="A135" s="54" t="str">
        <f>'[01_Entry.xlsx]Pay'!B135</f>
        <v>empty</v>
      </c>
      <c r="B135" s="54" t="str">
        <f>'[01_Entry.xlsx]Pay'!C135</f>
        <v>empty</v>
      </c>
      <c r="C135" s="54" t="str">
        <f>'[01_Entry.xlsx]Pay'!D135</f>
        <v>empty</v>
      </c>
      <c r="D135" s="54" t="str">
        <f>'[01_Entry.xlsx]Pay'!E135</f>
        <v>empty</v>
      </c>
      <c r="E135" s="54" t="str">
        <f>'[01_Entry.xlsx]Pay'!F135</f>
        <v>empty</v>
      </c>
      <c r="F135" s="55">
        <f>'[01_Entry.xlsx]Pay'!G135</f>
        <v/>
      </c>
      <c r="G135" s="54">
        <f>'[01_Entry.xlsx]Pay'!H135</f>
        <v/>
      </c>
      <c r="H135" s="54" t="str">
        <f>'[01_Entry.xlsx]Pay'!I135</f>
        <v>empty</v>
      </c>
      <c r="I135" s="54">
        <f>'[01_Entry.xlsx]Pay'!J135</f>
        <v/>
      </c>
      <c r="J135" s="56" t="str">
        <f>'[01_Entry.xlsx]Pay'!K135</f>
        <v>empty</v>
      </c>
      <c r="K135" s="54" t="str">
        <f>'[01_Entry.xlsx]Pay'!L135</f>
        <v>empty</v>
      </c>
      <c r="L135" s="54">
        <f>'[01_Entry.xlsx]Pay'!M135</f>
        <v/>
      </c>
      <c r="M135" s="57">
        <f>IF($D135="دریافت",IF($L135="انتقال داخلی",0,$J135),0)</f>
        <v>0</v>
      </c>
      <c r="N135" s="57">
        <f>IF($D135="پرداخت",IF($L135="انتقال داخلی",0,$J135),0)</f>
        <v>0</v>
      </c>
      <c r="O135" s="55" t="str">
        <f>'[01_Entry.xlsx]Pay'!P135</f>
        <v>empty</v>
      </c>
      <c r="P135" s="54">
        <f>IF($B135="","","ثبت روزانه")</f>
        <v>0</v>
      </c>
    </row>
    <row r="136" spans="1:16" ht="21" customHeight="1">
      <c r="A136" s="54" t="str">
        <f>'[01_Entry.xlsx]Pay'!B136</f>
        <v>empty</v>
      </c>
      <c r="B136" s="54" t="str">
        <f>'[01_Entry.xlsx]Pay'!C136</f>
        <v>empty</v>
      </c>
      <c r="C136" s="54" t="str">
        <f>'[01_Entry.xlsx]Pay'!D136</f>
        <v>empty</v>
      </c>
      <c r="D136" s="54" t="str">
        <f>'[01_Entry.xlsx]Pay'!E136</f>
        <v>empty</v>
      </c>
      <c r="E136" s="54" t="str">
        <f>'[01_Entry.xlsx]Pay'!F136</f>
        <v>empty</v>
      </c>
      <c r="F136" s="55">
        <f>'[01_Entry.xlsx]Pay'!G136</f>
        <v/>
      </c>
      <c r="G136" s="54">
        <f>'[01_Entry.xlsx]Pay'!H136</f>
        <v/>
      </c>
      <c r="H136" s="54" t="str">
        <f>'[01_Entry.xlsx]Pay'!I136</f>
        <v>empty</v>
      </c>
      <c r="I136" s="54">
        <f>'[01_Entry.xlsx]Pay'!J136</f>
        <v/>
      </c>
      <c r="J136" s="56" t="str">
        <f>'[01_Entry.xlsx]Pay'!K136</f>
        <v>empty</v>
      </c>
      <c r="K136" s="54" t="str">
        <f>'[01_Entry.xlsx]Pay'!L136</f>
        <v>empty</v>
      </c>
      <c r="L136" s="54">
        <f>'[01_Entry.xlsx]Pay'!M136</f>
        <v/>
      </c>
      <c r="M136" s="57">
        <f>IF($D136="دریافت",IF($L136="انتقال داخلی",0,$J136),0)</f>
        <v>0</v>
      </c>
      <c r="N136" s="57">
        <f>IF($D136="پرداخت",IF($L136="انتقال داخلی",0,$J136),0)</f>
        <v>0</v>
      </c>
      <c r="O136" s="55" t="str">
        <f>'[01_Entry.xlsx]Pay'!P136</f>
        <v>empty</v>
      </c>
      <c r="P136" s="54">
        <f>IF($B136="","","ثبت روزانه")</f>
        <v>0</v>
      </c>
    </row>
    <row r="137" spans="1:16" ht="21" customHeight="1">
      <c r="A137" s="54" t="str">
        <f>'[01_Entry.xlsx]Pay'!B137</f>
        <v>empty</v>
      </c>
      <c r="B137" s="54" t="str">
        <f>'[01_Entry.xlsx]Pay'!C137</f>
        <v>empty</v>
      </c>
      <c r="C137" s="54" t="str">
        <f>'[01_Entry.xlsx]Pay'!D137</f>
        <v>empty</v>
      </c>
      <c r="D137" s="54" t="str">
        <f>'[01_Entry.xlsx]Pay'!E137</f>
        <v>empty</v>
      </c>
      <c r="E137" s="54" t="str">
        <f>'[01_Entry.xlsx]Pay'!F137</f>
        <v>empty</v>
      </c>
      <c r="F137" s="55">
        <f>'[01_Entry.xlsx]Pay'!G137</f>
        <v/>
      </c>
      <c r="G137" s="54">
        <f>'[01_Entry.xlsx]Pay'!H137</f>
        <v/>
      </c>
      <c r="H137" s="54" t="str">
        <f>'[01_Entry.xlsx]Pay'!I137</f>
        <v>empty</v>
      </c>
      <c r="I137" s="54">
        <f>'[01_Entry.xlsx]Pay'!J137</f>
        <v/>
      </c>
      <c r="J137" s="56" t="str">
        <f>'[01_Entry.xlsx]Pay'!K137</f>
        <v>empty</v>
      </c>
      <c r="K137" s="54" t="str">
        <f>'[01_Entry.xlsx]Pay'!L137</f>
        <v>empty</v>
      </c>
      <c r="L137" s="54">
        <f>'[01_Entry.xlsx]Pay'!M137</f>
        <v/>
      </c>
      <c r="M137" s="57">
        <f>IF($D137="دریافت",IF($L137="انتقال داخلی",0,$J137),0)</f>
        <v>0</v>
      </c>
      <c r="N137" s="57">
        <f>IF($D137="پرداخت",IF($L137="انتقال داخلی",0,$J137),0)</f>
        <v>0</v>
      </c>
      <c r="O137" s="55" t="str">
        <f>'[01_Entry.xlsx]Pay'!P137</f>
        <v>empty</v>
      </c>
      <c r="P137" s="54">
        <f>IF($B137="","","ثبت روزانه")</f>
        <v>0</v>
      </c>
    </row>
    <row r="138" spans="1:16" ht="21" customHeight="1">
      <c r="A138" s="54" t="str">
        <f>'[01_Entry.xlsx]Pay'!B138</f>
        <v>empty</v>
      </c>
      <c r="B138" s="54" t="str">
        <f>'[01_Entry.xlsx]Pay'!C138</f>
        <v>empty</v>
      </c>
      <c r="C138" s="54" t="str">
        <f>'[01_Entry.xlsx]Pay'!D138</f>
        <v>empty</v>
      </c>
      <c r="D138" s="54" t="str">
        <f>'[01_Entry.xlsx]Pay'!E138</f>
        <v>empty</v>
      </c>
      <c r="E138" s="54" t="str">
        <f>'[01_Entry.xlsx]Pay'!F138</f>
        <v>empty</v>
      </c>
      <c r="F138" s="55">
        <f>'[01_Entry.xlsx]Pay'!G138</f>
        <v/>
      </c>
      <c r="G138" s="54">
        <f>'[01_Entry.xlsx]Pay'!H138</f>
        <v/>
      </c>
      <c r="H138" s="54" t="str">
        <f>'[01_Entry.xlsx]Pay'!I138</f>
        <v>empty</v>
      </c>
      <c r="I138" s="54">
        <f>'[01_Entry.xlsx]Pay'!J138</f>
        <v/>
      </c>
      <c r="J138" s="56" t="str">
        <f>'[01_Entry.xlsx]Pay'!K138</f>
        <v>empty</v>
      </c>
      <c r="K138" s="54" t="str">
        <f>'[01_Entry.xlsx]Pay'!L138</f>
        <v>empty</v>
      </c>
      <c r="L138" s="54">
        <f>'[01_Entry.xlsx]Pay'!M138</f>
        <v/>
      </c>
      <c r="M138" s="57">
        <f>IF($D138="دریافت",IF($L138="انتقال داخلی",0,$J138),0)</f>
        <v>0</v>
      </c>
      <c r="N138" s="57">
        <f>IF($D138="پرداخت",IF($L138="انتقال داخلی",0,$J138),0)</f>
        <v>0</v>
      </c>
      <c r="O138" s="55" t="str">
        <f>'[01_Entry.xlsx]Pay'!P138</f>
        <v>empty</v>
      </c>
      <c r="P138" s="54">
        <f>IF($B138="","","ثبت روزانه")</f>
        <v>0</v>
      </c>
    </row>
    <row r="139" spans="1:16" ht="21" customHeight="1">
      <c r="A139" s="54" t="str">
        <f>'[01_Entry.xlsx]Pay'!B139</f>
        <v>empty</v>
      </c>
      <c r="B139" s="54" t="str">
        <f>'[01_Entry.xlsx]Pay'!C139</f>
        <v>empty</v>
      </c>
      <c r="C139" s="54" t="str">
        <f>'[01_Entry.xlsx]Pay'!D139</f>
        <v>empty</v>
      </c>
      <c r="D139" s="54" t="str">
        <f>'[01_Entry.xlsx]Pay'!E139</f>
        <v>empty</v>
      </c>
      <c r="E139" s="54" t="str">
        <f>'[01_Entry.xlsx]Pay'!F139</f>
        <v>empty</v>
      </c>
      <c r="F139" s="55">
        <f>'[01_Entry.xlsx]Pay'!G139</f>
        <v/>
      </c>
      <c r="G139" s="54">
        <f>'[01_Entry.xlsx]Pay'!H139</f>
        <v/>
      </c>
      <c r="H139" s="54" t="str">
        <f>'[01_Entry.xlsx]Pay'!I139</f>
        <v>empty</v>
      </c>
      <c r="I139" s="54">
        <f>'[01_Entry.xlsx]Pay'!J139</f>
        <v/>
      </c>
      <c r="J139" s="56" t="str">
        <f>'[01_Entry.xlsx]Pay'!K139</f>
        <v>empty</v>
      </c>
      <c r="K139" s="54" t="str">
        <f>'[01_Entry.xlsx]Pay'!L139</f>
        <v>empty</v>
      </c>
      <c r="L139" s="54">
        <f>'[01_Entry.xlsx]Pay'!M139</f>
        <v/>
      </c>
      <c r="M139" s="57">
        <f>IF($D139="دریافت",IF($L139="انتقال داخلی",0,$J139),0)</f>
        <v>0</v>
      </c>
      <c r="N139" s="57">
        <f>IF($D139="پرداخت",IF($L139="انتقال داخلی",0,$J139),0)</f>
        <v>0</v>
      </c>
      <c r="O139" s="55" t="str">
        <f>'[01_Entry.xlsx]Pay'!P139</f>
        <v>empty</v>
      </c>
      <c r="P139" s="54">
        <f>IF($B139="","","ثبت روزانه")</f>
        <v>0</v>
      </c>
    </row>
    <row r="140" spans="1:16" ht="21" customHeight="1">
      <c r="A140" s="54" t="str">
        <f>'[01_Entry.xlsx]Pay'!B140</f>
        <v>empty</v>
      </c>
      <c r="B140" s="54" t="str">
        <f>'[01_Entry.xlsx]Pay'!C140</f>
        <v>empty</v>
      </c>
      <c r="C140" s="54" t="str">
        <f>'[01_Entry.xlsx]Pay'!D140</f>
        <v>empty</v>
      </c>
      <c r="D140" s="54" t="str">
        <f>'[01_Entry.xlsx]Pay'!E140</f>
        <v>empty</v>
      </c>
      <c r="E140" s="54" t="str">
        <f>'[01_Entry.xlsx]Pay'!F140</f>
        <v>empty</v>
      </c>
      <c r="F140" s="55">
        <f>'[01_Entry.xlsx]Pay'!G140</f>
        <v/>
      </c>
      <c r="G140" s="54">
        <f>'[01_Entry.xlsx]Pay'!H140</f>
        <v/>
      </c>
      <c r="H140" s="54" t="str">
        <f>'[01_Entry.xlsx]Pay'!I140</f>
        <v>empty</v>
      </c>
      <c r="I140" s="54">
        <f>'[01_Entry.xlsx]Pay'!J140</f>
        <v/>
      </c>
      <c r="J140" s="56" t="str">
        <f>'[01_Entry.xlsx]Pay'!K140</f>
        <v>empty</v>
      </c>
      <c r="K140" s="54" t="str">
        <f>'[01_Entry.xlsx]Pay'!L140</f>
        <v>empty</v>
      </c>
      <c r="L140" s="54">
        <f>'[01_Entry.xlsx]Pay'!M140</f>
        <v/>
      </c>
      <c r="M140" s="57">
        <f>IF($D140="دریافت",IF($L140="انتقال داخلی",0,$J140),0)</f>
        <v>0</v>
      </c>
      <c r="N140" s="57">
        <f>IF($D140="پرداخت",IF($L140="انتقال داخلی",0,$J140),0)</f>
        <v>0</v>
      </c>
      <c r="O140" s="55" t="str">
        <f>'[01_Entry.xlsx]Pay'!P140</f>
        <v>empty</v>
      </c>
      <c r="P140" s="54">
        <f>IF($B140="","","ثبت روزانه")</f>
        <v>0</v>
      </c>
    </row>
    <row r="141" spans="1:16" ht="21" customHeight="1">
      <c r="A141" s="54" t="str">
        <f>'[01_Entry.xlsx]Pay'!B141</f>
        <v>empty</v>
      </c>
      <c r="B141" s="54" t="str">
        <f>'[01_Entry.xlsx]Pay'!C141</f>
        <v>empty</v>
      </c>
      <c r="C141" s="54" t="str">
        <f>'[01_Entry.xlsx]Pay'!D141</f>
        <v>empty</v>
      </c>
      <c r="D141" s="54" t="str">
        <f>'[01_Entry.xlsx]Pay'!E141</f>
        <v>empty</v>
      </c>
      <c r="E141" s="54" t="str">
        <f>'[01_Entry.xlsx]Pay'!F141</f>
        <v>empty</v>
      </c>
      <c r="F141" s="55">
        <f>'[01_Entry.xlsx]Pay'!G141</f>
        <v/>
      </c>
      <c r="G141" s="54">
        <f>'[01_Entry.xlsx]Pay'!H141</f>
        <v/>
      </c>
      <c r="H141" s="54" t="str">
        <f>'[01_Entry.xlsx]Pay'!I141</f>
        <v>empty</v>
      </c>
      <c r="I141" s="54">
        <f>'[01_Entry.xlsx]Pay'!J141</f>
        <v/>
      </c>
      <c r="J141" s="56" t="str">
        <f>'[01_Entry.xlsx]Pay'!K141</f>
        <v>empty</v>
      </c>
      <c r="K141" s="54" t="str">
        <f>'[01_Entry.xlsx]Pay'!L141</f>
        <v>empty</v>
      </c>
      <c r="L141" s="54">
        <f>'[01_Entry.xlsx]Pay'!M141</f>
        <v/>
      </c>
      <c r="M141" s="57">
        <f>IF($D141="دریافت",IF($L141="انتقال داخلی",0,$J141),0)</f>
        <v>0</v>
      </c>
      <c r="N141" s="57">
        <f>IF($D141="پرداخت",IF($L141="انتقال داخلی",0,$J141),0)</f>
        <v>0</v>
      </c>
      <c r="O141" s="55" t="str">
        <f>'[01_Entry.xlsx]Pay'!P141</f>
        <v>empty</v>
      </c>
      <c r="P141" s="54">
        <f>IF($B141="","","ثبت روزانه")</f>
        <v>0</v>
      </c>
    </row>
    <row r="142" spans="1:16" ht="21" customHeight="1">
      <c r="A142" s="54" t="str">
        <f>'[01_Entry.xlsx]Pay'!B142</f>
        <v>empty</v>
      </c>
      <c r="B142" s="54" t="str">
        <f>'[01_Entry.xlsx]Pay'!C142</f>
        <v>empty</v>
      </c>
      <c r="C142" s="54" t="str">
        <f>'[01_Entry.xlsx]Pay'!D142</f>
        <v>empty</v>
      </c>
      <c r="D142" s="54" t="str">
        <f>'[01_Entry.xlsx]Pay'!E142</f>
        <v>empty</v>
      </c>
      <c r="E142" s="54" t="str">
        <f>'[01_Entry.xlsx]Pay'!F142</f>
        <v>empty</v>
      </c>
      <c r="F142" s="55">
        <f>'[01_Entry.xlsx]Pay'!G142</f>
        <v/>
      </c>
      <c r="G142" s="54">
        <f>'[01_Entry.xlsx]Pay'!H142</f>
        <v/>
      </c>
      <c r="H142" s="54" t="str">
        <f>'[01_Entry.xlsx]Pay'!I142</f>
        <v>empty</v>
      </c>
      <c r="I142" s="54">
        <f>'[01_Entry.xlsx]Pay'!J142</f>
        <v/>
      </c>
      <c r="J142" s="56" t="str">
        <f>'[01_Entry.xlsx]Pay'!K142</f>
        <v>empty</v>
      </c>
      <c r="K142" s="54" t="str">
        <f>'[01_Entry.xlsx]Pay'!L142</f>
        <v>empty</v>
      </c>
      <c r="L142" s="54">
        <f>'[01_Entry.xlsx]Pay'!M142</f>
        <v/>
      </c>
      <c r="M142" s="57">
        <f>IF($D142="دریافت",IF($L142="انتقال داخلی",0,$J142),0)</f>
        <v>0</v>
      </c>
      <c r="N142" s="57">
        <f>IF($D142="پرداخت",IF($L142="انتقال داخلی",0,$J142),0)</f>
        <v>0</v>
      </c>
      <c r="O142" s="55" t="str">
        <f>'[01_Entry.xlsx]Pay'!P142</f>
        <v>empty</v>
      </c>
      <c r="P142" s="54">
        <f>IF($B142="","","ثبت روزانه")</f>
        <v>0</v>
      </c>
    </row>
    <row r="143" spans="1:16" ht="21" customHeight="1">
      <c r="A143" s="54" t="str">
        <f>'[01_Entry.xlsx]Pay'!B143</f>
        <v>empty</v>
      </c>
      <c r="B143" s="54" t="str">
        <f>'[01_Entry.xlsx]Pay'!C143</f>
        <v>empty</v>
      </c>
      <c r="C143" s="54" t="str">
        <f>'[01_Entry.xlsx]Pay'!D143</f>
        <v>empty</v>
      </c>
      <c r="D143" s="54" t="str">
        <f>'[01_Entry.xlsx]Pay'!E143</f>
        <v>empty</v>
      </c>
      <c r="E143" s="54" t="str">
        <f>'[01_Entry.xlsx]Pay'!F143</f>
        <v>empty</v>
      </c>
      <c r="F143" s="55">
        <f>'[01_Entry.xlsx]Pay'!G143</f>
        <v/>
      </c>
      <c r="G143" s="54">
        <f>'[01_Entry.xlsx]Pay'!H143</f>
        <v/>
      </c>
      <c r="H143" s="54" t="str">
        <f>'[01_Entry.xlsx]Pay'!I143</f>
        <v>empty</v>
      </c>
      <c r="I143" s="54">
        <f>'[01_Entry.xlsx]Pay'!J143</f>
        <v/>
      </c>
      <c r="J143" s="56" t="str">
        <f>'[01_Entry.xlsx]Pay'!K143</f>
        <v>empty</v>
      </c>
      <c r="K143" s="54" t="str">
        <f>'[01_Entry.xlsx]Pay'!L143</f>
        <v>empty</v>
      </c>
      <c r="L143" s="54">
        <f>'[01_Entry.xlsx]Pay'!M143</f>
        <v/>
      </c>
      <c r="M143" s="57">
        <f>IF($D143="دریافت",IF($L143="انتقال داخلی",0,$J143),0)</f>
        <v>0</v>
      </c>
      <c r="N143" s="57">
        <f>IF($D143="پرداخت",IF($L143="انتقال داخلی",0,$J143),0)</f>
        <v>0</v>
      </c>
      <c r="O143" s="55" t="str">
        <f>'[01_Entry.xlsx]Pay'!P143</f>
        <v>empty</v>
      </c>
      <c r="P143" s="54">
        <f>IF($B143="","","ثبت روزانه")</f>
        <v>0</v>
      </c>
    </row>
    <row r="144" spans="1:16" ht="21" customHeight="1">
      <c r="A144" s="54" t="str">
        <f>'[01_Entry.xlsx]Pay'!B144</f>
        <v>empty</v>
      </c>
      <c r="B144" s="54" t="str">
        <f>'[01_Entry.xlsx]Pay'!C144</f>
        <v>empty</v>
      </c>
      <c r="C144" s="54" t="str">
        <f>'[01_Entry.xlsx]Pay'!D144</f>
        <v>empty</v>
      </c>
      <c r="D144" s="54" t="str">
        <f>'[01_Entry.xlsx]Pay'!E144</f>
        <v>empty</v>
      </c>
      <c r="E144" s="54" t="str">
        <f>'[01_Entry.xlsx]Pay'!F144</f>
        <v>empty</v>
      </c>
      <c r="F144" s="55">
        <f>'[01_Entry.xlsx]Pay'!G144</f>
        <v/>
      </c>
      <c r="G144" s="54">
        <f>'[01_Entry.xlsx]Pay'!H144</f>
        <v/>
      </c>
      <c r="H144" s="54" t="str">
        <f>'[01_Entry.xlsx]Pay'!I144</f>
        <v>empty</v>
      </c>
      <c r="I144" s="54">
        <f>'[01_Entry.xlsx]Pay'!J144</f>
        <v/>
      </c>
      <c r="J144" s="56" t="str">
        <f>'[01_Entry.xlsx]Pay'!K144</f>
        <v>empty</v>
      </c>
      <c r="K144" s="54" t="str">
        <f>'[01_Entry.xlsx]Pay'!L144</f>
        <v>empty</v>
      </c>
      <c r="L144" s="54">
        <f>'[01_Entry.xlsx]Pay'!M144</f>
        <v/>
      </c>
      <c r="M144" s="57">
        <f>IF($D144="دریافت",IF($L144="انتقال داخلی",0,$J144),0)</f>
        <v>0</v>
      </c>
      <c r="N144" s="57">
        <f>IF($D144="پرداخت",IF($L144="انتقال داخلی",0,$J144),0)</f>
        <v>0</v>
      </c>
      <c r="O144" s="55" t="str">
        <f>'[01_Entry.xlsx]Pay'!P144</f>
        <v>empty</v>
      </c>
      <c r="P144" s="54">
        <f>IF($B144="","","ثبت روزانه")</f>
        <v>0</v>
      </c>
    </row>
    <row r="145" spans="1:16" ht="21" customHeight="1">
      <c r="A145" s="54" t="str">
        <f>'[01_Entry.xlsx]Pay'!B145</f>
        <v>empty</v>
      </c>
      <c r="B145" s="54" t="str">
        <f>'[01_Entry.xlsx]Pay'!C145</f>
        <v>empty</v>
      </c>
      <c r="C145" s="54" t="str">
        <f>'[01_Entry.xlsx]Pay'!D145</f>
        <v>empty</v>
      </c>
      <c r="D145" s="54" t="str">
        <f>'[01_Entry.xlsx]Pay'!E145</f>
        <v>empty</v>
      </c>
      <c r="E145" s="54" t="str">
        <f>'[01_Entry.xlsx]Pay'!F145</f>
        <v>empty</v>
      </c>
      <c r="F145" s="55">
        <f>'[01_Entry.xlsx]Pay'!G145</f>
        <v/>
      </c>
      <c r="G145" s="54">
        <f>'[01_Entry.xlsx]Pay'!H145</f>
        <v/>
      </c>
      <c r="H145" s="54" t="str">
        <f>'[01_Entry.xlsx]Pay'!I145</f>
        <v>empty</v>
      </c>
      <c r="I145" s="54">
        <f>'[01_Entry.xlsx]Pay'!J145</f>
        <v/>
      </c>
      <c r="J145" s="56" t="str">
        <f>'[01_Entry.xlsx]Pay'!K145</f>
        <v>empty</v>
      </c>
      <c r="K145" s="54" t="str">
        <f>'[01_Entry.xlsx]Pay'!L145</f>
        <v>empty</v>
      </c>
      <c r="L145" s="54">
        <f>'[01_Entry.xlsx]Pay'!M145</f>
        <v/>
      </c>
      <c r="M145" s="57">
        <f>IF($D145="دریافت",IF($L145="انتقال داخلی",0,$J145),0)</f>
        <v>0</v>
      </c>
      <c r="N145" s="57">
        <f>IF($D145="پرداخت",IF($L145="انتقال داخلی",0,$J145),0)</f>
        <v>0</v>
      </c>
      <c r="O145" s="55" t="str">
        <f>'[01_Entry.xlsx]Pay'!P145</f>
        <v>empty</v>
      </c>
      <c r="P145" s="54">
        <f>IF($B145="","","ثبت روزانه")</f>
        <v>0</v>
      </c>
    </row>
    <row r="146" spans="1:16" ht="21" customHeight="1">
      <c r="A146" s="54" t="str">
        <f>'[01_Entry.xlsx]Pay'!B146</f>
        <v>empty</v>
      </c>
      <c r="B146" s="54" t="str">
        <f>'[01_Entry.xlsx]Pay'!C146</f>
        <v>empty</v>
      </c>
      <c r="C146" s="54" t="str">
        <f>'[01_Entry.xlsx]Pay'!D146</f>
        <v>empty</v>
      </c>
      <c r="D146" s="54" t="str">
        <f>'[01_Entry.xlsx]Pay'!E146</f>
        <v>empty</v>
      </c>
      <c r="E146" s="54" t="str">
        <f>'[01_Entry.xlsx]Pay'!F146</f>
        <v>empty</v>
      </c>
      <c r="F146" s="55">
        <f>'[01_Entry.xlsx]Pay'!G146</f>
        <v/>
      </c>
      <c r="G146" s="54">
        <f>'[01_Entry.xlsx]Pay'!H146</f>
        <v/>
      </c>
      <c r="H146" s="54" t="str">
        <f>'[01_Entry.xlsx]Pay'!I146</f>
        <v>empty</v>
      </c>
      <c r="I146" s="54">
        <f>'[01_Entry.xlsx]Pay'!J146</f>
        <v/>
      </c>
      <c r="J146" s="56" t="str">
        <f>'[01_Entry.xlsx]Pay'!K146</f>
        <v>empty</v>
      </c>
      <c r="K146" s="54" t="str">
        <f>'[01_Entry.xlsx]Pay'!L146</f>
        <v>empty</v>
      </c>
      <c r="L146" s="54">
        <f>'[01_Entry.xlsx]Pay'!M146</f>
        <v/>
      </c>
      <c r="M146" s="57">
        <f>IF($D146="دریافت",IF($L146="انتقال داخلی",0,$J146),0)</f>
        <v>0</v>
      </c>
      <c r="N146" s="57">
        <f>IF($D146="پرداخت",IF($L146="انتقال داخلی",0,$J146),0)</f>
        <v>0</v>
      </c>
      <c r="O146" s="55" t="str">
        <f>'[01_Entry.xlsx]Pay'!P146</f>
        <v>empty</v>
      </c>
      <c r="P146" s="54">
        <f>IF($B146="","","ثبت روزانه")</f>
        <v>0</v>
      </c>
    </row>
    <row r="147" spans="1:16" ht="21" customHeight="1">
      <c r="A147" s="54" t="str">
        <f>'[01_Entry.xlsx]Pay'!B147</f>
        <v>empty</v>
      </c>
      <c r="B147" s="54" t="str">
        <f>'[01_Entry.xlsx]Pay'!C147</f>
        <v>empty</v>
      </c>
      <c r="C147" s="54" t="str">
        <f>'[01_Entry.xlsx]Pay'!D147</f>
        <v>empty</v>
      </c>
      <c r="D147" s="54" t="str">
        <f>'[01_Entry.xlsx]Pay'!E147</f>
        <v>empty</v>
      </c>
      <c r="E147" s="54" t="str">
        <f>'[01_Entry.xlsx]Pay'!F147</f>
        <v>empty</v>
      </c>
      <c r="F147" s="55">
        <f>'[01_Entry.xlsx]Pay'!G147</f>
        <v/>
      </c>
      <c r="G147" s="54">
        <f>'[01_Entry.xlsx]Pay'!H147</f>
        <v/>
      </c>
      <c r="H147" s="54" t="str">
        <f>'[01_Entry.xlsx]Pay'!I147</f>
        <v>empty</v>
      </c>
      <c r="I147" s="54">
        <f>'[01_Entry.xlsx]Pay'!J147</f>
        <v/>
      </c>
      <c r="J147" s="56" t="str">
        <f>'[01_Entry.xlsx]Pay'!K147</f>
        <v>empty</v>
      </c>
      <c r="K147" s="54" t="str">
        <f>'[01_Entry.xlsx]Pay'!L147</f>
        <v>empty</v>
      </c>
      <c r="L147" s="54">
        <f>'[01_Entry.xlsx]Pay'!M147</f>
        <v/>
      </c>
      <c r="M147" s="57">
        <f>IF($D147="دریافت",IF($L147="انتقال داخلی",0,$J147),0)</f>
        <v>0</v>
      </c>
      <c r="N147" s="57">
        <f>IF($D147="پرداخت",IF($L147="انتقال داخلی",0,$J147),0)</f>
        <v>0</v>
      </c>
      <c r="O147" s="55" t="str">
        <f>'[01_Entry.xlsx]Pay'!P147</f>
        <v>empty</v>
      </c>
      <c r="P147" s="54">
        <f>IF($B147="","","ثبت روزانه")</f>
        <v>0</v>
      </c>
    </row>
    <row r="148" spans="1:16" ht="21" customHeight="1">
      <c r="A148" s="54" t="str">
        <f>'[01_Entry.xlsx]Pay'!B148</f>
        <v>empty</v>
      </c>
      <c r="B148" s="54" t="str">
        <f>'[01_Entry.xlsx]Pay'!C148</f>
        <v>empty</v>
      </c>
      <c r="C148" s="54" t="str">
        <f>'[01_Entry.xlsx]Pay'!D148</f>
        <v>empty</v>
      </c>
      <c r="D148" s="54" t="str">
        <f>'[01_Entry.xlsx]Pay'!E148</f>
        <v>empty</v>
      </c>
      <c r="E148" s="54" t="str">
        <f>'[01_Entry.xlsx]Pay'!F148</f>
        <v>empty</v>
      </c>
      <c r="F148" s="55">
        <f>'[01_Entry.xlsx]Pay'!G148</f>
        <v/>
      </c>
      <c r="G148" s="54">
        <f>'[01_Entry.xlsx]Pay'!H148</f>
        <v/>
      </c>
      <c r="H148" s="54" t="str">
        <f>'[01_Entry.xlsx]Pay'!I148</f>
        <v>empty</v>
      </c>
      <c r="I148" s="54">
        <f>'[01_Entry.xlsx]Pay'!J148</f>
        <v/>
      </c>
      <c r="J148" s="56" t="str">
        <f>'[01_Entry.xlsx]Pay'!K148</f>
        <v>empty</v>
      </c>
      <c r="K148" s="54" t="str">
        <f>'[01_Entry.xlsx]Pay'!L148</f>
        <v>empty</v>
      </c>
      <c r="L148" s="54">
        <f>'[01_Entry.xlsx]Pay'!M148</f>
        <v/>
      </c>
      <c r="M148" s="57">
        <f>IF($D148="دریافت",IF($L148="انتقال داخلی",0,$J148),0)</f>
        <v>0</v>
      </c>
      <c r="N148" s="57">
        <f>IF($D148="پرداخت",IF($L148="انتقال داخلی",0,$J148),0)</f>
        <v>0</v>
      </c>
      <c r="O148" s="55" t="str">
        <f>'[01_Entry.xlsx]Pay'!P148</f>
        <v>empty</v>
      </c>
      <c r="P148" s="54">
        <f>IF($B148="","","ثبت روزانه")</f>
        <v>0</v>
      </c>
    </row>
    <row r="149" spans="1:16" ht="21" customHeight="1">
      <c r="A149" s="54" t="str">
        <f>'[01_Entry.xlsx]Pay'!B149</f>
        <v>empty</v>
      </c>
      <c r="B149" s="54" t="str">
        <f>'[01_Entry.xlsx]Pay'!C149</f>
        <v>empty</v>
      </c>
      <c r="C149" s="54" t="str">
        <f>'[01_Entry.xlsx]Pay'!D149</f>
        <v>empty</v>
      </c>
      <c r="D149" s="54" t="str">
        <f>'[01_Entry.xlsx]Pay'!E149</f>
        <v>empty</v>
      </c>
      <c r="E149" s="54" t="str">
        <f>'[01_Entry.xlsx]Pay'!F149</f>
        <v>empty</v>
      </c>
      <c r="F149" s="55">
        <f>'[01_Entry.xlsx]Pay'!G149</f>
        <v/>
      </c>
      <c r="G149" s="54">
        <f>'[01_Entry.xlsx]Pay'!H149</f>
        <v/>
      </c>
      <c r="H149" s="54" t="str">
        <f>'[01_Entry.xlsx]Pay'!I149</f>
        <v>empty</v>
      </c>
      <c r="I149" s="54">
        <f>'[01_Entry.xlsx]Pay'!J149</f>
        <v/>
      </c>
      <c r="J149" s="56" t="str">
        <f>'[01_Entry.xlsx]Pay'!K149</f>
        <v>empty</v>
      </c>
      <c r="K149" s="54" t="str">
        <f>'[01_Entry.xlsx]Pay'!L149</f>
        <v>empty</v>
      </c>
      <c r="L149" s="54">
        <f>'[01_Entry.xlsx]Pay'!M149</f>
        <v/>
      </c>
      <c r="M149" s="57">
        <f>IF($D149="دریافت",IF($L149="انتقال داخلی",0,$J149),0)</f>
        <v>0</v>
      </c>
      <c r="N149" s="57">
        <f>IF($D149="پرداخت",IF($L149="انتقال داخلی",0,$J149),0)</f>
        <v>0</v>
      </c>
      <c r="O149" s="55" t="str">
        <f>'[01_Entry.xlsx]Pay'!P149</f>
        <v>empty</v>
      </c>
      <c r="P149" s="54">
        <f>IF($B149="","","ثبت روزانه")</f>
        <v>0</v>
      </c>
    </row>
    <row r="150" spans="1:16" ht="21" customHeight="1">
      <c r="A150" s="54" t="str">
        <f>'[01_Entry.xlsx]Pay'!B150</f>
        <v>empty</v>
      </c>
      <c r="B150" s="54" t="str">
        <f>'[01_Entry.xlsx]Pay'!C150</f>
        <v>empty</v>
      </c>
      <c r="C150" s="54" t="str">
        <f>'[01_Entry.xlsx]Pay'!D150</f>
        <v>empty</v>
      </c>
      <c r="D150" s="54" t="str">
        <f>'[01_Entry.xlsx]Pay'!E150</f>
        <v>empty</v>
      </c>
      <c r="E150" s="54" t="str">
        <f>'[01_Entry.xlsx]Pay'!F150</f>
        <v>empty</v>
      </c>
      <c r="F150" s="55">
        <f>'[01_Entry.xlsx]Pay'!G150</f>
        <v/>
      </c>
      <c r="G150" s="54">
        <f>'[01_Entry.xlsx]Pay'!H150</f>
        <v/>
      </c>
      <c r="H150" s="54" t="str">
        <f>'[01_Entry.xlsx]Pay'!I150</f>
        <v>empty</v>
      </c>
      <c r="I150" s="54">
        <f>'[01_Entry.xlsx]Pay'!J150</f>
        <v/>
      </c>
      <c r="J150" s="56" t="str">
        <f>'[01_Entry.xlsx]Pay'!K150</f>
        <v>empty</v>
      </c>
      <c r="K150" s="54" t="str">
        <f>'[01_Entry.xlsx]Pay'!L150</f>
        <v>empty</v>
      </c>
      <c r="L150" s="54">
        <f>'[01_Entry.xlsx]Pay'!M150</f>
        <v/>
      </c>
      <c r="M150" s="57">
        <f>IF($D150="دریافت",IF($L150="انتقال داخلی",0,$J150),0)</f>
        <v>0</v>
      </c>
      <c r="N150" s="57">
        <f>IF($D150="پرداخت",IF($L150="انتقال داخلی",0,$J150),0)</f>
        <v>0</v>
      </c>
      <c r="O150" s="55" t="str">
        <f>'[01_Entry.xlsx]Pay'!P150</f>
        <v>empty</v>
      </c>
      <c r="P150" s="54">
        <f>IF($B150="","","ثبت روزانه")</f>
        <v>0</v>
      </c>
    </row>
    <row r="151" spans="1:16" ht="21" customHeight="1">
      <c r="A151" s="54" t="str">
        <f>'[01_Entry.xlsx]Pay'!B151</f>
        <v>empty</v>
      </c>
      <c r="B151" s="54" t="str">
        <f>'[01_Entry.xlsx]Pay'!C151</f>
        <v>empty</v>
      </c>
      <c r="C151" s="54" t="str">
        <f>'[01_Entry.xlsx]Pay'!D151</f>
        <v>empty</v>
      </c>
      <c r="D151" s="54" t="str">
        <f>'[01_Entry.xlsx]Pay'!E151</f>
        <v>empty</v>
      </c>
      <c r="E151" s="54" t="str">
        <f>'[01_Entry.xlsx]Pay'!F151</f>
        <v>empty</v>
      </c>
      <c r="F151" s="55">
        <f>'[01_Entry.xlsx]Pay'!G151</f>
        <v/>
      </c>
      <c r="G151" s="54">
        <f>'[01_Entry.xlsx]Pay'!H151</f>
        <v/>
      </c>
      <c r="H151" s="54" t="str">
        <f>'[01_Entry.xlsx]Pay'!I151</f>
        <v>empty</v>
      </c>
      <c r="I151" s="54">
        <f>'[01_Entry.xlsx]Pay'!J151</f>
        <v/>
      </c>
      <c r="J151" s="56" t="str">
        <f>'[01_Entry.xlsx]Pay'!K151</f>
        <v>empty</v>
      </c>
      <c r="K151" s="54" t="str">
        <f>'[01_Entry.xlsx]Pay'!L151</f>
        <v>empty</v>
      </c>
      <c r="L151" s="54">
        <f>'[01_Entry.xlsx]Pay'!M151</f>
        <v/>
      </c>
      <c r="M151" s="57">
        <f>IF($D151="دریافت",IF($L151="انتقال داخلی",0,$J151),0)</f>
        <v>0</v>
      </c>
      <c r="N151" s="57">
        <f>IF($D151="پرداخت",IF($L151="انتقال داخلی",0,$J151),0)</f>
        <v>0</v>
      </c>
      <c r="O151" s="55" t="str">
        <f>'[01_Entry.xlsx]Pay'!P151</f>
        <v>empty</v>
      </c>
      <c r="P151" s="54">
        <f>IF($B151="","","ثبت روزانه")</f>
        <v>0</v>
      </c>
    </row>
    <row r="152" spans="1:16" ht="21" customHeight="1">
      <c r="A152" s="54" t="str">
        <f>'[01_Entry.xlsx]Pay'!B152</f>
        <v>empty</v>
      </c>
      <c r="B152" s="54" t="str">
        <f>'[01_Entry.xlsx]Pay'!C152</f>
        <v>empty</v>
      </c>
      <c r="C152" s="54" t="str">
        <f>'[01_Entry.xlsx]Pay'!D152</f>
        <v>empty</v>
      </c>
      <c r="D152" s="54" t="str">
        <f>'[01_Entry.xlsx]Pay'!E152</f>
        <v>empty</v>
      </c>
      <c r="E152" s="54" t="str">
        <f>'[01_Entry.xlsx]Pay'!F152</f>
        <v>empty</v>
      </c>
      <c r="F152" s="55">
        <f>'[01_Entry.xlsx]Pay'!G152</f>
        <v/>
      </c>
      <c r="G152" s="54">
        <f>'[01_Entry.xlsx]Pay'!H152</f>
        <v/>
      </c>
      <c r="H152" s="54" t="str">
        <f>'[01_Entry.xlsx]Pay'!I152</f>
        <v>empty</v>
      </c>
      <c r="I152" s="54">
        <f>'[01_Entry.xlsx]Pay'!J152</f>
        <v/>
      </c>
      <c r="J152" s="56" t="str">
        <f>'[01_Entry.xlsx]Pay'!K152</f>
        <v>empty</v>
      </c>
      <c r="K152" s="54" t="str">
        <f>'[01_Entry.xlsx]Pay'!L152</f>
        <v>empty</v>
      </c>
      <c r="L152" s="54">
        <f>'[01_Entry.xlsx]Pay'!M152</f>
        <v/>
      </c>
      <c r="M152" s="57">
        <f>IF($D152="دریافت",IF($L152="انتقال داخلی",0,$J152),0)</f>
        <v>0</v>
      </c>
      <c r="N152" s="57">
        <f>IF($D152="پرداخت",IF($L152="انتقال داخلی",0,$J152),0)</f>
        <v>0</v>
      </c>
      <c r="O152" s="55" t="str">
        <f>'[01_Entry.xlsx]Pay'!P152</f>
        <v>empty</v>
      </c>
      <c r="P152" s="54">
        <f>IF($B152="","","ثبت روزانه")</f>
        <v>0</v>
      </c>
    </row>
    <row r="153" spans="1:16" ht="21" customHeight="1">
      <c r="A153" s="54" t="str">
        <f>'[01_Entry.xlsx]Pay'!B153</f>
        <v>empty</v>
      </c>
      <c r="B153" s="54" t="str">
        <f>'[01_Entry.xlsx]Pay'!C153</f>
        <v>empty</v>
      </c>
      <c r="C153" s="54" t="str">
        <f>'[01_Entry.xlsx]Pay'!D153</f>
        <v>empty</v>
      </c>
      <c r="D153" s="54" t="str">
        <f>'[01_Entry.xlsx]Pay'!E153</f>
        <v>empty</v>
      </c>
      <c r="E153" s="54" t="str">
        <f>'[01_Entry.xlsx]Pay'!F153</f>
        <v>empty</v>
      </c>
      <c r="F153" s="55">
        <f>'[01_Entry.xlsx]Pay'!G153</f>
        <v/>
      </c>
      <c r="G153" s="54">
        <f>'[01_Entry.xlsx]Pay'!H153</f>
        <v/>
      </c>
      <c r="H153" s="54" t="str">
        <f>'[01_Entry.xlsx]Pay'!I153</f>
        <v>empty</v>
      </c>
      <c r="I153" s="54">
        <f>'[01_Entry.xlsx]Pay'!J153</f>
        <v/>
      </c>
      <c r="J153" s="56" t="str">
        <f>'[01_Entry.xlsx]Pay'!K153</f>
        <v>empty</v>
      </c>
      <c r="K153" s="54" t="str">
        <f>'[01_Entry.xlsx]Pay'!L153</f>
        <v>empty</v>
      </c>
      <c r="L153" s="54">
        <f>'[01_Entry.xlsx]Pay'!M153</f>
        <v/>
      </c>
      <c r="M153" s="57">
        <f>IF($D153="دریافت",IF($L153="انتقال داخلی",0,$J153),0)</f>
        <v>0</v>
      </c>
      <c r="N153" s="57">
        <f>IF($D153="پرداخت",IF($L153="انتقال داخلی",0,$J153),0)</f>
        <v>0</v>
      </c>
      <c r="O153" s="55" t="str">
        <f>'[01_Entry.xlsx]Pay'!P153</f>
        <v>empty</v>
      </c>
      <c r="P153" s="54">
        <f>IF($B153="","","ثبت روزانه")</f>
        <v>0</v>
      </c>
    </row>
    <row r="154" spans="1:16" ht="21" customHeight="1">
      <c r="A154" s="54" t="str">
        <f>'[01_Entry.xlsx]Pay'!B154</f>
        <v>empty</v>
      </c>
      <c r="B154" s="54" t="str">
        <f>'[01_Entry.xlsx]Pay'!C154</f>
        <v>empty</v>
      </c>
      <c r="C154" s="54" t="str">
        <f>'[01_Entry.xlsx]Pay'!D154</f>
        <v>empty</v>
      </c>
      <c r="D154" s="54" t="str">
        <f>'[01_Entry.xlsx]Pay'!E154</f>
        <v>empty</v>
      </c>
      <c r="E154" s="54" t="str">
        <f>'[01_Entry.xlsx]Pay'!F154</f>
        <v>empty</v>
      </c>
      <c r="F154" s="55">
        <f>'[01_Entry.xlsx]Pay'!G154</f>
        <v/>
      </c>
      <c r="G154" s="54">
        <f>'[01_Entry.xlsx]Pay'!H154</f>
        <v/>
      </c>
      <c r="H154" s="54" t="str">
        <f>'[01_Entry.xlsx]Pay'!I154</f>
        <v>empty</v>
      </c>
      <c r="I154" s="54">
        <f>'[01_Entry.xlsx]Pay'!J154</f>
        <v/>
      </c>
      <c r="J154" s="56" t="str">
        <f>'[01_Entry.xlsx]Pay'!K154</f>
        <v>empty</v>
      </c>
      <c r="K154" s="54" t="str">
        <f>'[01_Entry.xlsx]Pay'!L154</f>
        <v>empty</v>
      </c>
      <c r="L154" s="54">
        <f>'[01_Entry.xlsx]Pay'!M154</f>
        <v/>
      </c>
      <c r="M154" s="57">
        <f>IF($D154="دریافت",IF($L154="انتقال داخلی",0,$J154),0)</f>
        <v>0</v>
      </c>
      <c r="N154" s="57">
        <f>IF($D154="پرداخت",IF($L154="انتقال داخلی",0,$J154),0)</f>
        <v>0</v>
      </c>
      <c r="O154" s="55" t="str">
        <f>'[01_Entry.xlsx]Pay'!P154</f>
        <v>empty</v>
      </c>
      <c r="P154" s="54">
        <f>IF($B154="","","ثبت روزانه")</f>
        <v>0</v>
      </c>
    </row>
    <row r="155" spans="1:16" ht="21" customHeight="1">
      <c r="A155" s="54" t="str">
        <f>'[01_Entry.xlsx]Pay'!B155</f>
        <v>empty</v>
      </c>
      <c r="B155" s="54" t="str">
        <f>'[01_Entry.xlsx]Pay'!C155</f>
        <v>empty</v>
      </c>
      <c r="C155" s="54" t="str">
        <f>'[01_Entry.xlsx]Pay'!D155</f>
        <v>empty</v>
      </c>
      <c r="D155" s="54" t="str">
        <f>'[01_Entry.xlsx]Pay'!E155</f>
        <v>empty</v>
      </c>
      <c r="E155" s="54" t="str">
        <f>'[01_Entry.xlsx]Pay'!F155</f>
        <v>empty</v>
      </c>
      <c r="F155" s="55">
        <f>'[01_Entry.xlsx]Pay'!G155</f>
        <v/>
      </c>
      <c r="G155" s="54">
        <f>'[01_Entry.xlsx]Pay'!H155</f>
        <v/>
      </c>
      <c r="H155" s="54" t="str">
        <f>'[01_Entry.xlsx]Pay'!I155</f>
        <v>empty</v>
      </c>
      <c r="I155" s="54">
        <f>'[01_Entry.xlsx]Pay'!J155</f>
        <v/>
      </c>
      <c r="J155" s="56" t="str">
        <f>'[01_Entry.xlsx]Pay'!K155</f>
        <v>empty</v>
      </c>
      <c r="K155" s="54" t="str">
        <f>'[01_Entry.xlsx]Pay'!L155</f>
        <v>empty</v>
      </c>
      <c r="L155" s="54">
        <f>'[01_Entry.xlsx]Pay'!M155</f>
        <v/>
      </c>
      <c r="M155" s="57">
        <f>IF($D155="دریافت",IF($L155="انتقال داخلی",0,$J155),0)</f>
        <v>0</v>
      </c>
      <c r="N155" s="57">
        <f>IF($D155="پرداخت",IF($L155="انتقال داخلی",0,$J155),0)</f>
        <v>0</v>
      </c>
      <c r="O155" s="55" t="str">
        <f>'[01_Entry.xlsx]Pay'!P155</f>
        <v>empty</v>
      </c>
      <c r="P155" s="54">
        <f>IF($B155="","","ثبت روزانه")</f>
        <v>0</v>
      </c>
    </row>
    <row r="156" spans="1:16" ht="21" customHeight="1">
      <c r="A156" s="54" t="str">
        <f>'[01_Entry.xlsx]Pay'!B156</f>
        <v>empty</v>
      </c>
      <c r="B156" s="54" t="str">
        <f>'[01_Entry.xlsx]Pay'!C156</f>
        <v>empty</v>
      </c>
      <c r="C156" s="54" t="str">
        <f>'[01_Entry.xlsx]Pay'!D156</f>
        <v>empty</v>
      </c>
      <c r="D156" s="54" t="str">
        <f>'[01_Entry.xlsx]Pay'!E156</f>
        <v>empty</v>
      </c>
      <c r="E156" s="54" t="str">
        <f>'[01_Entry.xlsx]Pay'!F156</f>
        <v>empty</v>
      </c>
      <c r="F156" s="55">
        <f>'[01_Entry.xlsx]Pay'!G156</f>
        <v/>
      </c>
      <c r="G156" s="54">
        <f>'[01_Entry.xlsx]Pay'!H156</f>
        <v/>
      </c>
      <c r="H156" s="54" t="str">
        <f>'[01_Entry.xlsx]Pay'!I156</f>
        <v>empty</v>
      </c>
      <c r="I156" s="54">
        <f>'[01_Entry.xlsx]Pay'!J156</f>
        <v/>
      </c>
      <c r="J156" s="56" t="str">
        <f>'[01_Entry.xlsx]Pay'!K156</f>
        <v>empty</v>
      </c>
      <c r="K156" s="54" t="str">
        <f>'[01_Entry.xlsx]Pay'!L156</f>
        <v>empty</v>
      </c>
      <c r="L156" s="54">
        <f>'[01_Entry.xlsx]Pay'!M156</f>
        <v/>
      </c>
      <c r="M156" s="57">
        <f>IF($D156="دریافت",IF($L156="انتقال داخلی",0,$J156),0)</f>
        <v>0</v>
      </c>
      <c r="N156" s="57">
        <f>IF($D156="پرداخت",IF($L156="انتقال داخلی",0,$J156),0)</f>
        <v>0</v>
      </c>
      <c r="O156" s="55" t="str">
        <f>'[01_Entry.xlsx]Pay'!P156</f>
        <v>empty</v>
      </c>
      <c r="P156" s="54">
        <f>IF($B156="","","ثبت روزانه")</f>
        <v>0</v>
      </c>
    </row>
    <row r="157" spans="1:16" ht="21" customHeight="1">
      <c r="A157" s="54" t="str">
        <f>'[01_Entry.xlsx]Pay'!B157</f>
        <v>empty</v>
      </c>
      <c r="B157" s="54" t="str">
        <f>'[01_Entry.xlsx]Pay'!C157</f>
        <v>empty</v>
      </c>
      <c r="C157" s="54" t="str">
        <f>'[01_Entry.xlsx]Pay'!D157</f>
        <v>empty</v>
      </c>
      <c r="D157" s="54" t="str">
        <f>'[01_Entry.xlsx]Pay'!E157</f>
        <v>empty</v>
      </c>
      <c r="E157" s="54" t="str">
        <f>'[01_Entry.xlsx]Pay'!F157</f>
        <v>empty</v>
      </c>
      <c r="F157" s="55">
        <f>'[01_Entry.xlsx]Pay'!G157</f>
        <v/>
      </c>
      <c r="G157" s="54">
        <f>'[01_Entry.xlsx]Pay'!H157</f>
        <v/>
      </c>
      <c r="H157" s="54" t="str">
        <f>'[01_Entry.xlsx]Pay'!I157</f>
        <v>empty</v>
      </c>
      <c r="I157" s="54">
        <f>'[01_Entry.xlsx]Pay'!J157</f>
        <v/>
      </c>
      <c r="J157" s="56" t="str">
        <f>'[01_Entry.xlsx]Pay'!K157</f>
        <v>empty</v>
      </c>
      <c r="K157" s="54" t="str">
        <f>'[01_Entry.xlsx]Pay'!L157</f>
        <v>empty</v>
      </c>
      <c r="L157" s="54">
        <f>'[01_Entry.xlsx]Pay'!M157</f>
        <v/>
      </c>
      <c r="M157" s="57">
        <f>IF($D157="دریافت",IF($L157="انتقال داخلی",0,$J157),0)</f>
        <v>0</v>
      </c>
      <c r="N157" s="57">
        <f>IF($D157="پرداخت",IF($L157="انتقال داخلی",0,$J157),0)</f>
        <v>0</v>
      </c>
      <c r="O157" s="55" t="str">
        <f>'[01_Entry.xlsx]Pay'!P157</f>
        <v>empty</v>
      </c>
      <c r="P157" s="54">
        <f>IF($B157="","","ثبت روزانه")</f>
        <v>0</v>
      </c>
    </row>
    <row r="158" spans="1:16" ht="21" customHeight="1">
      <c r="A158" s="54" t="str">
        <f>'[01_Entry.xlsx]Pay'!B158</f>
        <v>empty</v>
      </c>
      <c r="B158" s="54" t="str">
        <f>'[01_Entry.xlsx]Pay'!C158</f>
        <v>empty</v>
      </c>
      <c r="C158" s="54" t="str">
        <f>'[01_Entry.xlsx]Pay'!D158</f>
        <v>empty</v>
      </c>
      <c r="D158" s="54" t="str">
        <f>'[01_Entry.xlsx]Pay'!E158</f>
        <v>empty</v>
      </c>
      <c r="E158" s="54" t="str">
        <f>'[01_Entry.xlsx]Pay'!F158</f>
        <v>empty</v>
      </c>
      <c r="F158" s="55">
        <f>'[01_Entry.xlsx]Pay'!G158</f>
        <v/>
      </c>
      <c r="G158" s="54">
        <f>'[01_Entry.xlsx]Pay'!H158</f>
        <v/>
      </c>
      <c r="H158" s="54" t="str">
        <f>'[01_Entry.xlsx]Pay'!I158</f>
        <v>empty</v>
      </c>
      <c r="I158" s="54">
        <f>'[01_Entry.xlsx]Pay'!J158</f>
        <v/>
      </c>
      <c r="J158" s="56" t="str">
        <f>'[01_Entry.xlsx]Pay'!K158</f>
        <v>empty</v>
      </c>
      <c r="K158" s="54" t="str">
        <f>'[01_Entry.xlsx]Pay'!L158</f>
        <v>empty</v>
      </c>
      <c r="L158" s="54">
        <f>'[01_Entry.xlsx]Pay'!M158</f>
        <v/>
      </c>
      <c r="M158" s="57">
        <f>IF($D158="دریافت",IF($L158="انتقال داخلی",0,$J158),0)</f>
        <v>0</v>
      </c>
      <c r="N158" s="57">
        <f>IF($D158="پرداخت",IF($L158="انتقال داخلی",0,$J158),0)</f>
        <v>0</v>
      </c>
      <c r="O158" s="55" t="str">
        <f>'[01_Entry.xlsx]Pay'!P158</f>
        <v>empty</v>
      </c>
      <c r="P158" s="54">
        <f>IF($B158="","","ثبت روزانه")</f>
        <v>0</v>
      </c>
    </row>
    <row r="159" spans="1:16" ht="21" customHeight="1">
      <c r="A159" s="54" t="str">
        <f>'[01_Entry.xlsx]Pay'!B159</f>
        <v>empty</v>
      </c>
      <c r="B159" s="54" t="str">
        <f>'[01_Entry.xlsx]Pay'!C159</f>
        <v>empty</v>
      </c>
      <c r="C159" s="54" t="str">
        <f>'[01_Entry.xlsx]Pay'!D159</f>
        <v>empty</v>
      </c>
      <c r="D159" s="54" t="str">
        <f>'[01_Entry.xlsx]Pay'!E159</f>
        <v>empty</v>
      </c>
      <c r="E159" s="54" t="str">
        <f>'[01_Entry.xlsx]Pay'!F159</f>
        <v>empty</v>
      </c>
      <c r="F159" s="55">
        <f>'[01_Entry.xlsx]Pay'!G159</f>
        <v/>
      </c>
      <c r="G159" s="54">
        <f>'[01_Entry.xlsx]Pay'!H159</f>
        <v/>
      </c>
      <c r="H159" s="54" t="str">
        <f>'[01_Entry.xlsx]Pay'!I159</f>
        <v>empty</v>
      </c>
      <c r="I159" s="54">
        <f>'[01_Entry.xlsx]Pay'!J159</f>
        <v/>
      </c>
      <c r="J159" s="56" t="str">
        <f>'[01_Entry.xlsx]Pay'!K159</f>
        <v>empty</v>
      </c>
      <c r="K159" s="54" t="str">
        <f>'[01_Entry.xlsx]Pay'!L159</f>
        <v>empty</v>
      </c>
      <c r="L159" s="54">
        <f>'[01_Entry.xlsx]Pay'!M159</f>
        <v/>
      </c>
      <c r="M159" s="57">
        <f>IF($D159="دریافت",IF($L159="انتقال داخلی",0,$J159),0)</f>
        <v>0</v>
      </c>
      <c r="N159" s="57">
        <f>IF($D159="پرداخت",IF($L159="انتقال داخلی",0,$J159),0)</f>
        <v>0</v>
      </c>
      <c r="O159" s="55" t="str">
        <f>'[01_Entry.xlsx]Pay'!P159</f>
        <v>empty</v>
      </c>
      <c r="P159" s="54">
        <f>IF($B159="","","ثبت روزانه")</f>
        <v>0</v>
      </c>
    </row>
  </sheetData>
  <autoFilter ref="A8:R159"/>
  <mergeCells count="20">
    <mergeCell ref="A1:M1"/>
    <mergeCell ref="N1:R1"/>
    <mergeCell ref="A2:R2"/>
    <mergeCell ref="A3:R3"/>
    <mergeCell ref="G4:R4"/>
    <mergeCell ref="A5:D5"/>
    <mergeCell ref="A6:D6"/>
    <mergeCell ref="E5:H5"/>
    <mergeCell ref="E6:H6"/>
    <mergeCell ref="I5:L5"/>
    <mergeCell ref="I6:L6"/>
    <mergeCell ref="M5:P5"/>
    <mergeCell ref="M6:P6"/>
    <mergeCell ref="Q5:R5"/>
    <mergeCell ref="Q6:R6"/>
    <mergeCell ref="A7:C7"/>
    <mergeCell ref="D7:F7"/>
    <mergeCell ref="G7:I7"/>
    <mergeCell ref="J7:L7"/>
    <mergeCell ref="M7:P7"/>
  </mergeCells>
  <conditionalFormatting sqref="A10:R159">
    <cfRule type="expression" dxfId="0" priority="1">
      <formula>$D10="دریافت"</formula>
    </cfRule>
    <cfRule type="expression" dxfId="1" priority="2">
      <formula>$D10="پرداخت"</formula>
    </cfRule>
    <cfRule type="expression" dxfId="2" priority="3">
      <formula>$F10="چک"</formula>
    </cfRule>
    <cfRule type="expression" dxfId="3" priority="4">
      <formula>$F10="پاس چک"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89B3C"/>
    <pageSetUpPr fitToPage="1"/>
  </sheetPr>
  <dimension ref="A1:N159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2" width="11.7109375" customWidth="1"/>
    <col min="3" max="3" width="15.7109375" customWidth="1"/>
    <col min="4" max="4" width="10.7109375" customWidth="1"/>
    <col min="5" max="5" width="28.7109375" customWidth="1"/>
    <col min="6" max="7" width="12.7109375" customWidth="1"/>
    <col min="8" max="8" width="16.7109375" customWidth="1"/>
    <col min="9" max="10" width="12.7109375" customWidth="1"/>
    <col min="11" max="11" width="16.7109375" customWidth="1"/>
  </cols>
  <sheetData>
    <row r="1" spans="1:14" ht="20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1" t="s">
        <v>1</v>
      </c>
      <c r="K1" s="31"/>
      <c r="L1" s="31"/>
      <c r="M1" s="31"/>
      <c r="N1" s="31"/>
    </row>
    <row r="2" spans="1:14" ht="38.25" customHeight="1">
      <c r="A2" s="32" t="s">
        <v>69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45.75" customHeight="1">
      <c r="A3" s="33" t="s">
        <v>70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  <c r="J4" s="40"/>
      <c r="K4" s="40"/>
      <c r="L4" s="40"/>
      <c r="M4" s="40"/>
      <c r="N4" s="40"/>
    </row>
    <row r="5" spans="1:14" ht="17.25" customHeight="1">
      <c r="A5" s="41" t="s">
        <v>71</v>
      </c>
      <c r="B5" s="41"/>
      <c r="C5" s="41"/>
      <c r="D5" s="41" t="s">
        <v>72</v>
      </c>
      <c r="E5" s="41"/>
      <c r="F5" s="41"/>
      <c r="G5" s="41" t="s">
        <v>73</v>
      </c>
      <c r="H5" s="41"/>
      <c r="I5" s="41"/>
      <c r="J5" s="41" t="s">
        <v>74</v>
      </c>
      <c r="K5" s="41"/>
      <c r="L5" s="41"/>
      <c r="M5" s="41" t="s">
        <v>75</v>
      </c>
      <c r="N5" s="41"/>
    </row>
    <row r="6" spans="1:14" ht="33" customHeight="1">
      <c r="A6" s="46">
        <f>COUNTA($C$10:$C$159)</f>
        <v>0</v>
      </c>
      <c r="B6" s="46"/>
      <c r="C6" s="46"/>
      <c r="D6" s="45">
        <f>COUNTIF($J$10:$J$159,"در جریان")</f>
        <v>0</v>
      </c>
      <c r="E6" s="45"/>
      <c r="F6" s="45"/>
      <c r="G6" s="42">
        <f>COUNTIF($J$10:$J$159,"پاس شده")</f>
        <v>0</v>
      </c>
      <c r="H6" s="42"/>
      <c r="I6" s="42"/>
      <c r="J6" s="43">
        <f>COUNTIF($J$10:$J$159,"برگشتی")</f>
        <v>0</v>
      </c>
      <c r="K6" s="43"/>
      <c r="L6" s="43"/>
      <c r="M6" s="44">
        <f>SUMIF($J$10:$J$159,"در جریان",$H$10:$H$159)</f>
        <v>0</v>
      </c>
      <c r="N6" s="44"/>
    </row>
    <row r="7" spans="1:14" ht="6.75" customHeight="1"/>
    <row r="8" spans="1:14" ht="33.75" customHeight="1">
      <c r="A8" s="52" t="s">
        <v>35</v>
      </c>
      <c r="B8" s="52" t="s">
        <v>37</v>
      </c>
      <c r="C8" s="52" t="s">
        <v>51</v>
      </c>
      <c r="D8" s="52" t="s">
        <v>39</v>
      </c>
      <c r="E8" s="52" t="s">
        <v>76</v>
      </c>
      <c r="F8" s="52" t="s">
        <v>49</v>
      </c>
      <c r="G8" s="52" t="s">
        <v>57</v>
      </c>
      <c r="H8" s="52" t="s">
        <v>53</v>
      </c>
      <c r="I8" s="52" t="s">
        <v>78</v>
      </c>
      <c r="J8" s="52" t="s">
        <v>80</v>
      </c>
      <c r="K8" s="52" t="s">
        <v>28</v>
      </c>
    </row>
    <row r="9" spans="1:14">
      <c r="A9" s="53" t="s">
        <v>36</v>
      </c>
      <c r="B9" s="53" t="s">
        <v>38</v>
      </c>
      <c r="C9" s="53" t="s">
        <v>52</v>
      </c>
      <c r="D9" s="53" t="s">
        <v>40</v>
      </c>
      <c r="E9" s="53" t="s">
        <v>77</v>
      </c>
      <c r="F9" s="53" t="s">
        <v>50</v>
      </c>
      <c r="G9" s="53" t="s">
        <v>58</v>
      </c>
      <c r="H9" s="53" t="s">
        <v>54</v>
      </c>
      <c r="I9" s="53" t="s">
        <v>79</v>
      </c>
      <c r="J9" s="53" t="s">
        <v>81</v>
      </c>
      <c r="K9" s="53" t="s">
        <v>82</v>
      </c>
    </row>
    <row r="10" spans="1:14" ht="21" customHeight="1">
      <c r="A10" s="54" t="str">
        <f>'[01_Entry.xlsx]Pay'!B10</f>
        <v>1405/07/06</v>
      </c>
      <c r="B10" s="54" t="str">
        <f>'[01_Entry.xlsx]Pay'!C10</f>
        <v>PV-001</v>
      </c>
      <c r="C10" s="54">
        <f>'[01_Entry.xlsx]Pay'!J10</f>
        <v/>
      </c>
      <c r="D10" s="54" t="str">
        <f>'[01_Entry.xlsx]Pay'!D10</f>
        <v>پرداخت</v>
      </c>
      <c r="E10" s="55" t="str">
        <f>'[01_Entry.xlsx]Pay'!F10</f>
        <v>C001</v>
      </c>
      <c r="F10" s="54" t="str">
        <f>'[01_Entry.xlsx]Pay'!I10</f>
        <v>empty</v>
      </c>
      <c r="G10" s="54">
        <f>'[01_Entry.xlsx]Pay'!M10</f>
        <v/>
      </c>
      <c r="H10" s="56">
        <f>'[01_Entry.xlsx]Pay'!K10</f>
        <v>150000000</v>
      </c>
      <c r="I10" s="54" t="str">
        <f>'[01_Entry.xlsx]Pay'!L10</f>
        <v>empty</v>
      </c>
      <c r="J10" s="54">
        <f>IF(OR($C10="",$G10=""),"","—")</f>
        <v>0</v>
      </c>
      <c r="K10" s="54">
        <f>IF($C10="","",IF($I10="برگشتی","⚠ برگشت",IF($H10="در جریان","⏳ در جریان","✓")))</f>
        <v>0</v>
      </c>
    </row>
    <row r="11" spans="1:14" ht="21" customHeight="1">
      <c r="A11" s="54" t="str">
        <f>'[01_Entry.xlsx]Pay'!B11</f>
        <v>1405/07/06</v>
      </c>
      <c r="B11" s="54" t="str">
        <f>'[01_Entry.xlsx]Pay'!C11</f>
        <v>RV-001</v>
      </c>
      <c r="C11" s="54">
        <f>'[01_Entry.xlsx]Pay'!J11</f>
        <v/>
      </c>
      <c r="D11" s="54" t="str">
        <f>'[01_Entry.xlsx]Pay'!D11</f>
        <v>دریافت</v>
      </c>
      <c r="E11" s="55" t="str">
        <f>'[01_Entry.xlsx]Pay'!F11</f>
        <v>SL001</v>
      </c>
      <c r="F11" s="54" t="str">
        <f>'[01_Entry.xlsx]Pay'!I11</f>
        <v>BANK01</v>
      </c>
      <c r="G11" s="54">
        <f>'[01_Entry.xlsx]Pay'!M11</f>
        <v/>
      </c>
      <c r="H11" s="56">
        <f>'[01_Entry.xlsx]Pay'!K11</f>
        <v>300000000</v>
      </c>
      <c r="I11" s="54" t="str">
        <f>'[01_Entry.xlsx]Pay'!L11</f>
        <v>empty</v>
      </c>
      <c r="J11" s="54">
        <f>IF(OR($C11="",$G11=""),"","—")</f>
        <v>0</v>
      </c>
      <c r="K11" s="54">
        <f>IF($C11="","",IF($I11="برگشتی","⚠ برگشت",IF($H11="در جریان","⏳ در جریان","✓")))</f>
        <v>0</v>
      </c>
    </row>
    <row r="12" spans="1:14" ht="21" customHeight="1">
      <c r="A12" s="54" t="str">
        <f>'[01_Entry.xlsx]Pay'!B12</f>
        <v>1405/07/07</v>
      </c>
      <c r="B12" s="54" t="str">
        <f>'[01_Entry.xlsx]Pay'!C12</f>
        <v>PV-002</v>
      </c>
      <c r="C12" s="54" t="str">
        <f>'[01_Entry.xlsx]Pay'!J12</f>
        <v>CHQ-1001</v>
      </c>
      <c r="D12" s="54" t="str">
        <f>'[01_Entry.xlsx]Pay'!D12</f>
        <v>پرداخت</v>
      </c>
      <c r="E12" s="55" t="str">
        <f>'[01_Entry.xlsx]Pay'!F12</f>
        <v>C002</v>
      </c>
      <c r="F12" s="54" t="str">
        <f>'[01_Entry.xlsx]Pay'!I12</f>
        <v>BANK01</v>
      </c>
      <c r="G12" s="54">
        <f>'[01_Entry.xlsx]Pay'!M12</f>
        <v/>
      </c>
      <c r="H12" s="56">
        <f>'[01_Entry.xlsx]Pay'!K12</f>
        <v>200000000</v>
      </c>
      <c r="I12" s="54" t="str">
        <f>'[01_Entry.xlsx]Pay'!L12</f>
        <v>در جریان</v>
      </c>
      <c r="J12" s="54">
        <f>IF(OR($C12="",$G12=""),"","—")</f>
        <v>0</v>
      </c>
      <c r="K12" s="54">
        <f>IF($C12="","",IF($I12="برگشتی","⚠ برگشت",IF($H12="در جریان","⏳ در جریان","✓")))</f>
        <v>0</v>
      </c>
    </row>
    <row r="13" spans="1:14" ht="21" customHeight="1">
      <c r="A13" s="54" t="str">
        <f>'[01_Entry.xlsx]Pay'!B13</f>
        <v>1405/07/08</v>
      </c>
      <c r="B13" s="54" t="str">
        <f>'[01_Entry.xlsx]Pay'!C13</f>
        <v>PV-003</v>
      </c>
      <c r="C13" s="54">
        <f>'[01_Entry.xlsx]Pay'!J13</f>
        <v/>
      </c>
      <c r="D13" s="54" t="str">
        <f>'[01_Entry.xlsx]Pay'!D13</f>
        <v>پرداخت</v>
      </c>
      <c r="E13" s="55" t="str">
        <f>'[01_Entry.xlsx]Pay'!F13</f>
        <v>C003</v>
      </c>
      <c r="F13" s="54" t="str">
        <f>'[01_Entry.xlsx]Pay'!I13</f>
        <v>BANK02</v>
      </c>
      <c r="G13" s="54">
        <f>'[01_Entry.xlsx]Pay'!M13</f>
        <v/>
      </c>
      <c r="H13" s="56">
        <f>'[01_Entry.xlsx]Pay'!K13</f>
        <v>80000000</v>
      </c>
      <c r="I13" s="54" t="str">
        <f>'[01_Entry.xlsx]Pay'!L13</f>
        <v>empty</v>
      </c>
      <c r="J13" s="54">
        <f>IF(OR($C13="",$G13=""),"","—")</f>
        <v>0</v>
      </c>
      <c r="K13" s="54">
        <f>IF($C13="","",IF($I13="برگشتی","⚠ برگشت",IF($H13="در جریان","⏳ در جریان","✓")))</f>
        <v>0</v>
      </c>
    </row>
    <row r="14" spans="1:14" ht="21" customHeight="1">
      <c r="A14" s="54" t="str">
        <f>'[01_Entry.xlsx]Pay'!B14</f>
        <v>1405/07/09</v>
      </c>
      <c r="B14" s="54" t="str">
        <f>'[01_Entry.xlsx]Pay'!C14</f>
        <v>RV-002</v>
      </c>
      <c r="C14" s="54">
        <f>'[01_Entry.xlsx]Pay'!J14</f>
        <v/>
      </c>
      <c r="D14" s="54" t="str">
        <f>'[01_Entry.xlsx]Pay'!D14</f>
        <v>دریافت</v>
      </c>
      <c r="E14" s="55" t="str">
        <f>'[01_Entry.xlsx]Pay'!F14</f>
        <v>SL002</v>
      </c>
      <c r="F14" s="54" t="str">
        <f>'[01_Entry.xlsx]Pay'!I14</f>
        <v>BANK02</v>
      </c>
      <c r="G14" s="54">
        <f>'[01_Entry.xlsx]Pay'!M14</f>
        <v/>
      </c>
      <c r="H14" s="56">
        <f>'[01_Entry.xlsx]Pay'!K14</f>
        <v>120000000</v>
      </c>
      <c r="I14" s="54" t="str">
        <f>'[01_Entry.xlsx]Pay'!L14</f>
        <v>empty</v>
      </c>
      <c r="J14" s="54">
        <f>IF(OR($C14="",$G14=""),"","—")</f>
        <v>0</v>
      </c>
      <c r="K14" s="54">
        <f>IF($C14="","",IF($I14="برگشتی","⚠ برگشت",IF($H14="در جریان","⏳ در جریان","✓")))</f>
        <v>0</v>
      </c>
    </row>
    <row r="15" spans="1:14" ht="21" customHeight="1">
      <c r="A15" s="54" t="str">
        <f>'[01_Entry.xlsx]Pay'!B15</f>
        <v>1405/07/10</v>
      </c>
      <c r="B15" s="54" t="str">
        <f>'[01_Entry.xlsx]Pay'!C15</f>
        <v>PV-004</v>
      </c>
      <c r="C15" s="54" t="str">
        <f>'[01_Entry.xlsx]Pay'!J15</f>
        <v>CHQ-1001</v>
      </c>
      <c r="D15" s="54" t="str">
        <f>'[01_Entry.xlsx]Pay'!D15</f>
        <v>پرداخت</v>
      </c>
      <c r="E15" s="55" t="str">
        <f>'[01_Entry.xlsx]Pay'!F15</f>
        <v>X010</v>
      </c>
      <c r="F15" s="54" t="str">
        <f>'[01_Entry.xlsx]Pay'!I15</f>
        <v>BANK01</v>
      </c>
      <c r="G15" s="54">
        <f>'[01_Entry.xlsx]Pay'!M15</f>
        <v/>
      </c>
      <c r="H15" s="56">
        <f>'[01_Entry.xlsx]Pay'!K15</f>
        <v>200000000</v>
      </c>
      <c r="I15" s="54" t="str">
        <f>'[01_Entry.xlsx]Pay'!L15</f>
        <v>پاس شده</v>
      </c>
      <c r="J15" s="54">
        <f>IF(OR($C15="",$G15=""),"","—")</f>
        <v>0</v>
      </c>
      <c r="K15" s="54">
        <f>IF($C15="","",IF($I15="برگشتی","⚠ برگشت",IF($H15="در جریان","⏳ در جریان","✓")))</f>
        <v>0</v>
      </c>
    </row>
    <row r="16" spans="1:14" ht="21" customHeight="1">
      <c r="A16" s="54" t="str">
        <f>'[01_Entry.xlsx]Pay'!B16</f>
        <v>1405/07/10</v>
      </c>
      <c r="B16" s="54" t="str">
        <f>'[01_Entry.xlsx]Pay'!C16</f>
        <v>PV-005</v>
      </c>
      <c r="C16" s="54">
        <f>'[01_Entry.xlsx]Pay'!J16</f>
        <v/>
      </c>
      <c r="D16" s="54" t="str">
        <f>'[01_Entry.xlsx]Pay'!D16</f>
        <v>پرداخت</v>
      </c>
      <c r="E16" s="55" t="str">
        <f>'[01_Entry.xlsx]Pay'!F16</f>
        <v>C006</v>
      </c>
      <c r="F16" s="54" t="str">
        <f>'[01_Entry.xlsx]Pay'!I16</f>
        <v>empty</v>
      </c>
      <c r="G16" s="54">
        <f>'[01_Entry.xlsx]Pay'!M16</f>
        <v/>
      </c>
      <c r="H16" s="56">
        <f>'[01_Entry.xlsx]Pay'!K16</f>
        <v>30000000</v>
      </c>
      <c r="I16" s="54" t="str">
        <f>'[01_Entry.xlsx]Pay'!L16</f>
        <v>empty</v>
      </c>
      <c r="J16" s="54">
        <f>IF(OR($C16="",$G16=""),"","—")</f>
        <v>0</v>
      </c>
      <c r="K16" s="54">
        <f>IF($C16="","",IF($I16="برگشتی","⚠ برگشت",IF($H16="در جریان","⏳ در جریان","✓")))</f>
        <v>0</v>
      </c>
    </row>
    <row r="17" spans="1:11" ht="21" customHeight="1">
      <c r="A17" s="54" t="str">
        <f>'[01_Entry.xlsx]Pay'!B17</f>
        <v>1405/07/11</v>
      </c>
      <c r="B17" s="54" t="str">
        <f>'[01_Entry.xlsx]Pay'!C17</f>
        <v>RV-003</v>
      </c>
      <c r="C17" s="54">
        <f>'[01_Entry.xlsx]Pay'!J17</f>
        <v/>
      </c>
      <c r="D17" s="54" t="str">
        <f>'[01_Entry.xlsx]Pay'!D17</f>
        <v>دریافت</v>
      </c>
      <c r="E17" s="55" t="str">
        <f>'[01_Entry.xlsx]Pay'!F17</f>
        <v>SL001</v>
      </c>
      <c r="F17" s="54" t="str">
        <f>'[01_Entry.xlsx]Pay'!I17</f>
        <v>BANK02</v>
      </c>
      <c r="G17" s="54">
        <f>'[01_Entry.xlsx]Pay'!M17</f>
        <v/>
      </c>
      <c r="H17" s="56">
        <f>'[01_Entry.xlsx]Pay'!K17</f>
        <v>100000000</v>
      </c>
      <c r="I17" s="54" t="str">
        <f>'[01_Entry.xlsx]Pay'!L17</f>
        <v>empty</v>
      </c>
      <c r="J17" s="54">
        <f>IF(OR($C17="",$G17=""),"","—")</f>
        <v>0</v>
      </c>
      <c r="K17" s="54">
        <f>IF($C17="","",IF($I17="برگشتی","⚠ برگشت",IF($H17="در جریان","⏳ در جریان","✓")))</f>
        <v>0</v>
      </c>
    </row>
    <row r="18" spans="1:11" ht="21" customHeight="1">
      <c r="A18" s="54" t="str">
        <f>'[01_Entry.xlsx]Pay'!B18</f>
        <v>1405/07/11</v>
      </c>
      <c r="B18" s="54" t="str">
        <f>'[01_Entry.xlsx]Pay'!C18</f>
        <v>PV-006</v>
      </c>
      <c r="C18" s="54">
        <f>'[01_Entry.xlsx]Pay'!J18</f>
        <v/>
      </c>
      <c r="D18" s="54" t="str">
        <f>'[01_Entry.xlsx]Pay'!D18</f>
        <v>پرداخت</v>
      </c>
      <c r="E18" s="55" t="str">
        <f>'[01_Entry.xlsx]Pay'!F18</f>
        <v>X001</v>
      </c>
      <c r="F18" s="54" t="str">
        <f>'[01_Entry.xlsx]Pay'!I18</f>
        <v>empty</v>
      </c>
      <c r="G18" s="54">
        <f>'[01_Entry.xlsx]Pay'!M18</f>
        <v/>
      </c>
      <c r="H18" s="56">
        <f>'[01_Entry.xlsx]Pay'!K18</f>
        <v>500000</v>
      </c>
      <c r="I18" s="54" t="str">
        <f>'[01_Entry.xlsx]Pay'!L18</f>
        <v>empty</v>
      </c>
      <c r="J18" s="54">
        <f>IF(OR($C18="",$G18=""),"","—")</f>
        <v>0</v>
      </c>
      <c r="K18" s="54">
        <f>IF($C18="","",IF($I18="برگشتی","⚠ برگشت",IF($H18="در جریان","⏳ در جریان","✓")))</f>
        <v>0</v>
      </c>
    </row>
    <row r="19" spans="1:11" ht="21" customHeight="1">
      <c r="A19" s="54" t="str">
        <f>'[01_Entry.xlsx]Pay'!B19</f>
        <v>1405/07/12</v>
      </c>
      <c r="B19" s="54" t="str">
        <f>'[01_Entry.xlsx]Pay'!C19</f>
        <v>PV-007</v>
      </c>
      <c r="C19" s="54">
        <f>'[01_Entry.xlsx]Pay'!J19</f>
        <v/>
      </c>
      <c r="D19" s="54" t="str">
        <f>'[01_Entry.xlsx]Pay'!D19</f>
        <v>پرداخت</v>
      </c>
      <c r="E19" s="55" t="str">
        <f>'[01_Entry.xlsx]Pay'!F19</f>
        <v>BANK02</v>
      </c>
      <c r="F19" s="54" t="str">
        <f>'[01_Entry.xlsx]Pay'!I19</f>
        <v>BANK01</v>
      </c>
      <c r="G19" s="54">
        <f>'[01_Entry.xlsx]Pay'!M19</f>
        <v/>
      </c>
      <c r="H19" s="56">
        <f>'[01_Entry.xlsx]Pay'!K19</f>
        <v>50000000</v>
      </c>
      <c r="I19" s="54" t="str">
        <f>'[01_Entry.xlsx]Pay'!L19</f>
        <v>empty</v>
      </c>
      <c r="J19" s="54">
        <f>IF(OR($C19="",$G19=""),"","—")</f>
        <v>0</v>
      </c>
      <c r="K19" s="54">
        <f>IF($C19="","",IF($I19="برگشتی","⚠ برگشت",IF($H19="در جریان","⏳ در جریان","✓")))</f>
        <v>0</v>
      </c>
    </row>
    <row r="20" spans="1:11" ht="21" customHeight="1">
      <c r="A20" s="54" t="str">
        <f>'[01_Entry.xlsx]Pay'!B20</f>
        <v>1405/07/07</v>
      </c>
      <c r="B20" s="54" t="str">
        <f>'[01_Entry.xlsx]Pay'!C20</f>
        <v>PV-008</v>
      </c>
      <c r="C20" s="54" t="str">
        <f>'[01_Entry.xlsx]Pay'!J20</f>
        <v>CHQ-1002</v>
      </c>
      <c r="D20" s="54" t="str">
        <f>'[01_Entry.xlsx]Pay'!D20</f>
        <v>پرداخت</v>
      </c>
      <c r="E20" s="55" t="str">
        <f>'[01_Entry.xlsx]Pay'!F20</f>
        <v>C004</v>
      </c>
      <c r="F20" s="54" t="str">
        <f>'[01_Entry.xlsx]Pay'!I20</f>
        <v>BANK03</v>
      </c>
      <c r="G20" s="54">
        <f>'[01_Entry.xlsx]Pay'!M20</f>
        <v/>
      </c>
      <c r="H20" s="56">
        <f>'[01_Entry.xlsx]Pay'!K20</f>
        <v>60000000</v>
      </c>
      <c r="I20" s="54" t="str">
        <f>'[01_Entry.xlsx]Pay'!L20</f>
        <v>در جریان</v>
      </c>
      <c r="J20" s="54">
        <f>IF(OR($C20="",$G20=""),"","—")</f>
        <v>0</v>
      </c>
      <c r="K20" s="54">
        <f>IF($C20="","",IF($I20="برگشتی","⚠ برگشت",IF($H20="در جریان","⏳ در جریان","✓")))</f>
        <v>0</v>
      </c>
    </row>
    <row r="21" spans="1:11" ht="21" customHeight="1">
      <c r="A21" s="54" t="str">
        <f>'[01_Entry.xlsx]Pay'!B21</f>
        <v>1405/07/12</v>
      </c>
      <c r="B21" s="54" t="str">
        <f>'[01_Entry.xlsx]Pay'!C21</f>
        <v>RV-004</v>
      </c>
      <c r="C21" s="54">
        <f>'[01_Entry.xlsx]Pay'!J21</f>
        <v/>
      </c>
      <c r="D21" s="54" t="str">
        <f>'[01_Entry.xlsx]Pay'!D21</f>
        <v>دریافت</v>
      </c>
      <c r="E21" s="55" t="str">
        <f>'[01_Entry.xlsx]Pay'!F21</f>
        <v>SL002</v>
      </c>
      <c r="F21" s="54" t="str">
        <f>'[01_Entry.xlsx]Pay'!I21</f>
        <v>BANK01</v>
      </c>
      <c r="G21" s="54">
        <f>'[01_Entry.xlsx]Pay'!M21</f>
        <v/>
      </c>
      <c r="H21" s="56">
        <f>'[01_Entry.xlsx]Pay'!K21</f>
        <v>50000000</v>
      </c>
      <c r="I21" s="54" t="str">
        <f>'[01_Entry.xlsx]Pay'!L21</f>
        <v>empty</v>
      </c>
      <c r="J21" s="54">
        <f>IF(OR($C21="",$G21=""),"","—")</f>
        <v>0</v>
      </c>
      <c r="K21" s="54">
        <f>IF($C21="","",IF($I21="برگشتی","⚠ برگشت",IF($H21="در جریان","⏳ در جریان","✓")))</f>
        <v>0</v>
      </c>
    </row>
    <row r="22" spans="1:11" ht="21" customHeight="1">
      <c r="A22" s="54" t="str">
        <f>'[01_Entry.xlsx]Pay'!B22</f>
        <v>empty</v>
      </c>
      <c r="B22" s="54" t="str">
        <f>'[01_Entry.xlsx]Pay'!C22</f>
        <v>empty</v>
      </c>
      <c r="C22" s="54">
        <f>'[01_Entry.xlsx]Pay'!J22</f>
        <v/>
      </c>
      <c r="D22" s="54" t="str">
        <f>'[01_Entry.xlsx]Pay'!D22</f>
        <v>empty</v>
      </c>
      <c r="E22" s="55" t="str">
        <f>'[01_Entry.xlsx]Pay'!F22</f>
        <v>empty</v>
      </c>
      <c r="F22" s="54" t="str">
        <f>'[01_Entry.xlsx]Pay'!I22</f>
        <v>empty</v>
      </c>
      <c r="G22" s="54">
        <f>'[01_Entry.xlsx]Pay'!M22</f>
        <v/>
      </c>
      <c r="H22" s="56" t="str">
        <f>'[01_Entry.xlsx]Pay'!K22</f>
        <v>empty</v>
      </c>
      <c r="I22" s="54" t="str">
        <f>'[01_Entry.xlsx]Pay'!L22</f>
        <v>empty</v>
      </c>
      <c r="J22" s="54">
        <f>IF(OR($C22="",$G22=""),"","—")</f>
        <v>0</v>
      </c>
      <c r="K22" s="54">
        <f>IF($C22="","",IF($I22="برگشتی","⚠ برگشت",IF($H22="در جریان","⏳ در جریان","✓")))</f>
        <v>0</v>
      </c>
    </row>
    <row r="23" spans="1:11" ht="21" customHeight="1">
      <c r="A23" s="54" t="str">
        <f>'[01_Entry.xlsx]Pay'!B23</f>
        <v>empty</v>
      </c>
      <c r="B23" s="54" t="str">
        <f>'[01_Entry.xlsx]Pay'!C23</f>
        <v>empty</v>
      </c>
      <c r="C23" s="54">
        <f>'[01_Entry.xlsx]Pay'!J23</f>
        <v/>
      </c>
      <c r="D23" s="54" t="str">
        <f>'[01_Entry.xlsx]Pay'!D23</f>
        <v>empty</v>
      </c>
      <c r="E23" s="55" t="str">
        <f>'[01_Entry.xlsx]Pay'!F23</f>
        <v>empty</v>
      </c>
      <c r="F23" s="54" t="str">
        <f>'[01_Entry.xlsx]Pay'!I23</f>
        <v>empty</v>
      </c>
      <c r="G23" s="54">
        <f>'[01_Entry.xlsx]Pay'!M23</f>
        <v/>
      </c>
      <c r="H23" s="56" t="str">
        <f>'[01_Entry.xlsx]Pay'!K23</f>
        <v>empty</v>
      </c>
      <c r="I23" s="54" t="str">
        <f>'[01_Entry.xlsx]Pay'!L23</f>
        <v>empty</v>
      </c>
      <c r="J23" s="54">
        <f>IF(OR($C23="",$G23=""),"","—")</f>
        <v>0</v>
      </c>
      <c r="K23" s="54">
        <f>IF($C23="","",IF($I23="برگشتی","⚠ برگشت",IF($H23="در جریان","⏳ در جریان","✓")))</f>
        <v>0</v>
      </c>
    </row>
    <row r="24" spans="1:11" ht="21" customHeight="1">
      <c r="A24" s="54" t="str">
        <f>'[01_Entry.xlsx]Pay'!B24</f>
        <v>empty</v>
      </c>
      <c r="B24" s="54" t="str">
        <f>'[01_Entry.xlsx]Pay'!C24</f>
        <v>empty</v>
      </c>
      <c r="C24" s="54">
        <f>'[01_Entry.xlsx]Pay'!J24</f>
        <v/>
      </c>
      <c r="D24" s="54" t="str">
        <f>'[01_Entry.xlsx]Pay'!D24</f>
        <v>empty</v>
      </c>
      <c r="E24" s="55" t="str">
        <f>'[01_Entry.xlsx]Pay'!F24</f>
        <v>empty</v>
      </c>
      <c r="F24" s="54" t="str">
        <f>'[01_Entry.xlsx]Pay'!I24</f>
        <v>empty</v>
      </c>
      <c r="G24" s="54">
        <f>'[01_Entry.xlsx]Pay'!M24</f>
        <v/>
      </c>
      <c r="H24" s="56" t="str">
        <f>'[01_Entry.xlsx]Pay'!K24</f>
        <v>empty</v>
      </c>
      <c r="I24" s="54" t="str">
        <f>'[01_Entry.xlsx]Pay'!L24</f>
        <v>empty</v>
      </c>
      <c r="J24" s="54">
        <f>IF(OR($C24="",$G24=""),"","—")</f>
        <v>0</v>
      </c>
      <c r="K24" s="54">
        <f>IF($C24="","",IF($I24="برگشتی","⚠ برگشت",IF($H24="در جریان","⏳ در جریان","✓")))</f>
        <v>0</v>
      </c>
    </row>
    <row r="25" spans="1:11" ht="21" customHeight="1">
      <c r="A25" s="54" t="str">
        <f>'[01_Entry.xlsx]Pay'!B25</f>
        <v>empty</v>
      </c>
      <c r="B25" s="54" t="str">
        <f>'[01_Entry.xlsx]Pay'!C25</f>
        <v>empty</v>
      </c>
      <c r="C25" s="54">
        <f>'[01_Entry.xlsx]Pay'!J25</f>
        <v/>
      </c>
      <c r="D25" s="54" t="str">
        <f>'[01_Entry.xlsx]Pay'!D25</f>
        <v>empty</v>
      </c>
      <c r="E25" s="55" t="str">
        <f>'[01_Entry.xlsx]Pay'!F25</f>
        <v>empty</v>
      </c>
      <c r="F25" s="54" t="str">
        <f>'[01_Entry.xlsx]Pay'!I25</f>
        <v>empty</v>
      </c>
      <c r="G25" s="54">
        <f>'[01_Entry.xlsx]Pay'!M25</f>
        <v/>
      </c>
      <c r="H25" s="56" t="str">
        <f>'[01_Entry.xlsx]Pay'!K25</f>
        <v>empty</v>
      </c>
      <c r="I25" s="54" t="str">
        <f>'[01_Entry.xlsx]Pay'!L25</f>
        <v>empty</v>
      </c>
      <c r="J25" s="54">
        <f>IF(OR($C25="",$G25=""),"","—")</f>
        <v>0</v>
      </c>
      <c r="K25" s="54">
        <f>IF($C25="","",IF($I25="برگشتی","⚠ برگشت",IF($H25="در جریان","⏳ در جریان","✓")))</f>
        <v>0</v>
      </c>
    </row>
    <row r="26" spans="1:11" ht="21" customHeight="1">
      <c r="A26" s="54" t="str">
        <f>'[01_Entry.xlsx]Pay'!B26</f>
        <v>empty</v>
      </c>
      <c r="B26" s="54" t="str">
        <f>'[01_Entry.xlsx]Pay'!C26</f>
        <v>empty</v>
      </c>
      <c r="C26" s="54">
        <f>'[01_Entry.xlsx]Pay'!J26</f>
        <v/>
      </c>
      <c r="D26" s="54" t="str">
        <f>'[01_Entry.xlsx]Pay'!D26</f>
        <v>empty</v>
      </c>
      <c r="E26" s="55" t="str">
        <f>'[01_Entry.xlsx]Pay'!F26</f>
        <v>empty</v>
      </c>
      <c r="F26" s="54" t="str">
        <f>'[01_Entry.xlsx]Pay'!I26</f>
        <v>empty</v>
      </c>
      <c r="G26" s="54">
        <f>'[01_Entry.xlsx]Pay'!M26</f>
        <v/>
      </c>
      <c r="H26" s="56" t="str">
        <f>'[01_Entry.xlsx]Pay'!K26</f>
        <v>empty</v>
      </c>
      <c r="I26" s="54" t="str">
        <f>'[01_Entry.xlsx]Pay'!L26</f>
        <v>empty</v>
      </c>
      <c r="J26" s="54">
        <f>IF(OR($C26="",$G26=""),"","—")</f>
        <v>0</v>
      </c>
      <c r="K26" s="54">
        <f>IF($C26="","",IF($I26="برگشتی","⚠ برگشت",IF($H26="در جریان","⏳ در جریان","✓")))</f>
        <v>0</v>
      </c>
    </row>
    <row r="27" spans="1:11" ht="21" customHeight="1">
      <c r="A27" s="54" t="str">
        <f>'[01_Entry.xlsx]Pay'!B27</f>
        <v>empty</v>
      </c>
      <c r="B27" s="54" t="str">
        <f>'[01_Entry.xlsx]Pay'!C27</f>
        <v>empty</v>
      </c>
      <c r="C27" s="54">
        <f>'[01_Entry.xlsx]Pay'!J27</f>
        <v/>
      </c>
      <c r="D27" s="54" t="str">
        <f>'[01_Entry.xlsx]Pay'!D27</f>
        <v>empty</v>
      </c>
      <c r="E27" s="55" t="str">
        <f>'[01_Entry.xlsx]Pay'!F27</f>
        <v>empty</v>
      </c>
      <c r="F27" s="54" t="str">
        <f>'[01_Entry.xlsx]Pay'!I27</f>
        <v>empty</v>
      </c>
      <c r="G27" s="54">
        <f>'[01_Entry.xlsx]Pay'!M27</f>
        <v/>
      </c>
      <c r="H27" s="56" t="str">
        <f>'[01_Entry.xlsx]Pay'!K27</f>
        <v>empty</v>
      </c>
      <c r="I27" s="54" t="str">
        <f>'[01_Entry.xlsx]Pay'!L27</f>
        <v>empty</v>
      </c>
      <c r="J27" s="54">
        <f>IF(OR($C27="",$G27=""),"","—")</f>
        <v>0</v>
      </c>
      <c r="K27" s="54">
        <f>IF($C27="","",IF($I27="برگشتی","⚠ برگشت",IF($H27="در جریان","⏳ در جریان","✓")))</f>
        <v>0</v>
      </c>
    </row>
    <row r="28" spans="1:11" ht="21" customHeight="1">
      <c r="A28" s="54" t="str">
        <f>'[01_Entry.xlsx]Pay'!B28</f>
        <v>empty</v>
      </c>
      <c r="B28" s="54" t="str">
        <f>'[01_Entry.xlsx]Pay'!C28</f>
        <v>empty</v>
      </c>
      <c r="C28" s="54">
        <f>'[01_Entry.xlsx]Pay'!J28</f>
        <v/>
      </c>
      <c r="D28" s="54" t="str">
        <f>'[01_Entry.xlsx]Pay'!D28</f>
        <v>empty</v>
      </c>
      <c r="E28" s="55" t="str">
        <f>'[01_Entry.xlsx]Pay'!F28</f>
        <v>empty</v>
      </c>
      <c r="F28" s="54" t="str">
        <f>'[01_Entry.xlsx]Pay'!I28</f>
        <v>empty</v>
      </c>
      <c r="G28" s="54">
        <f>'[01_Entry.xlsx]Pay'!M28</f>
        <v/>
      </c>
      <c r="H28" s="56" t="str">
        <f>'[01_Entry.xlsx]Pay'!K28</f>
        <v>empty</v>
      </c>
      <c r="I28" s="54" t="str">
        <f>'[01_Entry.xlsx]Pay'!L28</f>
        <v>empty</v>
      </c>
      <c r="J28" s="54">
        <f>IF(OR($C28="",$G28=""),"","—")</f>
        <v>0</v>
      </c>
      <c r="K28" s="54">
        <f>IF($C28="","",IF($I28="برگشتی","⚠ برگشت",IF($H28="در جریان","⏳ در جریان","✓")))</f>
        <v>0</v>
      </c>
    </row>
    <row r="29" spans="1:11" ht="21" customHeight="1">
      <c r="A29" s="54" t="str">
        <f>'[01_Entry.xlsx]Pay'!B29</f>
        <v>empty</v>
      </c>
      <c r="B29" s="54" t="str">
        <f>'[01_Entry.xlsx]Pay'!C29</f>
        <v>empty</v>
      </c>
      <c r="C29" s="54">
        <f>'[01_Entry.xlsx]Pay'!J29</f>
        <v/>
      </c>
      <c r="D29" s="54" t="str">
        <f>'[01_Entry.xlsx]Pay'!D29</f>
        <v>empty</v>
      </c>
      <c r="E29" s="55" t="str">
        <f>'[01_Entry.xlsx]Pay'!F29</f>
        <v>empty</v>
      </c>
      <c r="F29" s="54" t="str">
        <f>'[01_Entry.xlsx]Pay'!I29</f>
        <v>empty</v>
      </c>
      <c r="G29" s="54">
        <f>'[01_Entry.xlsx]Pay'!M29</f>
        <v/>
      </c>
      <c r="H29" s="56" t="str">
        <f>'[01_Entry.xlsx]Pay'!K29</f>
        <v>empty</v>
      </c>
      <c r="I29" s="54" t="str">
        <f>'[01_Entry.xlsx]Pay'!L29</f>
        <v>empty</v>
      </c>
      <c r="J29" s="54">
        <f>IF(OR($C29="",$G29=""),"","—")</f>
        <v>0</v>
      </c>
      <c r="K29" s="54">
        <f>IF($C29="","",IF($I29="برگشتی","⚠ برگشت",IF($H29="در جریان","⏳ در جریان","✓")))</f>
        <v>0</v>
      </c>
    </row>
    <row r="30" spans="1:11" ht="21" customHeight="1">
      <c r="A30" s="54" t="str">
        <f>'[01_Entry.xlsx]Pay'!B30</f>
        <v>empty</v>
      </c>
      <c r="B30" s="54" t="str">
        <f>'[01_Entry.xlsx]Pay'!C30</f>
        <v>empty</v>
      </c>
      <c r="C30" s="54">
        <f>'[01_Entry.xlsx]Pay'!J30</f>
        <v/>
      </c>
      <c r="D30" s="54" t="str">
        <f>'[01_Entry.xlsx]Pay'!D30</f>
        <v>empty</v>
      </c>
      <c r="E30" s="55" t="str">
        <f>'[01_Entry.xlsx]Pay'!F30</f>
        <v>empty</v>
      </c>
      <c r="F30" s="54" t="str">
        <f>'[01_Entry.xlsx]Pay'!I30</f>
        <v>empty</v>
      </c>
      <c r="G30" s="54">
        <f>'[01_Entry.xlsx]Pay'!M30</f>
        <v/>
      </c>
      <c r="H30" s="56" t="str">
        <f>'[01_Entry.xlsx]Pay'!K30</f>
        <v>empty</v>
      </c>
      <c r="I30" s="54" t="str">
        <f>'[01_Entry.xlsx]Pay'!L30</f>
        <v>empty</v>
      </c>
      <c r="J30" s="54">
        <f>IF(OR($C30="",$G30=""),"","—")</f>
        <v>0</v>
      </c>
      <c r="K30" s="54">
        <f>IF($C30="","",IF($I30="برگشتی","⚠ برگشت",IF($H30="در جریان","⏳ در جریان","✓")))</f>
        <v>0</v>
      </c>
    </row>
    <row r="31" spans="1:11" ht="21" customHeight="1">
      <c r="A31" s="54" t="str">
        <f>'[01_Entry.xlsx]Pay'!B31</f>
        <v>empty</v>
      </c>
      <c r="B31" s="54" t="str">
        <f>'[01_Entry.xlsx]Pay'!C31</f>
        <v>empty</v>
      </c>
      <c r="C31" s="54">
        <f>'[01_Entry.xlsx]Pay'!J31</f>
        <v/>
      </c>
      <c r="D31" s="54" t="str">
        <f>'[01_Entry.xlsx]Pay'!D31</f>
        <v>empty</v>
      </c>
      <c r="E31" s="55" t="str">
        <f>'[01_Entry.xlsx]Pay'!F31</f>
        <v>empty</v>
      </c>
      <c r="F31" s="54" t="str">
        <f>'[01_Entry.xlsx]Pay'!I31</f>
        <v>empty</v>
      </c>
      <c r="G31" s="54">
        <f>'[01_Entry.xlsx]Pay'!M31</f>
        <v/>
      </c>
      <c r="H31" s="56" t="str">
        <f>'[01_Entry.xlsx]Pay'!K31</f>
        <v>empty</v>
      </c>
      <c r="I31" s="54" t="str">
        <f>'[01_Entry.xlsx]Pay'!L31</f>
        <v>empty</v>
      </c>
      <c r="J31" s="54">
        <f>IF(OR($C31="",$G31=""),"","—")</f>
        <v>0</v>
      </c>
      <c r="K31" s="54">
        <f>IF($C31="","",IF($I31="برگشتی","⚠ برگشت",IF($H31="در جریان","⏳ در جریان","✓")))</f>
        <v>0</v>
      </c>
    </row>
    <row r="32" spans="1:11" ht="21" customHeight="1">
      <c r="A32" s="54" t="str">
        <f>'[01_Entry.xlsx]Pay'!B32</f>
        <v>empty</v>
      </c>
      <c r="B32" s="54" t="str">
        <f>'[01_Entry.xlsx]Pay'!C32</f>
        <v>empty</v>
      </c>
      <c r="C32" s="54">
        <f>'[01_Entry.xlsx]Pay'!J32</f>
        <v/>
      </c>
      <c r="D32" s="54" t="str">
        <f>'[01_Entry.xlsx]Pay'!D32</f>
        <v>empty</v>
      </c>
      <c r="E32" s="55" t="str">
        <f>'[01_Entry.xlsx]Pay'!F32</f>
        <v>empty</v>
      </c>
      <c r="F32" s="54" t="str">
        <f>'[01_Entry.xlsx]Pay'!I32</f>
        <v>empty</v>
      </c>
      <c r="G32" s="54">
        <f>'[01_Entry.xlsx]Pay'!M32</f>
        <v/>
      </c>
      <c r="H32" s="56" t="str">
        <f>'[01_Entry.xlsx]Pay'!K32</f>
        <v>empty</v>
      </c>
      <c r="I32" s="54" t="str">
        <f>'[01_Entry.xlsx]Pay'!L32</f>
        <v>empty</v>
      </c>
      <c r="J32" s="54">
        <f>IF(OR($C32="",$G32=""),"","—")</f>
        <v>0</v>
      </c>
      <c r="K32" s="54">
        <f>IF($C32="","",IF($I32="برگشتی","⚠ برگشت",IF($H32="در جریان","⏳ در جریان","✓")))</f>
        <v>0</v>
      </c>
    </row>
    <row r="33" spans="1:11" ht="21" customHeight="1">
      <c r="A33" s="54" t="str">
        <f>'[01_Entry.xlsx]Pay'!B33</f>
        <v>empty</v>
      </c>
      <c r="B33" s="54" t="str">
        <f>'[01_Entry.xlsx]Pay'!C33</f>
        <v>empty</v>
      </c>
      <c r="C33" s="54">
        <f>'[01_Entry.xlsx]Pay'!J33</f>
        <v/>
      </c>
      <c r="D33" s="54" t="str">
        <f>'[01_Entry.xlsx]Pay'!D33</f>
        <v>empty</v>
      </c>
      <c r="E33" s="55" t="str">
        <f>'[01_Entry.xlsx]Pay'!F33</f>
        <v>empty</v>
      </c>
      <c r="F33" s="54" t="str">
        <f>'[01_Entry.xlsx]Pay'!I33</f>
        <v>empty</v>
      </c>
      <c r="G33" s="54">
        <f>'[01_Entry.xlsx]Pay'!M33</f>
        <v/>
      </c>
      <c r="H33" s="56" t="str">
        <f>'[01_Entry.xlsx]Pay'!K33</f>
        <v>empty</v>
      </c>
      <c r="I33" s="54" t="str">
        <f>'[01_Entry.xlsx]Pay'!L33</f>
        <v>empty</v>
      </c>
      <c r="J33" s="54">
        <f>IF(OR($C33="",$G33=""),"","—")</f>
        <v>0</v>
      </c>
      <c r="K33" s="54">
        <f>IF($C33="","",IF($I33="برگشتی","⚠ برگشت",IF($H33="در جریان","⏳ در جریان","✓")))</f>
        <v>0</v>
      </c>
    </row>
    <row r="34" spans="1:11" ht="21" customHeight="1">
      <c r="A34" s="54" t="str">
        <f>'[01_Entry.xlsx]Pay'!B34</f>
        <v>empty</v>
      </c>
      <c r="B34" s="54" t="str">
        <f>'[01_Entry.xlsx]Pay'!C34</f>
        <v>empty</v>
      </c>
      <c r="C34" s="54">
        <f>'[01_Entry.xlsx]Pay'!J34</f>
        <v/>
      </c>
      <c r="D34" s="54" t="str">
        <f>'[01_Entry.xlsx]Pay'!D34</f>
        <v>empty</v>
      </c>
      <c r="E34" s="55" t="str">
        <f>'[01_Entry.xlsx]Pay'!F34</f>
        <v>empty</v>
      </c>
      <c r="F34" s="54" t="str">
        <f>'[01_Entry.xlsx]Pay'!I34</f>
        <v>empty</v>
      </c>
      <c r="G34" s="54">
        <f>'[01_Entry.xlsx]Pay'!M34</f>
        <v/>
      </c>
      <c r="H34" s="56" t="str">
        <f>'[01_Entry.xlsx]Pay'!K34</f>
        <v>empty</v>
      </c>
      <c r="I34" s="54" t="str">
        <f>'[01_Entry.xlsx]Pay'!L34</f>
        <v>empty</v>
      </c>
      <c r="J34" s="54">
        <f>IF(OR($C34="",$G34=""),"","—")</f>
        <v>0</v>
      </c>
      <c r="K34" s="54">
        <f>IF($C34="","",IF($I34="برگشتی","⚠ برگشت",IF($H34="در جریان","⏳ در جریان","✓")))</f>
        <v>0</v>
      </c>
    </row>
    <row r="35" spans="1:11" ht="21" customHeight="1">
      <c r="A35" s="54" t="str">
        <f>'[01_Entry.xlsx]Pay'!B35</f>
        <v>empty</v>
      </c>
      <c r="B35" s="54" t="str">
        <f>'[01_Entry.xlsx]Pay'!C35</f>
        <v>empty</v>
      </c>
      <c r="C35" s="54">
        <f>'[01_Entry.xlsx]Pay'!J35</f>
        <v/>
      </c>
      <c r="D35" s="54" t="str">
        <f>'[01_Entry.xlsx]Pay'!D35</f>
        <v>empty</v>
      </c>
      <c r="E35" s="55" t="str">
        <f>'[01_Entry.xlsx]Pay'!F35</f>
        <v>empty</v>
      </c>
      <c r="F35" s="54" t="str">
        <f>'[01_Entry.xlsx]Pay'!I35</f>
        <v>empty</v>
      </c>
      <c r="G35" s="54">
        <f>'[01_Entry.xlsx]Pay'!M35</f>
        <v/>
      </c>
      <c r="H35" s="56" t="str">
        <f>'[01_Entry.xlsx]Pay'!K35</f>
        <v>empty</v>
      </c>
      <c r="I35" s="54" t="str">
        <f>'[01_Entry.xlsx]Pay'!L35</f>
        <v>empty</v>
      </c>
      <c r="J35" s="54">
        <f>IF(OR($C35="",$G35=""),"","—")</f>
        <v>0</v>
      </c>
      <c r="K35" s="54">
        <f>IF($C35="","",IF($I35="برگشتی","⚠ برگشت",IF($H35="در جریان","⏳ در جریان","✓")))</f>
        <v>0</v>
      </c>
    </row>
    <row r="36" spans="1:11" ht="21" customHeight="1">
      <c r="A36" s="54" t="str">
        <f>'[01_Entry.xlsx]Pay'!B36</f>
        <v>empty</v>
      </c>
      <c r="B36" s="54" t="str">
        <f>'[01_Entry.xlsx]Pay'!C36</f>
        <v>empty</v>
      </c>
      <c r="C36" s="54">
        <f>'[01_Entry.xlsx]Pay'!J36</f>
        <v/>
      </c>
      <c r="D36" s="54" t="str">
        <f>'[01_Entry.xlsx]Pay'!D36</f>
        <v>empty</v>
      </c>
      <c r="E36" s="55" t="str">
        <f>'[01_Entry.xlsx]Pay'!F36</f>
        <v>empty</v>
      </c>
      <c r="F36" s="54" t="str">
        <f>'[01_Entry.xlsx]Pay'!I36</f>
        <v>empty</v>
      </c>
      <c r="G36" s="54">
        <f>'[01_Entry.xlsx]Pay'!M36</f>
        <v/>
      </c>
      <c r="H36" s="56" t="str">
        <f>'[01_Entry.xlsx]Pay'!K36</f>
        <v>empty</v>
      </c>
      <c r="I36" s="54" t="str">
        <f>'[01_Entry.xlsx]Pay'!L36</f>
        <v>empty</v>
      </c>
      <c r="J36" s="54">
        <f>IF(OR($C36="",$G36=""),"","—")</f>
        <v>0</v>
      </c>
      <c r="K36" s="54">
        <f>IF($C36="","",IF($I36="برگشتی","⚠ برگشت",IF($H36="در جریان","⏳ در جریان","✓")))</f>
        <v>0</v>
      </c>
    </row>
    <row r="37" spans="1:11" ht="21" customHeight="1">
      <c r="A37" s="54" t="str">
        <f>'[01_Entry.xlsx]Pay'!B37</f>
        <v>empty</v>
      </c>
      <c r="B37" s="54" t="str">
        <f>'[01_Entry.xlsx]Pay'!C37</f>
        <v>empty</v>
      </c>
      <c r="C37" s="54">
        <f>'[01_Entry.xlsx]Pay'!J37</f>
        <v/>
      </c>
      <c r="D37" s="54" t="str">
        <f>'[01_Entry.xlsx]Pay'!D37</f>
        <v>empty</v>
      </c>
      <c r="E37" s="55" t="str">
        <f>'[01_Entry.xlsx]Pay'!F37</f>
        <v>empty</v>
      </c>
      <c r="F37" s="54" t="str">
        <f>'[01_Entry.xlsx]Pay'!I37</f>
        <v>empty</v>
      </c>
      <c r="G37" s="54">
        <f>'[01_Entry.xlsx]Pay'!M37</f>
        <v/>
      </c>
      <c r="H37" s="56" t="str">
        <f>'[01_Entry.xlsx]Pay'!K37</f>
        <v>empty</v>
      </c>
      <c r="I37" s="54" t="str">
        <f>'[01_Entry.xlsx]Pay'!L37</f>
        <v>empty</v>
      </c>
      <c r="J37" s="54">
        <f>IF(OR($C37="",$G37=""),"","—")</f>
        <v>0</v>
      </c>
      <c r="K37" s="54">
        <f>IF($C37="","",IF($I37="برگشتی","⚠ برگشت",IF($H37="در جریان","⏳ در جریان","✓")))</f>
        <v>0</v>
      </c>
    </row>
    <row r="38" spans="1:11" ht="21" customHeight="1">
      <c r="A38" s="54" t="str">
        <f>'[01_Entry.xlsx]Pay'!B38</f>
        <v>empty</v>
      </c>
      <c r="B38" s="54" t="str">
        <f>'[01_Entry.xlsx]Pay'!C38</f>
        <v>empty</v>
      </c>
      <c r="C38" s="54">
        <f>'[01_Entry.xlsx]Pay'!J38</f>
        <v/>
      </c>
      <c r="D38" s="54" t="str">
        <f>'[01_Entry.xlsx]Pay'!D38</f>
        <v>empty</v>
      </c>
      <c r="E38" s="55" t="str">
        <f>'[01_Entry.xlsx]Pay'!F38</f>
        <v>empty</v>
      </c>
      <c r="F38" s="54" t="str">
        <f>'[01_Entry.xlsx]Pay'!I38</f>
        <v>empty</v>
      </c>
      <c r="G38" s="54">
        <f>'[01_Entry.xlsx]Pay'!M38</f>
        <v/>
      </c>
      <c r="H38" s="56" t="str">
        <f>'[01_Entry.xlsx]Pay'!K38</f>
        <v>empty</v>
      </c>
      <c r="I38" s="54" t="str">
        <f>'[01_Entry.xlsx]Pay'!L38</f>
        <v>empty</v>
      </c>
      <c r="J38" s="54">
        <f>IF(OR($C38="",$G38=""),"","—")</f>
        <v>0</v>
      </c>
      <c r="K38" s="54">
        <f>IF($C38="","",IF($I38="برگشتی","⚠ برگشت",IF($H38="در جریان","⏳ در جریان","✓")))</f>
        <v>0</v>
      </c>
    </row>
    <row r="39" spans="1:11" ht="21" customHeight="1">
      <c r="A39" s="54" t="str">
        <f>'[01_Entry.xlsx]Pay'!B39</f>
        <v>empty</v>
      </c>
      <c r="B39" s="54" t="str">
        <f>'[01_Entry.xlsx]Pay'!C39</f>
        <v>empty</v>
      </c>
      <c r="C39" s="54">
        <f>'[01_Entry.xlsx]Pay'!J39</f>
        <v/>
      </c>
      <c r="D39" s="54" t="str">
        <f>'[01_Entry.xlsx]Pay'!D39</f>
        <v>empty</v>
      </c>
      <c r="E39" s="55" t="str">
        <f>'[01_Entry.xlsx]Pay'!F39</f>
        <v>empty</v>
      </c>
      <c r="F39" s="54" t="str">
        <f>'[01_Entry.xlsx]Pay'!I39</f>
        <v>empty</v>
      </c>
      <c r="G39" s="54">
        <f>'[01_Entry.xlsx]Pay'!M39</f>
        <v/>
      </c>
      <c r="H39" s="56" t="str">
        <f>'[01_Entry.xlsx]Pay'!K39</f>
        <v>empty</v>
      </c>
      <c r="I39" s="54" t="str">
        <f>'[01_Entry.xlsx]Pay'!L39</f>
        <v>empty</v>
      </c>
      <c r="J39" s="54">
        <f>IF(OR($C39="",$G39=""),"","—")</f>
        <v>0</v>
      </c>
      <c r="K39" s="54">
        <f>IF($C39="","",IF($I39="برگشتی","⚠ برگشت",IF($H39="در جریان","⏳ در جریان","✓")))</f>
        <v>0</v>
      </c>
    </row>
    <row r="40" spans="1:11" ht="21" customHeight="1">
      <c r="A40" s="54" t="str">
        <f>'[01_Entry.xlsx]Pay'!B40</f>
        <v>empty</v>
      </c>
      <c r="B40" s="54" t="str">
        <f>'[01_Entry.xlsx]Pay'!C40</f>
        <v>empty</v>
      </c>
      <c r="C40" s="54">
        <f>'[01_Entry.xlsx]Pay'!J40</f>
        <v/>
      </c>
      <c r="D40" s="54" t="str">
        <f>'[01_Entry.xlsx]Pay'!D40</f>
        <v>empty</v>
      </c>
      <c r="E40" s="55" t="str">
        <f>'[01_Entry.xlsx]Pay'!F40</f>
        <v>empty</v>
      </c>
      <c r="F40" s="54" t="str">
        <f>'[01_Entry.xlsx]Pay'!I40</f>
        <v>empty</v>
      </c>
      <c r="G40" s="54">
        <f>'[01_Entry.xlsx]Pay'!M40</f>
        <v/>
      </c>
      <c r="H40" s="56" t="str">
        <f>'[01_Entry.xlsx]Pay'!K40</f>
        <v>empty</v>
      </c>
      <c r="I40" s="54" t="str">
        <f>'[01_Entry.xlsx]Pay'!L40</f>
        <v>empty</v>
      </c>
      <c r="J40" s="54">
        <f>IF(OR($C40="",$G40=""),"","—")</f>
        <v>0</v>
      </c>
      <c r="K40" s="54">
        <f>IF($C40="","",IF($I40="برگشتی","⚠ برگشت",IF($H40="در جریان","⏳ در جریان","✓")))</f>
        <v>0</v>
      </c>
    </row>
    <row r="41" spans="1:11" ht="21" customHeight="1">
      <c r="A41" s="54" t="str">
        <f>'[01_Entry.xlsx]Pay'!B41</f>
        <v>empty</v>
      </c>
      <c r="B41" s="54" t="str">
        <f>'[01_Entry.xlsx]Pay'!C41</f>
        <v>empty</v>
      </c>
      <c r="C41" s="54">
        <f>'[01_Entry.xlsx]Pay'!J41</f>
        <v/>
      </c>
      <c r="D41" s="54" t="str">
        <f>'[01_Entry.xlsx]Pay'!D41</f>
        <v>empty</v>
      </c>
      <c r="E41" s="55" t="str">
        <f>'[01_Entry.xlsx]Pay'!F41</f>
        <v>empty</v>
      </c>
      <c r="F41" s="54" t="str">
        <f>'[01_Entry.xlsx]Pay'!I41</f>
        <v>empty</v>
      </c>
      <c r="G41" s="54">
        <f>'[01_Entry.xlsx]Pay'!M41</f>
        <v/>
      </c>
      <c r="H41" s="56" t="str">
        <f>'[01_Entry.xlsx]Pay'!K41</f>
        <v>empty</v>
      </c>
      <c r="I41" s="54" t="str">
        <f>'[01_Entry.xlsx]Pay'!L41</f>
        <v>empty</v>
      </c>
      <c r="J41" s="54">
        <f>IF(OR($C41="",$G41=""),"","—")</f>
        <v>0</v>
      </c>
      <c r="K41" s="54">
        <f>IF($C41="","",IF($I41="برگشتی","⚠ برگشت",IF($H41="در جریان","⏳ در جریان","✓")))</f>
        <v>0</v>
      </c>
    </row>
    <row r="42" spans="1:11" ht="21" customHeight="1">
      <c r="A42" s="54" t="str">
        <f>'[01_Entry.xlsx]Pay'!B42</f>
        <v>empty</v>
      </c>
      <c r="B42" s="54" t="str">
        <f>'[01_Entry.xlsx]Pay'!C42</f>
        <v>empty</v>
      </c>
      <c r="C42" s="54">
        <f>'[01_Entry.xlsx]Pay'!J42</f>
        <v/>
      </c>
      <c r="D42" s="54" t="str">
        <f>'[01_Entry.xlsx]Pay'!D42</f>
        <v>empty</v>
      </c>
      <c r="E42" s="55" t="str">
        <f>'[01_Entry.xlsx]Pay'!F42</f>
        <v>empty</v>
      </c>
      <c r="F42" s="54" t="str">
        <f>'[01_Entry.xlsx]Pay'!I42</f>
        <v>empty</v>
      </c>
      <c r="G42" s="54">
        <f>'[01_Entry.xlsx]Pay'!M42</f>
        <v/>
      </c>
      <c r="H42" s="56" t="str">
        <f>'[01_Entry.xlsx]Pay'!K42</f>
        <v>empty</v>
      </c>
      <c r="I42" s="54" t="str">
        <f>'[01_Entry.xlsx]Pay'!L42</f>
        <v>empty</v>
      </c>
      <c r="J42" s="54">
        <f>IF(OR($C42="",$G42=""),"","—")</f>
        <v>0</v>
      </c>
      <c r="K42" s="54">
        <f>IF($C42="","",IF($I42="برگشتی","⚠ برگشت",IF($H42="در جریان","⏳ در جریان","✓")))</f>
        <v>0</v>
      </c>
    </row>
    <row r="43" spans="1:11" ht="21" customHeight="1">
      <c r="A43" s="54" t="str">
        <f>'[01_Entry.xlsx]Pay'!B43</f>
        <v>empty</v>
      </c>
      <c r="B43" s="54" t="str">
        <f>'[01_Entry.xlsx]Pay'!C43</f>
        <v>empty</v>
      </c>
      <c r="C43" s="54">
        <f>'[01_Entry.xlsx]Pay'!J43</f>
        <v/>
      </c>
      <c r="D43" s="54" t="str">
        <f>'[01_Entry.xlsx]Pay'!D43</f>
        <v>empty</v>
      </c>
      <c r="E43" s="55" t="str">
        <f>'[01_Entry.xlsx]Pay'!F43</f>
        <v>empty</v>
      </c>
      <c r="F43" s="54" t="str">
        <f>'[01_Entry.xlsx]Pay'!I43</f>
        <v>empty</v>
      </c>
      <c r="G43" s="54">
        <f>'[01_Entry.xlsx]Pay'!M43</f>
        <v/>
      </c>
      <c r="H43" s="56" t="str">
        <f>'[01_Entry.xlsx]Pay'!K43</f>
        <v>empty</v>
      </c>
      <c r="I43" s="54" t="str">
        <f>'[01_Entry.xlsx]Pay'!L43</f>
        <v>empty</v>
      </c>
      <c r="J43" s="54">
        <f>IF(OR($C43="",$G43=""),"","—")</f>
        <v>0</v>
      </c>
      <c r="K43" s="54">
        <f>IF($C43="","",IF($I43="برگشتی","⚠ برگشت",IF($H43="در جریان","⏳ در جریان","✓")))</f>
        <v>0</v>
      </c>
    </row>
    <row r="44" spans="1:11" ht="21" customHeight="1">
      <c r="A44" s="54" t="str">
        <f>'[01_Entry.xlsx]Pay'!B44</f>
        <v>empty</v>
      </c>
      <c r="B44" s="54" t="str">
        <f>'[01_Entry.xlsx]Pay'!C44</f>
        <v>empty</v>
      </c>
      <c r="C44" s="54">
        <f>'[01_Entry.xlsx]Pay'!J44</f>
        <v/>
      </c>
      <c r="D44" s="54" t="str">
        <f>'[01_Entry.xlsx]Pay'!D44</f>
        <v>empty</v>
      </c>
      <c r="E44" s="55" t="str">
        <f>'[01_Entry.xlsx]Pay'!F44</f>
        <v>empty</v>
      </c>
      <c r="F44" s="54" t="str">
        <f>'[01_Entry.xlsx]Pay'!I44</f>
        <v>empty</v>
      </c>
      <c r="G44" s="54">
        <f>'[01_Entry.xlsx]Pay'!M44</f>
        <v/>
      </c>
      <c r="H44" s="56" t="str">
        <f>'[01_Entry.xlsx]Pay'!K44</f>
        <v>empty</v>
      </c>
      <c r="I44" s="54" t="str">
        <f>'[01_Entry.xlsx]Pay'!L44</f>
        <v>empty</v>
      </c>
      <c r="J44" s="54">
        <f>IF(OR($C44="",$G44=""),"","—")</f>
        <v>0</v>
      </c>
      <c r="K44" s="54">
        <f>IF($C44="","",IF($I44="برگشتی","⚠ برگشت",IF($H44="در جریان","⏳ در جریان","✓")))</f>
        <v>0</v>
      </c>
    </row>
    <row r="45" spans="1:11" ht="21" customHeight="1">
      <c r="A45" s="54" t="str">
        <f>'[01_Entry.xlsx]Pay'!B45</f>
        <v>empty</v>
      </c>
      <c r="B45" s="54" t="str">
        <f>'[01_Entry.xlsx]Pay'!C45</f>
        <v>empty</v>
      </c>
      <c r="C45" s="54">
        <f>'[01_Entry.xlsx]Pay'!J45</f>
        <v/>
      </c>
      <c r="D45" s="54" t="str">
        <f>'[01_Entry.xlsx]Pay'!D45</f>
        <v>empty</v>
      </c>
      <c r="E45" s="55" t="str">
        <f>'[01_Entry.xlsx]Pay'!F45</f>
        <v>empty</v>
      </c>
      <c r="F45" s="54" t="str">
        <f>'[01_Entry.xlsx]Pay'!I45</f>
        <v>empty</v>
      </c>
      <c r="G45" s="54">
        <f>'[01_Entry.xlsx]Pay'!M45</f>
        <v/>
      </c>
      <c r="H45" s="56" t="str">
        <f>'[01_Entry.xlsx]Pay'!K45</f>
        <v>empty</v>
      </c>
      <c r="I45" s="54" t="str">
        <f>'[01_Entry.xlsx]Pay'!L45</f>
        <v>empty</v>
      </c>
      <c r="J45" s="54">
        <f>IF(OR($C45="",$G45=""),"","—")</f>
        <v>0</v>
      </c>
      <c r="K45" s="54">
        <f>IF($C45="","",IF($I45="برگشتی","⚠ برگشت",IF($H45="در جریان","⏳ در جریان","✓")))</f>
        <v>0</v>
      </c>
    </row>
    <row r="46" spans="1:11" ht="21" customHeight="1">
      <c r="A46" s="54" t="str">
        <f>'[01_Entry.xlsx]Pay'!B46</f>
        <v>empty</v>
      </c>
      <c r="B46" s="54" t="str">
        <f>'[01_Entry.xlsx]Pay'!C46</f>
        <v>empty</v>
      </c>
      <c r="C46" s="54">
        <f>'[01_Entry.xlsx]Pay'!J46</f>
        <v/>
      </c>
      <c r="D46" s="54" t="str">
        <f>'[01_Entry.xlsx]Pay'!D46</f>
        <v>empty</v>
      </c>
      <c r="E46" s="55" t="str">
        <f>'[01_Entry.xlsx]Pay'!F46</f>
        <v>empty</v>
      </c>
      <c r="F46" s="54" t="str">
        <f>'[01_Entry.xlsx]Pay'!I46</f>
        <v>empty</v>
      </c>
      <c r="G46" s="54">
        <f>'[01_Entry.xlsx]Pay'!M46</f>
        <v/>
      </c>
      <c r="H46" s="56" t="str">
        <f>'[01_Entry.xlsx]Pay'!K46</f>
        <v>empty</v>
      </c>
      <c r="I46" s="54" t="str">
        <f>'[01_Entry.xlsx]Pay'!L46</f>
        <v>empty</v>
      </c>
      <c r="J46" s="54">
        <f>IF(OR($C46="",$G46=""),"","—")</f>
        <v>0</v>
      </c>
      <c r="K46" s="54">
        <f>IF($C46="","",IF($I46="برگشتی","⚠ برگشت",IF($H46="در جریان","⏳ در جریان","✓")))</f>
        <v>0</v>
      </c>
    </row>
    <row r="47" spans="1:11" ht="21" customHeight="1">
      <c r="A47" s="54" t="str">
        <f>'[01_Entry.xlsx]Pay'!B47</f>
        <v>empty</v>
      </c>
      <c r="B47" s="54" t="str">
        <f>'[01_Entry.xlsx]Pay'!C47</f>
        <v>empty</v>
      </c>
      <c r="C47" s="54">
        <f>'[01_Entry.xlsx]Pay'!J47</f>
        <v/>
      </c>
      <c r="D47" s="54" t="str">
        <f>'[01_Entry.xlsx]Pay'!D47</f>
        <v>empty</v>
      </c>
      <c r="E47" s="55" t="str">
        <f>'[01_Entry.xlsx]Pay'!F47</f>
        <v>empty</v>
      </c>
      <c r="F47" s="54" t="str">
        <f>'[01_Entry.xlsx]Pay'!I47</f>
        <v>empty</v>
      </c>
      <c r="G47" s="54">
        <f>'[01_Entry.xlsx]Pay'!M47</f>
        <v/>
      </c>
      <c r="H47" s="56" t="str">
        <f>'[01_Entry.xlsx]Pay'!K47</f>
        <v>empty</v>
      </c>
      <c r="I47" s="54" t="str">
        <f>'[01_Entry.xlsx]Pay'!L47</f>
        <v>empty</v>
      </c>
      <c r="J47" s="54">
        <f>IF(OR($C47="",$G47=""),"","—")</f>
        <v>0</v>
      </c>
      <c r="K47" s="54">
        <f>IF($C47="","",IF($I47="برگشتی","⚠ برگشت",IF($H47="در جریان","⏳ در جریان","✓")))</f>
        <v>0</v>
      </c>
    </row>
    <row r="48" spans="1:11" ht="21" customHeight="1">
      <c r="A48" s="54" t="str">
        <f>'[01_Entry.xlsx]Pay'!B48</f>
        <v>empty</v>
      </c>
      <c r="B48" s="54" t="str">
        <f>'[01_Entry.xlsx]Pay'!C48</f>
        <v>empty</v>
      </c>
      <c r="C48" s="54">
        <f>'[01_Entry.xlsx]Pay'!J48</f>
        <v/>
      </c>
      <c r="D48" s="54" t="str">
        <f>'[01_Entry.xlsx]Pay'!D48</f>
        <v>empty</v>
      </c>
      <c r="E48" s="55" t="str">
        <f>'[01_Entry.xlsx]Pay'!F48</f>
        <v>empty</v>
      </c>
      <c r="F48" s="54" t="str">
        <f>'[01_Entry.xlsx]Pay'!I48</f>
        <v>empty</v>
      </c>
      <c r="G48" s="54">
        <f>'[01_Entry.xlsx]Pay'!M48</f>
        <v/>
      </c>
      <c r="H48" s="56" t="str">
        <f>'[01_Entry.xlsx]Pay'!K48</f>
        <v>empty</v>
      </c>
      <c r="I48" s="54" t="str">
        <f>'[01_Entry.xlsx]Pay'!L48</f>
        <v>empty</v>
      </c>
      <c r="J48" s="54">
        <f>IF(OR($C48="",$G48=""),"","—")</f>
        <v>0</v>
      </c>
      <c r="K48" s="54">
        <f>IF($C48="","",IF($I48="برگشتی","⚠ برگشت",IF($H48="در جریان","⏳ در جریان","✓")))</f>
        <v>0</v>
      </c>
    </row>
    <row r="49" spans="1:11" ht="21" customHeight="1">
      <c r="A49" s="54" t="str">
        <f>'[01_Entry.xlsx]Pay'!B49</f>
        <v>empty</v>
      </c>
      <c r="B49" s="54" t="str">
        <f>'[01_Entry.xlsx]Pay'!C49</f>
        <v>empty</v>
      </c>
      <c r="C49" s="54">
        <f>'[01_Entry.xlsx]Pay'!J49</f>
        <v/>
      </c>
      <c r="D49" s="54" t="str">
        <f>'[01_Entry.xlsx]Pay'!D49</f>
        <v>empty</v>
      </c>
      <c r="E49" s="55" t="str">
        <f>'[01_Entry.xlsx]Pay'!F49</f>
        <v>empty</v>
      </c>
      <c r="F49" s="54" t="str">
        <f>'[01_Entry.xlsx]Pay'!I49</f>
        <v>empty</v>
      </c>
      <c r="G49" s="54">
        <f>'[01_Entry.xlsx]Pay'!M49</f>
        <v/>
      </c>
      <c r="H49" s="56" t="str">
        <f>'[01_Entry.xlsx]Pay'!K49</f>
        <v>empty</v>
      </c>
      <c r="I49" s="54" t="str">
        <f>'[01_Entry.xlsx]Pay'!L49</f>
        <v>empty</v>
      </c>
      <c r="J49" s="54">
        <f>IF(OR($C49="",$G49=""),"","—")</f>
        <v>0</v>
      </c>
      <c r="K49" s="54">
        <f>IF($C49="","",IF($I49="برگشتی","⚠ برگشت",IF($H49="در جریان","⏳ در جریان","✓")))</f>
        <v>0</v>
      </c>
    </row>
    <row r="50" spans="1:11" ht="21" customHeight="1">
      <c r="A50" s="54" t="str">
        <f>'[01_Entry.xlsx]Pay'!B50</f>
        <v>empty</v>
      </c>
      <c r="B50" s="54" t="str">
        <f>'[01_Entry.xlsx]Pay'!C50</f>
        <v>empty</v>
      </c>
      <c r="C50" s="54">
        <f>'[01_Entry.xlsx]Pay'!J50</f>
        <v/>
      </c>
      <c r="D50" s="54" t="str">
        <f>'[01_Entry.xlsx]Pay'!D50</f>
        <v>empty</v>
      </c>
      <c r="E50" s="55" t="str">
        <f>'[01_Entry.xlsx]Pay'!F50</f>
        <v>empty</v>
      </c>
      <c r="F50" s="54" t="str">
        <f>'[01_Entry.xlsx]Pay'!I50</f>
        <v>empty</v>
      </c>
      <c r="G50" s="54">
        <f>'[01_Entry.xlsx]Pay'!M50</f>
        <v/>
      </c>
      <c r="H50" s="56" t="str">
        <f>'[01_Entry.xlsx]Pay'!K50</f>
        <v>empty</v>
      </c>
      <c r="I50" s="54" t="str">
        <f>'[01_Entry.xlsx]Pay'!L50</f>
        <v>empty</v>
      </c>
      <c r="J50" s="54">
        <f>IF(OR($C50="",$G50=""),"","—")</f>
        <v>0</v>
      </c>
      <c r="K50" s="54">
        <f>IF($C50="","",IF($I50="برگشتی","⚠ برگشت",IF($H50="در جریان","⏳ در جریان","✓")))</f>
        <v>0</v>
      </c>
    </row>
    <row r="51" spans="1:11" ht="21" customHeight="1">
      <c r="A51" s="54" t="str">
        <f>'[01_Entry.xlsx]Pay'!B51</f>
        <v>empty</v>
      </c>
      <c r="B51" s="54" t="str">
        <f>'[01_Entry.xlsx]Pay'!C51</f>
        <v>empty</v>
      </c>
      <c r="C51" s="54">
        <f>'[01_Entry.xlsx]Pay'!J51</f>
        <v/>
      </c>
      <c r="D51" s="54" t="str">
        <f>'[01_Entry.xlsx]Pay'!D51</f>
        <v>empty</v>
      </c>
      <c r="E51" s="55" t="str">
        <f>'[01_Entry.xlsx]Pay'!F51</f>
        <v>empty</v>
      </c>
      <c r="F51" s="54" t="str">
        <f>'[01_Entry.xlsx]Pay'!I51</f>
        <v>empty</v>
      </c>
      <c r="G51" s="54">
        <f>'[01_Entry.xlsx]Pay'!M51</f>
        <v/>
      </c>
      <c r="H51" s="56" t="str">
        <f>'[01_Entry.xlsx]Pay'!K51</f>
        <v>empty</v>
      </c>
      <c r="I51" s="54" t="str">
        <f>'[01_Entry.xlsx]Pay'!L51</f>
        <v>empty</v>
      </c>
      <c r="J51" s="54">
        <f>IF(OR($C51="",$G51=""),"","—")</f>
        <v>0</v>
      </c>
      <c r="K51" s="54">
        <f>IF($C51="","",IF($I51="برگشتی","⚠ برگشت",IF($H51="در جریان","⏳ در جریان","✓")))</f>
        <v>0</v>
      </c>
    </row>
    <row r="52" spans="1:11" ht="21" customHeight="1">
      <c r="A52" s="54" t="str">
        <f>'[01_Entry.xlsx]Pay'!B52</f>
        <v>empty</v>
      </c>
      <c r="B52" s="54" t="str">
        <f>'[01_Entry.xlsx]Pay'!C52</f>
        <v>empty</v>
      </c>
      <c r="C52" s="54">
        <f>'[01_Entry.xlsx]Pay'!J52</f>
        <v/>
      </c>
      <c r="D52" s="54" t="str">
        <f>'[01_Entry.xlsx]Pay'!D52</f>
        <v>empty</v>
      </c>
      <c r="E52" s="55" t="str">
        <f>'[01_Entry.xlsx]Pay'!F52</f>
        <v>empty</v>
      </c>
      <c r="F52" s="54" t="str">
        <f>'[01_Entry.xlsx]Pay'!I52</f>
        <v>empty</v>
      </c>
      <c r="G52" s="54">
        <f>'[01_Entry.xlsx]Pay'!M52</f>
        <v/>
      </c>
      <c r="H52" s="56" t="str">
        <f>'[01_Entry.xlsx]Pay'!K52</f>
        <v>empty</v>
      </c>
      <c r="I52" s="54" t="str">
        <f>'[01_Entry.xlsx]Pay'!L52</f>
        <v>empty</v>
      </c>
      <c r="J52" s="54">
        <f>IF(OR($C52="",$G52=""),"","—")</f>
        <v>0</v>
      </c>
      <c r="K52" s="54">
        <f>IF($C52="","",IF($I52="برگشتی","⚠ برگشت",IF($H52="در جریان","⏳ در جریان","✓")))</f>
        <v>0</v>
      </c>
    </row>
    <row r="53" spans="1:11" ht="21" customHeight="1">
      <c r="A53" s="54" t="str">
        <f>'[01_Entry.xlsx]Pay'!B53</f>
        <v>empty</v>
      </c>
      <c r="B53" s="54" t="str">
        <f>'[01_Entry.xlsx]Pay'!C53</f>
        <v>empty</v>
      </c>
      <c r="C53" s="54">
        <f>'[01_Entry.xlsx]Pay'!J53</f>
        <v/>
      </c>
      <c r="D53" s="54" t="str">
        <f>'[01_Entry.xlsx]Pay'!D53</f>
        <v>empty</v>
      </c>
      <c r="E53" s="55" t="str">
        <f>'[01_Entry.xlsx]Pay'!F53</f>
        <v>empty</v>
      </c>
      <c r="F53" s="54" t="str">
        <f>'[01_Entry.xlsx]Pay'!I53</f>
        <v>empty</v>
      </c>
      <c r="G53" s="54">
        <f>'[01_Entry.xlsx]Pay'!M53</f>
        <v/>
      </c>
      <c r="H53" s="56" t="str">
        <f>'[01_Entry.xlsx]Pay'!K53</f>
        <v>empty</v>
      </c>
      <c r="I53" s="54" t="str">
        <f>'[01_Entry.xlsx]Pay'!L53</f>
        <v>empty</v>
      </c>
      <c r="J53" s="54">
        <f>IF(OR($C53="",$G53=""),"","—")</f>
        <v>0</v>
      </c>
      <c r="K53" s="54">
        <f>IF($C53="","",IF($I53="برگشتی","⚠ برگشت",IF($H53="در جریان","⏳ در جریان","✓")))</f>
        <v>0</v>
      </c>
    </row>
    <row r="54" spans="1:11" ht="21" customHeight="1">
      <c r="A54" s="54" t="str">
        <f>'[01_Entry.xlsx]Pay'!B54</f>
        <v>empty</v>
      </c>
      <c r="B54" s="54" t="str">
        <f>'[01_Entry.xlsx]Pay'!C54</f>
        <v>empty</v>
      </c>
      <c r="C54" s="54">
        <f>'[01_Entry.xlsx]Pay'!J54</f>
        <v/>
      </c>
      <c r="D54" s="54" t="str">
        <f>'[01_Entry.xlsx]Pay'!D54</f>
        <v>empty</v>
      </c>
      <c r="E54" s="55" t="str">
        <f>'[01_Entry.xlsx]Pay'!F54</f>
        <v>empty</v>
      </c>
      <c r="F54" s="54" t="str">
        <f>'[01_Entry.xlsx]Pay'!I54</f>
        <v>empty</v>
      </c>
      <c r="G54" s="54">
        <f>'[01_Entry.xlsx]Pay'!M54</f>
        <v/>
      </c>
      <c r="H54" s="56" t="str">
        <f>'[01_Entry.xlsx]Pay'!K54</f>
        <v>empty</v>
      </c>
      <c r="I54" s="54" t="str">
        <f>'[01_Entry.xlsx]Pay'!L54</f>
        <v>empty</v>
      </c>
      <c r="J54" s="54">
        <f>IF(OR($C54="",$G54=""),"","—")</f>
        <v>0</v>
      </c>
      <c r="K54" s="54">
        <f>IF($C54="","",IF($I54="برگشتی","⚠ برگشت",IF($H54="در جریان","⏳ در جریان","✓")))</f>
        <v>0</v>
      </c>
    </row>
    <row r="55" spans="1:11" ht="21" customHeight="1">
      <c r="A55" s="54" t="str">
        <f>'[01_Entry.xlsx]Pay'!B55</f>
        <v>empty</v>
      </c>
      <c r="B55" s="54" t="str">
        <f>'[01_Entry.xlsx]Pay'!C55</f>
        <v>empty</v>
      </c>
      <c r="C55" s="54">
        <f>'[01_Entry.xlsx]Pay'!J55</f>
        <v/>
      </c>
      <c r="D55" s="54" t="str">
        <f>'[01_Entry.xlsx]Pay'!D55</f>
        <v>empty</v>
      </c>
      <c r="E55" s="55" t="str">
        <f>'[01_Entry.xlsx]Pay'!F55</f>
        <v>empty</v>
      </c>
      <c r="F55" s="54" t="str">
        <f>'[01_Entry.xlsx]Pay'!I55</f>
        <v>empty</v>
      </c>
      <c r="G55" s="54">
        <f>'[01_Entry.xlsx]Pay'!M55</f>
        <v/>
      </c>
      <c r="H55" s="56" t="str">
        <f>'[01_Entry.xlsx]Pay'!K55</f>
        <v>empty</v>
      </c>
      <c r="I55" s="54" t="str">
        <f>'[01_Entry.xlsx]Pay'!L55</f>
        <v>empty</v>
      </c>
      <c r="J55" s="54">
        <f>IF(OR($C55="",$G55=""),"","—")</f>
        <v>0</v>
      </c>
      <c r="K55" s="54">
        <f>IF($C55="","",IF($I55="برگشتی","⚠ برگشت",IF($H55="در جریان","⏳ در جریان","✓")))</f>
        <v>0</v>
      </c>
    </row>
    <row r="56" spans="1:11" ht="21" customHeight="1">
      <c r="A56" s="54" t="str">
        <f>'[01_Entry.xlsx]Pay'!B56</f>
        <v>empty</v>
      </c>
      <c r="B56" s="54" t="str">
        <f>'[01_Entry.xlsx]Pay'!C56</f>
        <v>empty</v>
      </c>
      <c r="C56" s="54">
        <f>'[01_Entry.xlsx]Pay'!J56</f>
        <v/>
      </c>
      <c r="D56" s="54" t="str">
        <f>'[01_Entry.xlsx]Pay'!D56</f>
        <v>empty</v>
      </c>
      <c r="E56" s="55" t="str">
        <f>'[01_Entry.xlsx]Pay'!F56</f>
        <v>empty</v>
      </c>
      <c r="F56" s="54" t="str">
        <f>'[01_Entry.xlsx]Pay'!I56</f>
        <v>empty</v>
      </c>
      <c r="G56" s="54">
        <f>'[01_Entry.xlsx]Pay'!M56</f>
        <v/>
      </c>
      <c r="H56" s="56" t="str">
        <f>'[01_Entry.xlsx]Pay'!K56</f>
        <v>empty</v>
      </c>
      <c r="I56" s="54" t="str">
        <f>'[01_Entry.xlsx]Pay'!L56</f>
        <v>empty</v>
      </c>
      <c r="J56" s="54">
        <f>IF(OR($C56="",$G56=""),"","—")</f>
        <v>0</v>
      </c>
      <c r="K56" s="54">
        <f>IF($C56="","",IF($I56="برگشتی","⚠ برگشت",IF($H56="در جریان","⏳ در جریان","✓")))</f>
        <v>0</v>
      </c>
    </row>
    <row r="57" spans="1:11" ht="21" customHeight="1">
      <c r="A57" s="54" t="str">
        <f>'[01_Entry.xlsx]Pay'!B57</f>
        <v>empty</v>
      </c>
      <c r="B57" s="54" t="str">
        <f>'[01_Entry.xlsx]Pay'!C57</f>
        <v>empty</v>
      </c>
      <c r="C57" s="54">
        <f>'[01_Entry.xlsx]Pay'!J57</f>
        <v/>
      </c>
      <c r="D57" s="54" t="str">
        <f>'[01_Entry.xlsx]Pay'!D57</f>
        <v>empty</v>
      </c>
      <c r="E57" s="55" t="str">
        <f>'[01_Entry.xlsx]Pay'!F57</f>
        <v>empty</v>
      </c>
      <c r="F57" s="54" t="str">
        <f>'[01_Entry.xlsx]Pay'!I57</f>
        <v>empty</v>
      </c>
      <c r="G57" s="54">
        <f>'[01_Entry.xlsx]Pay'!M57</f>
        <v/>
      </c>
      <c r="H57" s="56" t="str">
        <f>'[01_Entry.xlsx]Pay'!K57</f>
        <v>empty</v>
      </c>
      <c r="I57" s="54" t="str">
        <f>'[01_Entry.xlsx]Pay'!L57</f>
        <v>empty</v>
      </c>
      <c r="J57" s="54">
        <f>IF(OR($C57="",$G57=""),"","—")</f>
        <v>0</v>
      </c>
      <c r="K57" s="54">
        <f>IF($C57="","",IF($I57="برگشتی","⚠ برگشت",IF($H57="در جریان","⏳ در جریان","✓")))</f>
        <v>0</v>
      </c>
    </row>
    <row r="58" spans="1:11" ht="21" customHeight="1">
      <c r="A58" s="54" t="str">
        <f>'[01_Entry.xlsx]Pay'!B58</f>
        <v>empty</v>
      </c>
      <c r="B58" s="54" t="str">
        <f>'[01_Entry.xlsx]Pay'!C58</f>
        <v>empty</v>
      </c>
      <c r="C58" s="54">
        <f>'[01_Entry.xlsx]Pay'!J58</f>
        <v/>
      </c>
      <c r="D58" s="54" t="str">
        <f>'[01_Entry.xlsx]Pay'!D58</f>
        <v>empty</v>
      </c>
      <c r="E58" s="55" t="str">
        <f>'[01_Entry.xlsx]Pay'!F58</f>
        <v>empty</v>
      </c>
      <c r="F58" s="54" t="str">
        <f>'[01_Entry.xlsx]Pay'!I58</f>
        <v>empty</v>
      </c>
      <c r="G58" s="54">
        <f>'[01_Entry.xlsx]Pay'!M58</f>
        <v/>
      </c>
      <c r="H58" s="56" t="str">
        <f>'[01_Entry.xlsx]Pay'!K58</f>
        <v>empty</v>
      </c>
      <c r="I58" s="54" t="str">
        <f>'[01_Entry.xlsx]Pay'!L58</f>
        <v>empty</v>
      </c>
      <c r="J58" s="54">
        <f>IF(OR($C58="",$G58=""),"","—")</f>
        <v>0</v>
      </c>
      <c r="K58" s="54">
        <f>IF($C58="","",IF($I58="برگشتی","⚠ برگشت",IF($H58="در جریان","⏳ در جریان","✓")))</f>
        <v>0</v>
      </c>
    </row>
    <row r="59" spans="1:11" ht="21" customHeight="1">
      <c r="A59" s="54" t="str">
        <f>'[01_Entry.xlsx]Pay'!B59</f>
        <v>empty</v>
      </c>
      <c r="B59" s="54" t="str">
        <f>'[01_Entry.xlsx]Pay'!C59</f>
        <v>empty</v>
      </c>
      <c r="C59" s="54">
        <f>'[01_Entry.xlsx]Pay'!J59</f>
        <v/>
      </c>
      <c r="D59" s="54" t="str">
        <f>'[01_Entry.xlsx]Pay'!D59</f>
        <v>empty</v>
      </c>
      <c r="E59" s="55" t="str">
        <f>'[01_Entry.xlsx]Pay'!F59</f>
        <v>empty</v>
      </c>
      <c r="F59" s="54" t="str">
        <f>'[01_Entry.xlsx]Pay'!I59</f>
        <v>empty</v>
      </c>
      <c r="G59" s="54">
        <f>'[01_Entry.xlsx]Pay'!M59</f>
        <v/>
      </c>
      <c r="H59" s="56" t="str">
        <f>'[01_Entry.xlsx]Pay'!K59</f>
        <v>empty</v>
      </c>
      <c r="I59" s="54" t="str">
        <f>'[01_Entry.xlsx]Pay'!L59</f>
        <v>empty</v>
      </c>
      <c r="J59" s="54">
        <f>IF(OR($C59="",$G59=""),"","—")</f>
        <v>0</v>
      </c>
      <c r="K59" s="54">
        <f>IF($C59="","",IF($I59="برگشتی","⚠ برگشت",IF($H59="در جریان","⏳ در جریان","✓")))</f>
        <v>0</v>
      </c>
    </row>
    <row r="60" spans="1:11" ht="21" customHeight="1">
      <c r="A60" s="54" t="str">
        <f>'[01_Entry.xlsx]Pay'!B60</f>
        <v>empty</v>
      </c>
      <c r="B60" s="54" t="str">
        <f>'[01_Entry.xlsx]Pay'!C60</f>
        <v>empty</v>
      </c>
      <c r="C60" s="54">
        <f>'[01_Entry.xlsx]Pay'!J60</f>
        <v/>
      </c>
      <c r="D60" s="54" t="str">
        <f>'[01_Entry.xlsx]Pay'!D60</f>
        <v>empty</v>
      </c>
      <c r="E60" s="55" t="str">
        <f>'[01_Entry.xlsx]Pay'!F60</f>
        <v>empty</v>
      </c>
      <c r="F60" s="54" t="str">
        <f>'[01_Entry.xlsx]Pay'!I60</f>
        <v>empty</v>
      </c>
      <c r="G60" s="54">
        <f>'[01_Entry.xlsx]Pay'!M60</f>
        <v/>
      </c>
      <c r="H60" s="56" t="str">
        <f>'[01_Entry.xlsx]Pay'!K60</f>
        <v>empty</v>
      </c>
      <c r="I60" s="54" t="str">
        <f>'[01_Entry.xlsx]Pay'!L60</f>
        <v>empty</v>
      </c>
      <c r="J60" s="54">
        <f>IF(OR($C60="",$G60=""),"","—")</f>
        <v>0</v>
      </c>
      <c r="K60" s="54">
        <f>IF($C60="","",IF($I60="برگشتی","⚠ برگشت",IF($H60="در جریان","⏳ در جریان","✓")))</f>
        <v>0</v>
      </c>
    </row>
    <row r="61" spans="1:11" ht="21" customHeight="1">
      <c r="A61" s="54" t="str">
        <f>'[01_Entry.xlsx]Pay'!B61</f>
        <v>empty</v>
      </c>
      <c r="B61" s="54" t="str">
        <f>'[01_Entry.xlsx]Pay'!C61</f>
        <v>empty</v>
      </c>
      <c r="C61" s="54">
        <f>'[01_Entry.xlsx]Pay'!J61</f>
        <v/>
      </c>
      <c r="D61" s="54" t="str">
        <f>'[01_Entry.xlsx]Pay'!D61</f>
        <v>empty</v>
      </c>
      <c r="E61" s="55" t="str">
        <f>'[01_Entry.xlsx]Pay'!F61</f>
        <v>empty</v>
      </c>
      <c r="F61" s="54" t="str">
        <f>'[01_Entry.xlsx]Pay'!I61</f>
        <v>empty</v>
      </c>
      <c r="G61" s="54">
        <f>'[01_Entry.xlsx]Pay'!M61</f>
        <v/>
      </c>
      <c r="H61" s="56" t="str">
        <f>'[01_Entry.xlsx]Pay'!K61</f>
        <v>empty</v>
      </c>
      <c r="I61" s="54" t="str">
        <f>'[01_Entry.xlsx]Pay'!L61</f>
        <v>empty</v>
      </c>
      <c r="J61" s="54">
        <f>IF(OR($C61="",$G61=""),"","—")</f>
        <v>0</v>
      </c>
      <c r="K61" s="54">
        <f>IF($C61="","",IF($I61="برگشتی","⚠ برگشت",IF($H61="در جریان","⏳ در جریان","✓")))</f>
        <v>0</v>
      </c>
    </row>
    <row r="62" spans="1:11" ht="21" customHeight="1">
      <c r="A62" s="54" t="str">
        <f>'[01_Entry.xlsx]Pay'!B62</f>
        <v>empty</v>
      </c>
      <c r="B62" s="54" t="str">
        <f>'[01_Entry.xlsx]Pay'!C62</f>
        <v>empty</v>
      </c>
      <c r="C62" s="54">
        <f>'[01_Entry.xlsx]Pay'!J62</f>
        <v/>
      </c>
      <c r="D62" s="54" t="str">
        <f>'[01_Entry.xlsx]Pay'!D62</f>
        <v>empty</v>
      </c>
      <c r="E62" s="55" t="str">
        <f>'[01_Entry.xlsx]Pay'!F62</f>
        <v>empty</v>
      </c>
      <c r="F62" s="54" t="str">
        <f>'[01_Entry.xlsx]Pay'!I62</f>
        <v>empty</v>
      </c>
      <c r="G62" s="54">
        <f>'[01_Entry.xlsx]Pay'!M62</f>
        <v/>
      </c>
      <c r="H62" s="56" t="str">
        <f>'[01_Entry.xlsx]Pay'!K62</f>
        <v>empty</v>
      </c>
      <c r="I62" s="54" t="str">
        <f>'[01_Entry.xlsx]Pay'!L62</f>
        <v>empty</v>
      </c>
      <c r="J62" s="54">
        <f>IF(OR($C62="",$G62=""),"","—")</f>
        <v>0</v>
      </c>
      <c r="K62" s="54">
        <f>IF($C62="","",IF($I62="برگشتی","⚠ برگشت",IF($H62="در جریان","⏳ در جریان","✓")))</f>
        <v>0</v>
      </c>
    </row>
    <row r="63" spans="1:11" ht="21" customHeight="1">
      <c r="A63" s="54" t="str">
        <f>'[01_Entry.xlsx]Pay'!B63</f>
        <v>empty</v>
      </c>
      <c r="B63" s="54" t="str">
        <f>'[01_Entry.xlsx]Pay'!C63</f>
        <v>empty</v>
      </c>
      <c r="C63" s="54">
        <f>'[01_Entry.xlsx]Pay'!J63</f>
        <v/>
      </c>
      <c r="D63" s="54" t="str">
        <f>'[01_Entry.xlsx]Pay'!D63</f>
        <v>empty</v>
      </c>
      <c r="E63" s="55" t="str">
        <f>'[01_Entry.xlsx]Pay'!F63</f>
        <v>empty</v>
      </c>
      <c r="F63" s="54" t="str">
        <f>'[01_Entry.xlsx]Pay'!I63</f>
        <v>empty</v>
      </c>
      <c r="G63" s="54">
        <f>'[01_Entry.xlsx]Pay'!M63</f>
        <v/>
      </c>
      <c r="H63" s="56" t="str">
        <f>'[01_Entry.xlsx]Pay'!K63</f>
        <v>empty</v>
      </c>
      <c r="I63" s="54" t="str">
        <f>'[01_Entry.xlsx]Pay'!L63</f>
        <v>empty</v>
      </c>
      <c r="J63" s="54">
        <f>IF(OR($C63="",$G63=""),"","—")</f>
        <v>0</v>
      </c>
      <c r="K63" s="54">
        <f>IF($C63="","",IF($I63="برگشتی","⚠ برگشت",IF($H63="در جریان","⏳ در جریان","✓")))</f>
        <v>0</v>
      </c>
    </row>
    <row r="64" spans="1:11" ht="21" customHeight="1">
      <c r="A64" s="54" t="str">
        <f>'[01_Entry.xlsx]Pay'!B64</f>
        <v>empty</v>
      </c>
      <c r="B64" s="54" t="str">
        <f>'[01_Entry.xlsx]Pay'!C64</f>
        <v>empty</v>
      </c>
      <c r="C64" s="54">
        <f>'[01_Entry.xlsx]Pay'!J64</f>
        <v/>
      </c>
      <c r="D64" s="54" t="str">
        <f>'[01_Entry.xlsx]Pay'!D64</f>
        <v>empty</v>
      </c>
      <c r="E64" s="55" t="str">
        <f>'[01_Entry.xlsx]Pay'!F64</f>
        <v>empty</v>
      </c>
      <c r="F64" s="54" t="str">
        <f>'[01_Entry.xlsx]Pay'!I64</f>
        <v>empty</v>
      </c>
      <c r="G64" s="54">
        <f>'[01_Entry.xlsx]Pay'!M64</f>
        <v/>
      </c>
      <c r="H64" s="56" t="str">
        <f>'[01_Entry.xlsx]Pay'!K64</f>
        <v>empty</v>
      </c>
      <c r="I64" s="54" t="str">
        <f>'[01_Entry.xlsx]Pay'!L64</f>
        <v>empty</v>
      </c>
      <c r="J64" s="54">
        <f>IF(OR($C64="",$G64=""),"","—")</f>
        <v>0</v>
      </c>
      <c r="K64" s="54">
        <f>IF($C64="","",IF($I64="برگشتی","⚠ برگشت",IF($H64="در جریان","⏳ در جریان","✓")))</f>
        <v>0</v>
      </c>
    </row>
    <row r="65" spans="1:11" ht="21" customHeight="1">
      <c r="A65" s="54" t="str">
        <f>'[01_Entry.xlsx]Pay'!B65</f>
        <v>empty</v>
      </c>
      <c r="B65" s="54" t="str">
        <f>'[01_Entry.xlsx]Pay'!C65</f>
        <v>empty</v>
      </c>
      <c r="C65" s="54">
        <f>'[01_Entry.xlsx]Pay'!J65</f>
        <v/>
      </c>
      <c r="D65" s="54" t="str">
        <f>'[01_Entry.xlsx]Pay'!D65</f>
        <v>empty</v>
      </c>
      <c r="E65" s="55" t="str">
        <f>'[01_Entry.xlsx]Pay'!F65</f>
        <v>empty</v>
      </c>
      <c r="F65" s="54" t="str">
        <f>'[01_Entry.xlsx]Pay'!I65</f>
        <v>empty</v>
      </c>
      <c r="G65" s="54">
        <f>'[01_Entry.xlsx]Pay'!M65</f>
        <v/>
      </c>
      <c r="H65" s="56" t="str">
        <f>'[01_Entry.xlsx]Pay'!K65</f>
        <v>empty</v>
      </c>
      <c r="I65" s="54" t="str">
        <f>'[01_Entry.xlsx]Pay'!L65</f>
        <v>empty</v>
      </c>
      <c r="J65" s="54">
        <f>IF(OR($C65="",$G65=""),"","—")</f>
        <v>0</v>
      </c>
      <c r="K65" s="54">
        <f>IF($C65="","",IF($I65="برگشتی","⚠ برگشت",IF($H65="در جریان","⏳ در جریان","✓")))</f>
        <v>0</v>
      </c>
    </row>
    <row r="66" spans="1:11" ht="21" customHeight="1">
      <c r="A66" s="54" t="str">
        <f>'[01_Entry.xlsx]Pay'!B66</f>
        <v>empty</v>
      </c>
      <c r="B66" s="54" t="str">
        <f>'[01_Entry.xlsx]Pay'!C66</f>
        <v>empty</v>
      </c>
      <c r="C66" s="54">
        <f>'[01_Entry.xlsx]Pay'!J66</f>
        <v/>
      </c>
      <c r="D66" s="54" t="str">
        <f>'[01_Entry.xlsx]Pay'!D66</f>
        <v>empty</v>
      </c>
      <c r="E66" s="55" t="str">
        <f>'[01_Entry.xlsx]Pay'!F66</f>
        <v>empty</v>
      </c>
      <c r="F66" s="54" t="str">
        <f>'[01_Entry.xlsx]Pay'!I66</f>
        <v>empty</v>
      </c>
      <c r="G66" s="54">
        <f>'[01_Entry.xlsx]Pay'!M66</f>
        <v/>
      </c>
      <c r="H66" s="56" t="str">
        <f>'[01_Entry.xlsx]Pay'!K66</f>
        <v>empty</v>
      </c>
      <c r="I66" s="54" t="str">
        <f>'[01_Entry.xlsx]Pay'!L66</f>
        <v>empty</v>
      </c>
      <c r="J66" s="54">
        <f>IF(OR($C66="",$G66=""),"","—")</f>
        <v>0</v>
      </c>
      <c r="K66" s="54">
        <f>IF($C66="","",IF($I66="برگشتی","⚠ برگشت",IF($H66="در جریان","⏳ در جریان","✓")))</f>
        <v>0</v>
      </c>
    </row>
    <row r="67" spans="1:11" ht="21" customHeight="1">
      <c r="A67" s="54" t="str">
        <f>'[01_Entry.xlsx]Pay'!B67</f>
        <v>empty</v>
      </c>
      <c r="B67" s="54" t="str">
        <f>'[01_Entry.xlsx]Pay'!C67</f>
        <v>empty</v>
      </c>
      <c r="C67" s="54">
        <f>'[01_Entry.xlsx]Pay'!J67</f>
        <v/>
      </c>
      <c r="D67" s="54" t="str">
        <f>'[01_Entry.xlsx]Pay'!D67</f>
        <v>empty</v>
      </c>
      <c r="E67" s="55" t="str">
        <f>'[01_Entry.xlsx]Pay'!F67</f>
        <v>empty</v>
      </c>
      <c r="F67" s="54" t="str">
        <f>'[01_Entry.xlsx]Pay'!I67</f>
        <v>empty</v>
      </c>
      <c r="G67" s="54">
        <f>'[01_Entry.xlsx]Pay'!M67</f>
        <v/>
      </c>
      <c r="H67" s="56" t="str">
        <f>'[01_Entry.xlsx]Pay'!K67</f>
        <v>empty</v>
      </c>
      <c r="I67" s="54" t="str">
        <f>'[01_Entry.xlsx]Pay'!L67</f>
        <v>empty</v>
      </c>
      <c r="J67" s="54">
        <f>IF(OR($C67="",$G67=""),"","—")</f>
        <v>0</v>
      </c>
      <c r="K67" s="54">
        <f>IF($C67="","",IF($I67="برگشتی","⚠ برگشت",IF($H67="در جریان","⏳ در جریان","✓")))</f>
        <v>0</v>
      </c>
    </row>
    <row r="68" spans="1:11" ht="21" customHeight="1">
      <c r="A68" s="54" t="str">
        <f>'[01_Entry.xlsx]Pay'!B68</f>
        <v>empty</v>
      </c>
      <c r="B68" s="54" t="str">
        <f>'[01_Entry.xlsx]Pay'!C68</f>
        <v>empty</v>
      </c>
      <c r="C68" s="54">
        <f>'[01_Entry.xlsx]Pay'!J68</f>
        <v/>
      </c>
      <c r="D68" s="54" t="str">
        <f>'[01_Entry.xlsx]Pay'!D68</f>
        <v>empty</v>
      </c>
      <c r="E68" s="55" t="str">
        <f>'[01_Entry.xlsx]Pay'!F68</f>
        <v>empty</v>
      </c>
      <c r="F68" s="54" t="str">
        <f>'[01_Entry.xlsx]Pay'!I68</f>
        <v>empty</v>
      </c>
      <c r="G68" s="54">
        <f>'[01_Entry.xlsx]Pay'!M68</f>
        <v/>
      </c>
      <c r="H68" s="56" t="str">
        <f>'[01_Entry.xlsx]Pay'!K68</f>
        <v>empty</v>
      </c>
      <c r="I68" s="54" t="str">
        <f>'[01_Entry.xlsx]Pay'!L68</f>
        <v>empty</v>
      </c>
      <c r="J68" s="54">
        <f>IF(OR($C68="",$G68=""),"","—")</f>
        <v>0</v>
      </c>
      <c r="K68" s="54">
        <f>IF($C68="","",IF($I68="برگشتی","⚠ برگشت",IF($H68="در جریان","⏳ در جریان","✓")))</f>
        <v>0</v>
      </c>
    </row>
    <row r="69" spans="1:11" ht="21" customHeight="1">
      <c r="A69" s="54" t="str">
        <f>'[01_Entry.xlsx]Pay'!B69</f>
        <v>empty</v>
      </c>
      <c r="B69" s="54" t="str">
        <f>'[01_Entry.xlsx]Pay'!C69</f>
        <v>empty</v>
      </c>
      <c r="C69" s="54">
        <f>'[01_Entry.xlsx]Pay'!J69</f>
        <v/>
      </c>
      <c r="D69" s="54" t="str">
        <f>'[01_Entry.xlsx]Pay'!D69</f>
        <v>empty</v>
      </c>
      <c r="E69" s="55" t="str">
        <f>'[01_Entry.xlsx]Pay'!F69</f>
        <v>empty</v>
      </c>
      <c r="F69" s="54" t="str">
        <f>'[01_Entry.xlsx]Pay'!I69</f>
        <v>empty</v>
      </c>
      <c r="G69" s="54">
        <f>'[01_Entry.xlsx]Pay'!M69</f>
        <v/>
      </c>
      <c r="H69" s="56" t="str">
        <f>'[01_Entry.xlsx]Pay'!K69</f>
        <v>empty</v>
      </c>
      <c r="I69" s="54" t="str">
        <f>'[01_Entry.xlsx]Pay'!L69</f>
        <v>empty</v>
      </c>
      <c r="J69" s="54">
        <f>IF(OR($C69="",$G69=""),"","—")</f>
        <v>0</v>
      </c>
      <c r="K69" s="54">
        <f>IF($C69="","",IF($I69="برگشتی","⚠ برگشت",IF($H69="در جریان","⏳ در جریان","✓")))</f>
        <v>0</v>
      </c>
    </row>
    <row r="70" spans="1:11" ht="21" customHeight="1">
      <c r="A70" s="54" t="str">
        <f>'[01_Entry.xlsx]Pay'!B70</f>
        <v>empty</v>
      </c>
      <c r="B70" s="54" t="str">
        <f>'[01_Entry.xlsx]Pay'!C70</f>
        <v>empty</v>
      </c>
      <c r="C70" s="54">
        <f>'[01_Entry.xlsx]Pay'!J70</f>
        <v/>
      </c>
      <c r="D70" s="54" t="str">
        <f>'[01_Entry.xlsx]Pay'!D70</f>
        <v>empty</v>
      </c>
      <c r="E70" s="55" t="str">
        <f>'[01_Entry.xlsx]Pay'!F70</f>
        <v>empty</v>
      </c>
      <c r="F70" s="54" t="str">
        <f>'[01_Entry.xlsx]Pay'!I70</f>
        <v>empty</v>
      </c>
      <c r="G70" s="54">
        <f>'[01_Entry.xlsx]Pay'!M70</f>
        <v/>
      </c>
      <c r="H70" s="56" t="str">
        <f>'[01_Entry.xlsx]Pay'!K70</f>
        <v>empty</v>
      </c>
      <c r="I70" s="54" t="str">
        <f>'[01_Entry.xlsx]Pay'!L70</f>
        <v>empty</v>
      </c>
      <c r="J70" s="54">
        <f>IF(OR($C70="",$G70=""),"","—")</f>
        <v>0</v>
      </c>
      <c r="K70" s="54">
        <f>IF($C70="","",IF($I70="برگشتی","⚠ برگشت",IF($H70="در جریان","⏳ در جریان","✓")))</f>
        <v>0</v>
      </c>
    </row>
    <row r="71" spans="1:11" ht="21" customHeight="1">
      <c r="A71" s="54" t="str">
        <f>'[01_Entry.xlsx]Pay'!B71</f>
        <v>empty</v>
      </c>
      <c r="B71" s="54" t="str">
        <f>'[01_Entry.xlsx]Pay'!C71</f>
        <v>empty</v>
      </c>
      <c r="C71" s="54">
        <f>'[01_Entry.xlsx]Pay'!J71</f>
        <v/>
      </c>
      <c r="D71" s="54" t="str">
        <f>'[01_Entry.xlsx]Pay'!D71</f>
        <v>empty</v>
      </c>
      <c r="E71" s="55" t="str">
        <f>'[01_Entry.xlsx]Pay'!F71</f>
        <v>empty</v>
      </c>
      <c r="F71" s="54" t="str">
        <f>'[01_Entry.xlsx]Pay'!I71</f>
        <v>empty</v>
      </c>
      <c r="G71" s="54">
        <f>'[01_Entry.xlsx]Pay'!M71</f>
        <v/>
      </c>
      <c r="H71" s="56" t="str">
        <f>'[01_Entry.xlsx]Pay'!K71</f>
        <v>empty</v>
      </c>
      <c r="I71" s="54" t="str">
        <f>'[01_Entry.xlsx]Pay'!L71</f>
        <v>empty</v>
      </c>
      <c r="J71" s="54">
        <f>IF(OR($C71="",$G71=""),"","—")</f>
        <v>0</v>
      </c>
      <c r="K71" s="54">
        <f>IF($C71="","",IF($I71="برگشتی","⚠ برگشت",IF($H71="در جریان","⏳ در جریان","✓")))</f>
        <v>0</v>
      </c>
    </row>
    <row r="72" spans="1:11" ht="21" customHeight="1">
      <c r="A72" s="54" t="str">
        <f>'[01_Entry.xlsx]Pay'!B72</f>
        <v>empty</v>
      </c>
      <c r="B72" s="54" t="str">
        <f>'[01_Entry.xlsx]Pay'!C72</f>
        <v>empty</v>
      </c>
      <c r="C72" s="54">
        <f>'[01_Entry.xlsx]Pay'!J72</f>
        <v/>
      </c>
      <c r="D72" s="54" t="str">
        <f>'[01_Entry.xlsx]Pay'!D72</f>
        <v>empty</v>
      </c>
      <c r="E72" s="55" t="str">
        <f>'[01_Entry.xlsx]Pay'!F72</f>
        <v>empty</v>
      </c>
      <c r="F72" s="54" t="str">
        <f>'[01_Entry.xlsx]Pay'!I72</f>
        <v>empty</v>
      </c>
      <c r="G72" s="54">
        <f>'[01_Entry.xlsx]Pay'!M72</f>
        <v/>
      </c>
      <c r="H72" s="56" t="str">
        <f>'[01_Entry.xlsx]Pay'!K72</f>
        <v>empty</v>
      </c>
      <c r="I72" s="54" t="str">
        <f>'[01_Entry.xlsx]Pay'!L72</f>
        <v>empty</v>
      </c>
      <c r="J72" s="54">
        <f>IF(OR($C72="",$G72=""),"","—")</f>
        <v>0</v>
      </c>
      <c r="K72" s="54">
        <f>IF($C72="","",IF($I72="برگشتی","⚠ برگشت",IF($H72="در جریان","⏳ در جریان","✓")))</f>
        <v>0</v>
      </c>
    </row>
    <row r="73" spans="1:11" ht="21" customHeight="1">
      <c r="A73" s="54" t="str">
        <f>'[01_Entry.xlsx]Pay'!B73</f>
        <v>empty</v>
      </c>
      <c r="B73" s="54" t="str">
        <f>'[01_Entry.xlsx]Pay'!C73</f>
        <v>empty</v>
      </c>
      <c r="C73" s="54">
        <f>'[01_Entry.xlsx]Pay'!J73</f>
        <v/>
      </c>
      <c r="D73" s="54" t="str">
        <f>'[01_Entry.xlsx]Pay'!D73</f>
        <v>empty</v>
      </c>
      <c r="E73" s="55" t="str">
        <f>'[01_Entry.xlsx]Pay'!F73</f>
        <v>empty</v>
      </c>
      <c r="F73" s="54" t="str">
        <f>'[01_Entry.xlsx]Pay'!I73</f>
        <v>empty</v>
      </c>
      <c r="G73" s="54">
        <f>'[01_Entry.xlsx]Pay'!M73</f>
        <v/>
      </c>
      <c r="H73" s="56" t="str">
        <f>'[01_Entry.xlsx]Pay'!K73</f>
        <v>empty</v>
      </c>
      <c r="I73" s="54" t="str">
        <f>'[01_Entry.xlsx]Pay'!L73</f>
        <v>empty</v>
      </c>
      <c r="J73" s="54">
        <f>IF(OR($C73="",$G73=""),"","—")</f>
        <v>0</v>
      </c>
      <c r="K73" s="54">
        <f>IF($C73="","",IF($I73="برگشتی","⚠ برگشت",IF($H73="در جریان","⏳ در جریان","✓")))</f>
        <v>0</v>
      </c>
    </row>
    <row r="74" spans="1:11" ht="21" customHeight="1">
      <c r="A74" s="54" t="str">
        <f>'[01_Entry.xlsx]Pay'!B74</f>
        <v>empty</v>
      </c>
      <c r="B74" s="54" t="str">
        <f>'[01_Entry.xlsx]Pay'!C74</f>
        <v>empty</v>
      </c>
      <c r="C74" s="54">
        <f>'[01_Entry.xlsx]Pay'!J74</f>
        <v/>
      </c>
      <c r="D74" s="54" t="str">
        <f>'[01_Entry.xlsx]Pay'!D74</f>
        <v>empty</v>
      </c>
      <c r="E74" s="55" t="str">
        <f>'[01_Entry.xlsx]Pay'!F74</f>
        <v>empty</v>
      </c>
      <c r="F74" s="54" t="str">
        <f>'[01_Entry.xlsx]Pay'!I74</f>
        <v>empty</v>
      </c>
      <c r="G74" s="54">
        <f>'[01_Entry.xlsx]Pay'!M74</f>
        <v/>
      </c>
      <c r="H74" s="56" t="str">
        <f>'[01_Entry.xlsx]Pay'!K74</f>
        <v>empty</v>
      </c>
      <c r="I74" s="54" t="str">
        <f>'[01_Entry.xlsx]Pay'!L74</f>
        <v>empty</v>
      </c>
      <c r="J74" s="54">
        <f>IF(OR($C74="",$G74=""),"","—")</f>
        <v>0</v>
      </c>
      <c r="K74" s="54">
        <f>IF($C74="","",IF($I74="برگشتی","⚠ برگشت",IF($H74="در جریان","⏳ در جریان","✓")))</f>
        <v>0</v>
      </c>
    </row>
    <row r="75" spans="1:11" ht="21" customHeight="1">
      <c r="A75" s="54" t="str">
        <f>'[01_Entry.xlsx]Pay'!B75</f>
        <v>empty</v>
      </c>
      <c r="B75" s="54" t="str">
        <f>'[01_Entry.xlsx]Pay'!C75</f>
        <v>empty</v>
      </c>
      <c r="C75" s="54">
        <f>'[01_Entry.xlsx]Pay'!J75</f>
        <v/>
      </c>
      <c r="D75" s="54" t="str">
        <f>'[01_Entry.xlsx]Pay'!D75</f>
        <v>empty</v>
      </c>
      <c r="E75" s="55" t="str">
        <f>'[01_Entry.xlsx]Pay'!F75</f>
        <v>empty</v>
      </c>
      <c r="F75" s="54" t="str">
        <f>'[01_Entry.xlsx]Pay'!I75</f>
        <v>empty</v>
      </c>
      <c r="G75" s="54">
        <f>'[01_Entry.xlsx]Pay'!M75</f>
        <v/>
      </c>
      <c r="H75" s="56" t="str">
        <f>'[01_Entry.xlsx]Pay'!K75</f>
        <v>empty</v>
      </c>
      <c r="I75" s="54" t="str">
        <f>'[01_Entry.xlsx]Pay'!L75</f>
        <v>empty</v>
      </c>
      <c r="J75" s="54">
        <f>IF(OR($C75="",$G75=""),"","—")</f>
        <v>0</v>
      </c>
      <c r="K75" s="54">
        <f>IF($C75="","",IF($I75="برگشتی","⚠ برگشت",IF($H75="در جریان","⏳ در جریان","✓")))</f>
        <v>0</v>
      </c>
    </row>
    <row r="76" spans="1:11" ht="21" customHeight="1">
      <c r="A76" s="54" t="str">
        <f>'[01_Entry.xlsx]Pay'!B76</f>
        <v>empty</v>
      </c>
      <c r="B76" s="54" t="str">
        <f>'[01_Entry.xlsx]Pay'!C76</f>
        <v>empty</v>
      </c>
      <c r="C76" s="54">
        <f>'[01_Entry.xlsx]Pay'!J76</f>
        <v/>
      </c>
      <c r="D76" s="54" t="str">
        <f>'[01_Entry.xlsx]Pay'!D76</f>
        <v>empty</v>
      </c>
      <c r="E76" s="55" t="str">
        <f>'[01_Entry.xlsx]Pay'!F76</f>
        <v>empty</v>
      </c>
      <c r="F76" s="54" t="str">
        <f>'[01_Entry.xlsx]Pay'!I76</f>
        <v>empty</v>
      </c>
      <c r="G76" s="54">
        <f>'[01_Entry.xlsx]Pay'!M76</f>
        <v/>
      </c>
      <c r="H76" s="56" t="str">
        <f>'[01_Entry.xlsx]Pay'!K76</f>
        <v>empty</v>
      </c>
      <c r="I76" s="54" t="str">
        <f>'[01_Entry.xlsx]Pay'!L76</f>
        <v>empty</v>
      </c>
      <c r="J76" s="54">
        <f>IF(OR($C76="",$G76=""),"","—")</f>
        <v>0</v>
      </c>
      <c r="K76" s="54">
        <f>IF($C76="","",IF($I76="برگشتی","⚠ برگشت",IF($H76="در جریان","⏳ در جریان","✓")))</f>
        <v>0</v>
      </c>
    </row>
    <row r="77" spans="1:11" ht="21" customHeight="1">
      <c r="A77" s="54" t="str">
        <f>'[01_Entry.xlsx]Pay'!B77</f>
        <v>empty</v>
      </c>
      <c r="B77" s="54" t="str">
        <f>'[01_Entry.xlsx]Pay'!C77</f>
        <v>empty</v>
      </c>
      <c r="C77" s="54">
        <f>'[01_Entry.xlsx]Pay'!J77</f>
        <v/>
      </c>
      <c r="D77" s="54" t="str">
        <f>'[01_Entry.xlsx]Pay'!D77</f>
        <v>empty</v>
      </c>
      <c r="E77" s="55" t="str">
        <f>'[01_Entry.xlsx]Pay'!F77</f>
        <v>empty</v>
      </c>
      <c r="F77" s="54" t="str">
        <f>'[01_Entry.xlsx]Pay'!I77</f>
        <v>empty</v>
      </c>
      <c r="G77" s="54">
        <f>'[01_Entry.xlsx]Pay'!M77</f>
        <v/>
      </c>
      <c r="H77" s="56" t="str">
        <f>'[01_Entry.xlsx]Pay'!K77</f>
        <v>empty</v>
      </c>
      <c r="I77" s="54" t="str">
        <f>'[01_Entry.xlsx]Pay'!L77</f>
        <v>empty</v>
      </c>
      <c r="J77" s="54">
        <f>IF(OR($C77="",$G77=""),"","—")</f>
        <v>0</v>
      </c>
      <c r="K77" s="54">
        <f>IF($C77="","",IF($I77="برگشتی","⚠ برگشت",IF($H77="در جریان","⏳ در جریان","✓")))</f>
        <v>0</v>
      </c>
    </row>
    <row r="78" spans="1:11" ht="21" customHeight="1">
      <c r="A78" s="54" t="str">
        <f>'[01_Entry.xlsx]Pay'!B78</f>
        <v>empty</v>
      </c>
      <c r="B78" s="54" t="str">
        <f>'[01_Entry.xlsx]Pay'!C78</f>
        <v>empty</v>
      </c>
      <c r="C78" s="54">
        <f>'[01_Entry.xlsx]Pay'!J78</f>
        <v/>
      </c>
      <c r="D78" s="54" t="str">
        <f>'[01_Entry.xlsx]Pay'!D78</f>
        <v>empty</v>
      </c>
      <c r="E78" s="55" t="str">
        <f>'[01_Entry.xlsx]Pay'!F78</f>
        <v>empty</v>
      </c>
      <c r="F78" s="54" t="str">
        <f>'[01_Entry.xlsx]Pay'!I78</f>
        <v>empty</v>
      </c>
      <c r="G78" s="54">
        <f>'[01_Entry.xlsx]Pay'!M78</f>
        <v/>
      </c>
      <c r="H78" s="56" t="str">
        <f>'[01_Entry.xlsx]Pay'!K78</f>
        <v>empty</v>
      </c>
      <c r="I78" s="54" t="str">
        <f>'[01_Entry.xlsx]Pay'!L78</f>
        <v>empty</v>
      </c>
      <c r="J78" s="54">
        <f>IF(OR($C78="",$G78=""),"","—")</f>
        <v>0</v>
      </c>
      <c r="K78" s="54">
        <f>IF($C78="","",IF($I78="برگشتی","⚠ برگشت",IF($H78="در جریان","⏳ در جریان","✓")))</f>
        <v>0</v>
      </c>
    </row>
    <row r="79" spans="1:11" ht="21" customHeight="1">
      <c r="A79" s="54" t="str">
        <f>'[01_Entry.xlsx]Pay'!B79</f>
        <v>empty</v>
      </c>
      <c r="B79" s="54" t="str">
        <f>'[01_Entry.xlsx]Pay'!C79</f>
        <v>empty</v>
      </c>
      <c r="C79" s="54">
        <f>'[01_Entry.xlsx]Pay'!J79</f>
        <v/>
      </c>
      <c r="D79" s="54" t="str">
        <f>'[01_Entry.xlsx]Pay'!D79</f>
        <v>empty</v>
      </c>
      <c r="E79" s="55" t="str">
        <f>'[01_Entry.xlsx]Pay'!F79</f>
        <v>empty</v>
      </c>
      <c r="F79" s="54" t="str">
        <f>'[01_Entry.xlsx]Pay'!I79</f>
        <v>empty</v>
      </c>
      <c r="G79" s="54">
        <f>'[01_Entry.xlsx]Pay'!M79</f>
        <v/>
      </c>
      <c r="H79" s="56" t="str">
        <f>'[01_Entry.xlsx]Pay'!K79</f>
        <v>empty</v>
      </c>
      <c r="I79" s="54" t="str">
        <f>'[01_Entry.xlsx]Pay'!L79</f>
        <v>empty</v>
      </c>
      <c r="J79" s="54">
        <f>IF(OR($C79="",$G79=""),"","—")</f>
        <v>0</v>
      </c>
      <c r="K79" s="54">
        <f>IF($C79="","",IF($I79="برگشتی","⚠ برگشت",IF($H79="در جریان","⏳ در جریان","✓")))</f>
        <v>0</v>
      </c>
    </row>
    <row r="80" spans="1:11" ht="21" customHeight="1">
      <c r="A80" s="54" t="str">
        <f>'[01_Entry.xlsx]Pay'!B80</f>
        <v>empty</v>
      </c>
      <c r="B80" s="54" t="str">
        <f>'[01_Entry.xlsx]Pay'!C80</f>
        <v>empty</v>
      </c>
      <c r="C80" s="54">
        <f>'[01_Entry.xlsx]Pay'!J80</f>
        <v/>
      </c>
      <c r="D80" s="54" t="str">
        <f>'[01_Entry.xlsx]Pay'!D80</f>
        <v>empty</v>
      </c>
      <c r="E80" s="55" t="str">
        <f>'[01_Entry.xlsx]Pay'!F80</f>
        <v>empty</v>
      </c>
      <c r="F80" s="54" t="str">
        <f>'[01_Entry.xlsx]Pay'!I80</f>
        <v>empty</v>
      </c>
      <c r="G80" s="54">
        <f>'[01_Entry.xlsx]Pay'!M80</f>
        <v/>
      </c>
      <c r="H80" s="56" t="str">
        <f>'[01_Entry.xlsx]Pay'!K80</f>
        <v>empty</v>
      </c>
      <c r="I80" s="54" t="str">
        <f>'[01_Entry.xlsx]Pay'!L80</f>
        <v>empty</v>
      </c>
      <c r="J80" s="54">
        <f>IF(OR($C80="",$G80=""),"","—")</f>
        <v>0</v>
      </c>
      <c r="K80" s="54">
        <f>IF($C80="","",IF($I80="برگشتی","⚠ برگشت",IF($H80="در جریان","⏳ در جریان","✓")))</f>
        <v>0</v>
      </c>
    </row>
    <row r="81" spans="1:11" ht="21" customHeight="1">
      <c r="A81" s="54" t="str">
        <f>'[01_Entry.xlsx]Pay'!B81</f>
        <v>empty</v>
      </c>
      <c r="B81" s="54" t="str">
        <f>'[01_Entry.xlsx]Pay'!C81</f>
        <v>empty</v>
      </c>
      <c r="C81" s="54">
        <f>'[01_Entry.xlsx]Pay'!J81</f>
        <v/>
      </c>
      <c r="D81" s="54" t="str">
        <f>'[01_Entry.xlsx]Pay'!D81</f>
        <v>empty</v>
      </c>
      <c r="E81" s="55" t="str">
        <f>'[01_Entry.xlsx]Pay'!F81</f>
        <v>empty</v>
      </c>
      <c r="F81" s="54" t="str">
        <f>'[01_Entry.xlsx]Pay'!I81</f>
        <v>empty</v>
      </c>
      <c r="G81" s="54">
        <f>'[01_Entry.xlsx]Pay'!M81</f>
        <v/>
      </c>
      <c r="H81" s="56" t="str">
        <f>'[01_Entry.xlsx]Pay'!K81</f>
        <v>empty</v>
      </c>
      <c r="I81" s="54" t="str">
        <f>'[01_Entry.xlsx]Pay'!L81</f>
        <v>empty</v>
      </c>
      <c r="J81" s="54">
        <f>IF(OR($C81="",$G81=""),"","—")</f>
        <v>0</v>
      </c>
      <c r="K81" s="54">
        <f>IF($C81="","",IF($I81="برگشتی","⚠ برگشت",IF($H81="در جریان","⏳ در جریان","✓")))</f>
        <v>0</v>
      </c>
    </row>
    <row r="82" spans="1:11" ht="21" customHeight="1">
      <c r="A82" s="54" t="str">
        <f>'[01_Entry.xlsx]Pay'!B82</f>
        <v>empty</v>
      </c>
      <c r="B82" s="54" t="str">
        <f>'[01_Entry.xlsx]Pay'!C82</f>
        <v>empty</v>
      </c>
      <c r="C82" s="54">
        <f>'[01_Entry.xlsx]Pay'!J82</f>
        <v/>
      </c>
      <c r="D82" s="54" t="str">
        <f>'[01_Entry.xlsx]Pay'!D82</f>
        <v>empty</v>
      </c>
      <c r="E82" s="55" t="str">
        <f>'[01_Entry.xlsx]Pay'!F82</f>
        <v>empty</v>
      </c>
      <c r="F82" s="54" t="str">
        <f>'[01_Entry.xlsx]Pay'!I82</f>
        <v>empty</v>
      </c>
      <c r="G82" s="54">
        <f>'[01_Entry.xlsx]Pay'!M82</f>
        <v/>
      </c>
      <c r="H82" s="56" t="str">
        <f>'[01_Entry.xlsx]Pay'!K82</f>
        <v>empty</v>
      </c>
      <c r="I82" s="54" t="str">
        <f>'[01_Entry.xlsx]Pay'!L82</f>
        <v>empty</v>
      </c>
      <c r="J82" s="54">
        <f>IF(OR($C82="",$G82=""),"","—")</f>
        <v>0</v>
      </c>
      <c r="K82" s="54">
        <f>IF($C82="","",IF($I82="برگشتی","⚠ برگشت",IF($H82="در جریان","⏳ در جریان","✓")))</f>
        <v>0</v>
      </c>
    </row>
    <row r="83" spans="1:11" ht="21" customHeight="1">
      <c r="A83" s="54" t="str">
        <f>'[01_Entry.xlsx]Pay'!B83</f>
        <v>empty</v>
      </c>
      <c r="B83" s="54" t="str">
        <f>'[01_Entry.xlsx]Pay'!C83</f>
        <v>empty</v>
      </c>
      <c r="C83" s="54">
        <f>'[01_Entry.xlsx]Pay'!J83</f>
        <v/>
      </c>
      <c r="D83" s="54" t="str">
        <f>'[01_Entry.xlsx]Pay'!D83</f>
        <v>empty</v>
      </c>
      <c r="E83" s="55" t="str">
        <f>'[01_Entry.xlsx]Pay'!F83</f>
        <v>empty</v>
      </c>
      <c r="F83" s="54" t="str">
        <f>'[01_Entry.xlsx]Pay'!I83</f>
        <v>empty</v>
      </c>
      <c r="G83" s="54">
        <f>'[01_Entry.xlsx]Pay'!M83</f>
        <v/>
      </c>
      <c r="H83" s="56" t="str">
        <f>'[01_Entry.xlsx]Pay'!K83</f>
        <v>empty</v>
      </c>
      <c r="I83" s="54" t="str">
        <f>'[01_Entry.xlsx]Pay'!L83</f>
        <v>empty</v>
      </c>
      <c r="J83" s="54">
        <f>IF(OR($C83="",$G83=""),"","—")</f>
        <v>0</v>
      </c>
      <c r="K83" s="54">
        <f>IF($C83="","",IF($I83="برگشتی","⚠ برگشت",IF($H83="در جریان","⏳ در جریان","✓")))</f>
        <v>0</v>
      </c>
    </row>
    <row r="84" spans="1:11" ht="21" customHeight="1">
      <c r="A84" s="54" t="str">
        <f>'[01_Entry.xlsx]Pay'!B84</f>
        <v>empty</v>
      </c>
      <c r="B84" s="54" t="str">
        <f>'[01_Entry.xlsx]Pay'!C84</f>
        <v>empty</v>
      </c>
      <c r="C84" s="54">
        <f>'[01_Entry.xlsx]Pay'!J84</f>
        <v/>
      </c>
      <c r="D84" s="54" t="str">
        <f>'[01_Entry.xlsx]Pay'!D84</f>
        <v>empty</v>
      </c>
      <c r="E84" s="55" t="str">
        <f>'[01_Entry.xlsx]Pay'!F84</f>
        <v>empty</v>
      </c>
      <c r="F84" s="54" t="str">
        <f>'[01_Entry.xlsx]Pay'!I84</f>
        <v>empty</v>
      </c>
      <c r="G84" s="54">
        <f>'[01_Entry.xlsx]Pay'!M84</f>
        <v/>
      </c>
      <c r="H84" s="56" t="str">
        <f>'[01_Entry.xlsx]Pay'!K84</f>
        <v>empty</v>
      </c>
      <c r="I84" s="54" t="str">
        <f>'[01_Entry.xlsx]Pay'!L84</f>
        <v>empty</v>
      </c>
      <c r="J84" s="54">
        <f>IF(OR($C84="",$G84=""),"","—")</f>
        <v>0</v>
      </c>
      <c r="K84" s="54">
        <f>IF($C84="","",IF($I84="برگشتی","⚠ برگشت",IF($H84="در جریان","⏳ در جریان","✓")))</f>
        <v>0</v>
      </c>
    </row>
    <row r="85" spans="1:11" ht="21" customHeight="1">
      <c r="A85" s="54" t="str">
        <f>'[01_Entry.xlsx]Pay'!B85</f>
        <v>empty</v>
      </c>
      <c r="B85" s="54" t="str">
        <f>'[01_Entry.xlsx]Pay'!C85</f>
        <v>empty</v>
      </c>
      <c r="C85" s="54">
        <f>'[01_Entry.xlsx]Pay'!J85</f>
        <v/>
      </c>
      <c r="D85" s="54" t="str">
        <f>'[01_Entry.xlsx]Pay'!D85</f>
        <v>empty</v>
      </c>
      <c r="E85" s="55" t="str">
        <f>'[01_Entry.xlsx]Pay'!F85</f>
        <v>empty</v>
      </c>
      <c r="F85" s="54" t="str">
        <f>'[01_Entry.xlsx]Pay'!I85</f>
        <v>empty</v>
      </c>
      <c r="G85" s="54">
        <f>'[01_Entry.xlsx]Pay'!M85</f>
        <v/>
      </c>
      <c r="H85" s="56" t="str">
        <f>'[01_Entry.xlsx]Pay'!K85</f>
        <v>empty</v>
      </c>
      <c r="I85" s="54" t="str">
        <f>'[01_Entry.xlsx]Pay'!L85</f>
        <v>empty</v>
      </c>
      <c r="J85" s="54">
        <f>IF(OR($C85="",$G85=""),"","—")</f>
        <v>0</v>
      </c>
      <c r="K85" s="54">
        <f>IF($C85="","",IF($I85="برگشتی","⚠ برگشت",IF($H85="در جریان","⏳ در جریان","✓")))</f>
        <v>0</v>
      </c>
    </row>
    <row r="86" spans="1:11" ht="21" customHeight="1">
      <c r="A86" s="54" t="str">
        <f>'[01_Entry.xlsx]Pay'!B86</f>
        <v>empty</v>
      </c>
      <c r="B86" s="54" t="str">
        <f>'[01_Entry.xlsx]Pay'!C86</f>
        <v>empty</v>
      </c>
      <c r="C86" s="54">
        <f>'[01_Entry.xlsx]Pay'!J86</f>
        <v/>
      </c>
      <c r="D86" s="54" t="str">
        <f>'[01_Entry.xlsx]Pay'!D86</f>
        <v>empty</v>
      </c>
      <c r="E86" s="55" t="str">
        <f>'[01_Entry.xlsx]Pay'!F86</f>
        <v>empty</v>
      </c>
      <c r="F86" s="54" t="str">
        <f>'[01_Entry.xlsx]Pay'!I86</f>
        <v>empty</v>
      </c>
      <c r="G86" s="54">
        <f>'[01_Entry.xlsx]Pay'!M86</f>
        <v/>
      </c>
      <c r="H86" s="56" t="str">
        <f>'[01_Entry.xlsx]Pay'!K86</f>
        <v>empty</v>
      </c>
      <c r="I86" s="54" t="str">
        <f>'[01_Entry.xlsx]Pay'!L86</f>
        <v>empty</v>
      </c>
      <c r="J86" s="54">
        <f>IF(OR($C86="",$G86=""),"","—")</f>
        <v>0</v>
      </c>
      <c r="K86" s="54">
        <f>IF($C86="","",IF($I86="برگشتی","⚠ برگشت",IF($H86="در جریان","⏳ در جریان","✓")))</f>
        <v>0</v>
      </c>
    </row>
    <row r="87" spans="1:11" ht="21" customHeight="1">
      <c r="A87" s="54" t="str">
        <f>'[01_Entry.xlsx]Pay'!B87</f>
        <v>empty</v>
      </c>
      <c r="B87" s="54" t="str">
        <f>'[01_Entry.xlsx]Pay'!C87</f>
        <v>empty</v>
      </c>
      <c r="C87" s="54">
        <f>'[01_Entry.xlsx]Pay'!J87</f>
        <v/>
      </c>
      <c r="D87" s="54" t="str">
        <f>'[01_Entry.xlsx]Pay'!D87</f>
        <v>empty</v>
      </c>
      <c r="E87" s="55" t="str">
        <f>'[01_Entry.xlsx]Pay'!F87</f>
        <v>empty</v>
      </c>
      <c r="F87" s="54" t="str">
        <f>'[01_Entry.xlsx]Pay'!I87</f>
        <v>empty</v>
      </c>
      <c r="G87" s="54">
        <f>'[01_Entry.xlsx]Pay'!M87</f>
        <v/>
      </c>
      <c r="H87" s="56" t="str">
        <f>'[01_Entry.xlsx]Pay'!K87</f>
        <v>empty</v>
      </c>
      <c r="I87" s="54" t="str">
        <f>'[01_Entry.xlsx]Pay'!L87</f>
        <v>empty</v>
      </c>
      <c r="J87" s="54">
        <f>IF(OR($C87="",$G87=""),"","—")</f>
        <v>0</v>
      </c>
      <c r="K87" s="54">
        <f>IF($C87="","",IF($I87="برگشتی","⚠ برگشت",IF($H87="در جریان","⏳ در جریان","✓")))</f>
        <v>0</v>
      </c>
    </row>
    <row r="88" spans="1:11" ht="21" customHeight="1">
      <c r="A88" s="54" t="str">
        <f>'[01_Entry.xlsx]Pay'!B88</f>
        <v>empty</v>
      </c>
      <c r="B88" s="54" t="str">
        <f>'[01_Entry.xlsx]Pay'!C88</f>
        <v>empty</v>
      </c>
      <c r="C88" s="54">
        <f>'[01_Entry.xlsx]Pay'!J88</f>
        <v/>
      </c>
      <c r="D88" s="54" t="str">
        <f>'[01_Entry.xlsx]Pay'!D88</f>
        <v>empty</v>
      </c>
      <c r="E88" s="55" t="str">
        <f>'[01_Entry.xlsx]Pay'!F88</f>
        <v>empty</v>
      </c>
      <c r="F88" s="54" t="str">
        <f>'[01_Entry.xlsx]Pay'!I88</f>
        <v>empty</v>
      </c>
      <c r="G88" s="54">
        <f>'[01_Entry.xlsx]Pay'!M88</f>
        <v/>
      </c>
      <c r="H88" s="56" t="str">
        <f>'[01_Entry.xlsx]Pay'!K88</f>
        <v>empty</v>
      </c>
      <c r="I88" s="54" t="str">
        <f>'[01_Entry.xlsx]Pay'!L88</f>
        <v>empty</v>
      </c>
      <c r="J88" s="54">
        <f>IF(OR($C88="",$G88=""),"","—")</f>
        <v>0</v>
      </c>
      <c r="K88" s="54">
        <f>IF($C88="","",IF($I88="برگشتی","⚠ برگشت",IF($H88="در جریان","⏳ در جریان","✓")))</f>
        <v>0</v>
      </c>
    </row>
    <row r="89" spans="1:11" ht="21" customHeight="1">
      <c r="A89" s="54" t="str">
        <f>'[01_Entry.xlsx]Pay'!B89</f>
        <v>empty</v>
      </c>
      <c r="B89" s="54" t="str">
        <f>'[01_Entry.xlsx]Pay'!C89</f>
        <v>empty</v>
      </c>
      <c r="C89" s="54">
        <f>'[01_Entry.xlsx]Pay'!J89</f>
        <v/>
      </c>
      <c r="D89" s="54" t="str">
        <f>'[01_Entry.xlsx]Pay'!D89</f>
        <v>empty</v>
      </c>
      <c r="E89" s="55" t="str">
        <f>'[01_Entry.xlsx]Pay'!F89</f>
        <v>empty</v>
      </c>
      <c r="F89" s="54" t="str">
        <f>'[01_Entry.xlsx]Pay'!I89</f>
        <v>empty</v>
      </c>
      <c r="G89" s="54">
        <f>'[01_Entry.xlsx]Pay'!M89</f>
        <v/>
      </c>
      <c r="H89" s="56" t="str">
        <f>'[01_Entry.xlsx]Pay'!K89</f>
        <v>empty</v>
      </c>
      <c r="I89" s="54" t="str">
        <f>'[01_Entry.xlsx]Pay'!L89</f>
        <v>empty</v>
      </c>
      <c r="J89" s="54">
        <f>IF(OR($C89="",$G89=""),"","—")</f>
        <v>0</v>
      </c>
      <c r="K89" s="54">
        <f>IF($C89="","",IF($I89="برگشتی","⚠ برگشت",IF($H89="در جریان","⏳ در جریان","✓")))</f>
        <v>0</v>
      </c>
    </row>
    <row r="90" spans="1:11" ht="21" customHeight="1">
      <c r="A90" s="54" t="str">
        <f>'[01_Entry.xlsx]Pay'!B90</f>
        <v>empty</v>
      </c>
      <c r="B90" s="54" t="str">
        <f>'[01_Entry.xlsx]Pay'!C90</f>
        <v>empty</v>
      </c>
      <c r="C90" s="54">
        <f>'[01_Entry.xlsx]Pay'!J90</f>
        <v/>
      </c>
      <c r="D90" s="54" t="str">
        <f>'[01_Entry.xlsx]Pay'!D90</f>
        <v>empty</v>
      </c>
      <c r="E90" s="55" t="str">
        <f>'[01_Entry.xlsx]Pay'!F90</f>
        <v>empty</v>
      </c>
      <c r="F90" s="54" t="str">
        <f>'[01_Entry.xlsx]Pay'!I90</f>
        <v>empty</v>
      </c>
      <c r="G90" s="54">
        <f>'[01_Entry.xlsx]Pay'!M90</f>
        <v/>
      </c>
      <c r="H90" s="56" t="str">
        <f>'[01_Entry.xlsx]Pay'!K90</f>
        <v>empty</v>
      </c>
      <c r="I90" s="54" t="str">
        <f>'[01_Entry.xlsx]Pay'!L90</f>
        <v>empty</v>
      </c>
      <c r="J90" s="54">
        <f>IF(OR($C90="",$G90=""),"","—")</f>
        <v>0</v>
      </c>
      <c r="K90" s="54">
        <f>IF($C90="","",IF($I90="برگشتی","⚠ برگشت",IF($H90="در جریان","⏳ در جریان","✓")))</f>
        <v>0</v>
      </c>
    </row>
    <row r="91" spans="1:11" ht="21" customHeight="1">
      <c r="A91" s="54" t="str">
        <f>'[01_Entry.xlsx]Pay'!B91</f>
        <v>empty</v>
      </c>
      <c r="B91" s="54" t="str">
        <f>'[01_Entry.xlsx]Pay'!C91</f>
        <v>empty</v>
      </c>
      <c r="C91" s="54">
        <f>'[01_Entry.xlsx]Pay'!J91</f>
        <v/>
      </c>
      <c r="D91" s="54" t="str">
        <f>'[01_Entry.xlsx]Pay'!D91</f>
        <v>empty</v>
      </c>
      <c r="E91" s="55" t="str">
        <f>'[01_Entry.xlsx]Pay'!F91</f>
        <v>empty</v>
      </c>
      <c r="F91" s="54" t="str">
        <f>'[01_Entry.xlsx]Pay'!I91</f>
        <v>empty</v>
      </c>
      <c r="G91" s="54">
        <f>'[01_Entry.xlsx]Pay'!M91</f>
        <v/>
      </c>
      <c r="H91" s="56" t="str">
        <f>'[01_Entry.xlsx]Pay'!K91</f>
        <v>empty</v>
      </c>
      <c r="I91" s="54" t="str">
        <f>'[01_Entry.xlsx]Pay'!L91</f>
        <v>empty</v>
      </c>
      <c r="J91" s="54">
        <f>IF(OR($C91="",$G91=""),"","—")</f>
        <v>0</v>
      </c>
      <c r="K91" s="54">
        <f>IF($C91="","",IF($I91="برگشتی","⚠ برگشت",IF($H91="در جریان","⏳ در جریان","✓")))</f>
        <v>0</v>
      </c>
    </row>
    <row r="92" spans="1:11" ht="21" customHeight="1">
      <c r="A92" s="54" t="str">
        <f>'[01_Entry.xlsx]Pay'!B92</f>
        <v>empty</v>
      </c>
      <c r="B92" s="54" t="str">
        <f>'[01_Entry.xlsx]Pay'!C92</f>
        <v>empty</v>
      </c>
      <c r="C92" s="54">
        <f>'[01_Entry.xlsx]Pay'!J92</f>
        <v/>
      </c>
      <c r="D92" s="54" t="str">
        <f>'[01_Entry.xlsx]Pay'!D92</f>
        <v>empty</v>
      </c>
      <c r="E92" s="55" t="str">
        <f>'[01_Entry.xlsx]Pay'!F92</f>
        <v>empty</v>
      </c>
      <c r="F92" s="54" t="str">
        <f>'[01_Entry.xlsx]Pay'!I92</f>
        <v>empty</v>
      </c>
      <c r="G92" s="54">
        <f>'[01_Entry.xlsx]Pay'!M92</f>
        <v/>
      </c>
      <c r="H92" s="56" t="str">
        <f>'[01_Entry.xlsx]Pay'!K92</f>
        <v>empty</v>
      </c>
      <c r="I92" s="54" t="str">
        <f>'[01_Entry.xlsx]Pay'!L92</f>
        <v>empty</v>
      </c>
      <c r="J92" s="54">
        <f>IF(OR($C92="",$G92=""),"","—")</f>
        <v>0</v>
      </c>
      <c r="K92" s="54">
        <f>IF($C92="","",IF($I92="برگشتی","⚠ برگشت",IF($H92="در جریان","⏳ در جریان","✓")))</f>
        <v>0</v>
      </c>
    </row>
    <row r="93" spans="1:11" ht="21" customHeight="1">
      <c r="A93" s="54" t="str">
        <f>'[01_Entry.xlsx]Pay'!B93</f>
        <v>empty</v>
      </c>
      <c r="B93" s="54" t="str">
        <f>'[01_Entry.xlsx]Pay'!C93</f>
        <v>empty</v>
      </c>
      <c r="C93" s="54">
        <f>'[01_Entry.xlsx]Pay'!J93</f>
        <v/>
      </c>
      <c r="D93" s="54" t="str">
        <f>'[01_Entry.xlsx]Pay'!D93</f>
        <v>empty</v>
      </c>
      <c r="E93" s="55" t="str">
        <f>'[01_Entry.xlsx]Pay'!F93</f>
        <v>empty</v>
      </c>
      <c r="F93" s="54" t="str">
        <f>'[01_Entry.xlsx]Pay'!I93</f>
        <v>empty</v>
      </c>
      <c r="G93" s="54">
        <f>'[01_Entry.xlsx]Pay'!M93</f>
        <v/>
      </c>
      <c r="H93" s="56" t="str">
        <f>'[01_Entry.xlsx]Pay'!K93</f>
        <v>empty</v>
      </c>
      <c r="I93" s="54" t="str">
        <f>'[01_Entry.xlsx]Pay'!L93</f>
        <v>empty</v>
      </c>
      <c r="J93" s="54">
        <f>IF(OR($C93="",$G93=""),"","—")</f>
        <v>0</v>
      </c>
      <c r="K93" s="54">
        <f>IF($C93="","",IF($I93="برگشتی","⚠ برگشت",IF($H93="در جریان","⏳ در جریان","✓")))</f>
        <v>0</v>
      </c>
    </row>
    <row r="94" spans="1:11" ht="21" customHeight="1">
      <c r="A94" s="54" t="str">
        <f>'[01_Entry.xlsx]Pay'!B94</f>
        <v>empty</v>
      </c>
      <c r="B94" s="54" t="str">
        <f>'[01_Entry.xlsx]Pay'!C94</f>
        <v>empty</v>
      </c>
      <c r="C94" s="54">
        <f>'[01_Entry.xlsx]Pay'!J94</f>
        <v/>
      </c>
      <c r="D94" s="54" t="str">
        <f>'[01_Entry.xlsx]Pay'!D94</f>
        <v>empty</v>
      </c>
      <c r="E94" s="55" t="str">
        <f>'[01_Entry.xlsx]Pay'!F94</f>
        <v>empty</v>
      </c>
      <c r="F94" s="54" t="str">
        <f>'[01_Entry.xlsx]Pay'!I94</f>
        <v>empty</v>
      </c>
      <c r="G94" s="54">
        <f>'[01_Entry.xlsx]Pay'!M94</f>
        <v/>
      </c>
      <c r="H94" s="56" t="str">
        <f>'[01_Entry.xlsx]Pay'!K94</f>
        <v>empty</v>
      </c>
      <c r="I94" s="54" t="str">
        <f>'[01_Entry.xlsx]Pay'!L94</f>
        <v>empty</v>
      </c>
      <c r="J94" s="54">
        <f>IF(OR($C94="",$G94=""),"","—")</f>
        <v>0</v>
      </c>
      <c r="K94" s="54">
        <f>IF($C94="","",IF($I94="برگشتی","⚠ برگشت",IF($H94="در جریان","⏳ در جریان","✓")))</f>
        <v>0</v>
      </c>
    </row>
    <row r="95" spans="1:11" ht="21" customHeight="1">
      <c r="A95" s="54" t="str">
        <f>'[01_Entry.xlsx]Pay'!B95</f>
        <v>empty</v>
      </c>
      <c r="B95" s="54" t="str">
        <f>'[01_Entry.xlsx]Pay'!C95</f>
        <v>empty</v>
      </c>
      <c r="C95" s="54">
        <f>'[01_Entry.xlsx]Pay'!J95</f>
        <v/>
      </c>
      <c r="D95" s="54" t="str">
        <f>'[01_Entry.xlsx]Pay'!D95</f>
        <v>empty</v>
      </c>
      <c r="E95" s="55" t="str">
        <f>'[01_Entry.xlsx]Pay'!F95</f>
        <v>empty</v>
      </c>
      <c r="F95" s="54" t="str">
        <f>'[01_Entry.xlsx]Pay'!I95</f>
        <v>empty</v>
      </c>
      <c r="G95" s="54">
        <f>'[01_Entry.xlsx]Pay'!M95</f>
        <v/>
      </c>
      <c r="H95" s="56" t="str">
        <f>'[01_Entry.xlsx]Pay'!K95</f>
        <v>empty</v>
      </c>
      <c r="I95" s="54" t="str">
        <f>'[01_Entry.xlsx]Pay'!L95</f>
        <v>empty</v>
      </c>
      <c r="J95" s="54">
        <f>IF(OR($C95="",$G95=""),"","—")</f>
        <v>0</v>
      </c>
      <c r="K95" s="54">
        <f>IF($C95="","",IF($I95="برگشتی","⚠ برگشت",IF($H95="در جریان","⏳ در جریان","✓")))</f>
        <v>0</v>
      </c>
    </row>
    <row r="96" spans="1:11" ht="21" customHeight="1">
      <c r="A96" s="54" t="str">
        <f>'[01_Entry.xlsx]Pay'!B96</f>
        <v>empty</v>
      </c>
      <c r="B96" s="54" t="str">
        <f>'[01_Entry.xlsx]Pay'!C96</f>
        <v>empty</v>
      </c>
      <c r="C96" s="54">
        <f>'[01_Entry.xlsx]Pay'!J96</f>
        <v/>
      </c>
      <c r="D96" s="54" t="str">
        <f>'[01_Entry.xlsx]Pay'!D96</f>
        <v>empty</v>
      </c>
      <c r="E96" s="55" t="str">
        <f>'[01_Entry.xlsx]Pay'!F96</f>
        <v>empty</v>
      </c>
      <c r="F96" s="54" t="str">
        <f>'[01_Entry.xlsx]Pay'!I96</f>
        <v>empty</v>
      </c>
      <c r="G96" s="54">
        <f>'[01_Entry.xlsx]Pay'!M96</f>
        <v/>
      </c>
      <c r="H96" s="56" t="str">
        <f>'[01_Entry.xlsx]Pay'!K96</f>
        <v>empty</v>
      </c>
      <c r="I96" s="54" t="str">
        <f>'[01_Entry.xlsx]Pay'!L96</f>
        <v>empty</v>
      </c>
      <c r="J96" s="54">
        <f>IF(OR($C96="",$G96=""),"","—")</f>
        <v>0</v>
      </c>
      <c r="K96" s="54">
        <f>IF($C96="","",IF($I96="برگشتی","⚠ برگشت",IF($H96="در جریان","⏳ در جریان","✓")))</f>
        <v>0</v>
      </c>
    </row>
    <row r="97" spans="1:11" ht="21" customHeight="1">
      <c r="A97" s="54" t="str">
        <f>'[01_Entry.xlsx]Pay'!B97</f>
        <v>empty</v>
      </c>
      <c r="B97" s="54" t="str">
        <f>'[01_Entry.xlsx]Pay'!C97</f>
        <v>empty</v>
      </c>
      <c r="C97" s="54">
        <f>'[01_Entry.xlsx]Pay'!J97</f>
        <v/>
      </c>
      <c r="D97" s="54" t="str">
        <f>'[01_Entry.xlsx]Pay'!D97</f>
        <v>empty</v>
      </c>
      <c r="E97" s="55" t="str">
        <f>'[01_Entry.xlsx]Pay'!F97</f>
        <v>empty</v>
      </c>
      <c r="F97" s="54" t="str">
        <f>'[01_Entry.xlsx]Pay'!I97</f>
        <v>empty</v>
      </c>
      <c r="G97" s="54">
        <f>'[01_Entry.xlsx]Pay'!M97</f>
        <v/>
      </c>
      <c r="H97" s="56" t="str">
        <f>'[01_Entry.xlsx]Pay'!K97</f>
        <v>empty</v>
      </c>
      <c r="I97" s="54" t="str">
        <f>'[01_Entry.xlsx]Pay'!L97</f>
        <v>empty</v>
      </c>
      <c r="J97" s="54">
        <f>IF(OR($C97="",$G97=""),"","—")</f>
        <v>0</v>
      </c>
      <c r="K97" s="54">
        <f>IF($C97="","",IF($I97="برگشتی","⚠ برگشت",IF($H97="در جریان","⏳ در جریان","✓")))</f>
        <v>0</v>
      </c>
    </row>
    <row r="98" spans="1:11" ht="21" customHeight="1">
      <c r="A98" s="54" t="str">
        <f>'[01_Entry.xlsx]Pay'!B98</f>
        <v>empty</v>
      </c>
      <c r="B98" s="54" t="str">
        <f>'[01_Entry.xlsx]Pay'!C98</f>
        <v>empty</v>
      </c>
      <c r="C98" s="54">
        <f>'[01_Entry.xlsx]Pay'!J98</f>
        <v/>
      </c>
      <c r="D98" s="54" t="str">
        <f>'[01_Entry.xlsx]Pay'!D98</f>
        <v>empty</v>
      </c>
      <c r="E98" s="55" t="str">
        <f>'[01_Entry.xlsx]Pay'!F98</f>
        <v>empty</v>
      </c>
      <c r="F98" s="54" t="str">
        <f>'[01_Entry.xlsx]Pay'!I98</f>
        <v>empty</v>
      </c>
      <c r="G98" s="54">
        <f>'[01_Entry.xlsx]Pay'!M98</f>
        <v/>
      </c>
      <c r="H98" s="56" t="str">
        <f>'[01_Entry.xlsx]Pay'!K98</f>
        <v>empty</v>
      </c>
      <c r="I98" s="54" t="str">
        <f>'[01_Entry.xlsx]Pay'!L98</f>
        <v>empty</v>
      </c>
      <c r="J98" s="54">
        <f>IF(OR($C98="",$G98=""),"","—")</f>
        <v>0</v>
      </c>
      <c r="K98" s="54">
        <f>IF($C98="","",IF($I98="برگشتی","⚠ برگشت",IF($H98="در جریان","⏳ در جریان","✓")))</f>
        <v>0</v>
      </c>
    </row>
    <row r="99" spans="1:11" ht="21" customHeight="1">
      <c r="A99" s="54" t="str">
        <f>'[01_Entry.xlsx]Pay'!B99</f>
        <v>empty</v>
      </c>
      <c r="B99" s="54" t="str">
        <f>'[01_Entry.xlsx]Pay'!C99</f>
        <v>empty</v>
      </c>
      <c r="C99" s="54">
        <f>'[01_Entry.xlsx]Pay'!J99</f>
        <v/>
      </c>
      <c r="D99" s="54" t="str">
        <f>'[01_Entry.xlsx]Pay'!D99</f>
        <v>empty</v>
      </c>
      <c r="E99" s="55" t="str">
        <f>'[01_Entry.xlsx]Pay'!F99</f>
        <v>empty</v>
      </c>
      <c r="F99" s="54" t="str">
        <f>'[01_Entry.xlsx]Pay'!I99</f>
        <v>empty</v>
      </c>
      <c r="G99" s="54">
        <f>'[01_Entry.xlsx]Pay'!M99</f>
        <v/>
      </c>
      <c r="H99" s="56" t="str">
        <f>'[01_Entry.xlsx]Pay'!K99</f>
        <v>empty</v>
      </c>
      <c r="I99" s="54" t="str">
        <f>'[01_Entry.xlsx]Pay'!L99</f>
        <v>empty</v>
      </c>
      <c r="J99" s="54">
        <f>IF(OR($C99="",$G99=""),"","—")</f>
        <v>0</v>
      </c>
      <c r="K99" s="54">
        <f>IF($C99="","",IF($I99="برگشتی","⚠ برگشت",IF($H99="در جریان","⏳ در جریان","✓")))</f>
        <v>0</v>
      </c>
    </row>
    <row r="100" spans="1:11" ht="21" customHeight="1">
      <c r="A100" s="54" t="str">
        <f>'[01_Entry.xlsx]Pay'!B100</f>
        <v>empty</v>
      </c>
      <c r="B100" s="54" t="str">
        <f>'[01_Entry.xlsx]Pay'!C100</f>
        <v>empty</v>
      </c>
      <c r="C100" s="54">
        <f>'[01_Entry.xlsx]Pay'!J100</f>
        <v/>
      </c>
      <c r="D100" s="54" t="str">
        <f>'[01_Entry.xlsx]Pay'!D100</f>
        <v>empty</v>
      </c>
      <c r="E100" s="55" t="str">
        <f>'[01_Entry.xlsx]Pay'!F100</f>
        <v>empty</v>
      </c>
      <c r="F100" s="54" t="str">
        <f>'[01_Entry.xlsx]Pay'!I100</f>
        <v>empty</v>
      </c>
      <c r="G100" s="54">
        <f>'[01_Entry.xlsx]Pay'!M100</f>
        <v/>
      </c>
      <c r="H100" s="56" t="str">
        <f>'[01_Entry.xlsx]Pay'!K100</f>
        <v>empty</v>
      </c>
      <c r="I100" s="54" t="str">
        <f>'[01_Entry.xlsx]Pay'!L100</f>
        <v>empty</v>
      </c>
      <c r="J100" s="54">
        <f>IF(OR($C100="",$G100=""),"","—")</f>
        <v>0</v>
      </c>
      <c r="K100" s="54">
        <f>IF($C100="","",IF($I100="برگشتی","⚠ برگشت",IF($H100="در جریان","⏳ در جریان","✓")))</f>
        <v>0</v>
      </c>
    </row>
    <row r="101" spans="1:11" ht="21" customHeight="1">
      <c r="A101" s="54" t="str">
        <f>'[01_Entry.xlsx]Pay'!B101</f>
        <v>empty</v>
      </c>
      <c r="B101" s="54" t="str">
        <f>'[01_Entry.xlsx]Pay'!C101</f>
        <v>empty</v>
      </c>
      <c r="C101" s="54">
        <f>'[01_Entry.xlsx]Pay'!J101</f>
        <v/>
      </c>
      <c r="D101" s="54" t="str">
        <f>'[01_Entry.xlsx]Pay'!D101</f>
        <v>empty</v>
      </c>
      <c r="E101" s="55" t="str">
        <f>'[01_Entry.xlsx]Pay'!F101</f>
        <v>empty</v>
      </c>
      <c r="F101" s="54" t="str">
        <f>'[01_Entry.xlsx]Pay'!I101</f>
        <v>empty</v>
      </c>
      <c r="G101" s="54">
        <f>'[01_Entry.xlsx]Pay'!M101</f>
        <v/>
      </c>
      <c r="H101" s="56" t="str">
        <f>'[01_Entry.xlsx]Pay'!K101</f>
        <v>empty</v>
      </c>
      <c r="I101" s="54" t="str">
        <f>'[01_Entry.xlsx]Pay'!L101</f>
        <v>empty</v>
      </c>
      <c r="J101" s="54">
        <f>IF(OR($C101="",$G101=""),"","—")</f>
        <v>0</v>
      </c>
      <c r="K101" s="54">
        <f>IF($C101="","",IF($I101="برگشتی","⚠ برگشت",IF($H101="در جریان","⏳ در جریان","✓")))</f>
        <v>0</v>
      </c>
    </row>
    <row r="102" spans="1:11" ht="21" customHeight="1">
      <c r="A102" s="54" t="str">
        <f>'[01_Entry.xlsx]Pay'!B102</f>
        <v>empty</v>
      </c>
      <c r="B102" s="54" t="str">
        <f>'[01_Entry.xlsx]Pay'!C102</f>
        <v>empty</v>
      </c>
      <c r="C102" s="54">
        <f>'[01_Entry.xlsx]Pay'!J102</f>
        <v/>
      </c>
      <c r="D102" s="54" t="str">
        <f>'[01_Entry.xlsx]Pay'!D102</f>
        <v>empty</v>
      </c>
      <c r="E102" s="55" t="str">
        <f>'[01_Entry.xlsx]Pay'!F102</f>
        <v>empty</v>
      </c>
      <c r="F102" s="54" t="str">
        <f>'[01_Entry.xlsx]Pay'!I102</f>
        <v>empty</v>
      </c>
      <c r="G102" s="54">
        <f>'[01_Entry.xlsx]Pay'!M102</f>
        <v/>
      </c>
      <c r="H102" s="56" t="str">
        <f>'[01_Entry.xlsx]Pay'!K102</f>
        <v>empty</v>
      </c>
      <c r="I102" s="54" t="str">
        <f>'[01_Entry.xlsx]Pay'!L102</f>
        <v>empty</v>
      </c>
      <c r="J102" s="54">
        <f>IF(OR($C102="",$G102=""),"","—")</f>
        <v>0</v>
      </c>
      <c r="K102" s="54">
        <f>IF($C102="","",IF($I102="برگشتی","⚠ برگشت",IF($H102="در جریان","⏳ در جریان","✓")))</f>
        <v>0</v>
      </c>
    </row>
    <row r="103" spans="1:11" ht="21" customHeight="1">
      <c r="A103" s="54" t="str">
        <f>'[01_Entry.xlsx]Pay'!B103</f>
        <v>empty</v>
      </c>
      <c r="B103" s="54" t="str">
        <f>'[01_Entry.xlsx]Pay'!C103</f>
        <v>empty</v>
      </c>
      <c r="C103" s="54">
        <f>'[01_Entry.xlsx]Pay'!J103</f>
        <v/>
      </c>
      <c r="D103" s="54" t="str">
        <f>'[01_Entry.xlsx]Pay'!D103</f>
        <v>empty</v>
      </c>
      <c r="E103" s="55" t="str">
        <f>'[01_Entry.xlsx]Pay'!F103</f>
        <v>empty</v>
      </c>
      <c r="F103" s="54" t="str">
        <f>'[01_Entry.xlsx]Pay'!I103</f>
        <v>empty</v>
      </c>
      <c r="G103" s="54">
        <f>'[01_Entry.xlsx]Pay'!M103</f>
        <v/>
      </c>
      <c r="H103" s="56" t="str">
        <f>'[01_Entry.xlsx]Pay'!K103</f>
        <v>empty</v>
      </c>
      <c r="I103" s="54" t="str">
        <f>'[01_Entry.xlsx]Pay'!L103</f>
        <v>empty</v>
      </c>
      <c r="J103" s="54">
        <f>IF(OR($C103="",$G103=""),"","—")</f>
        <v>0</v>
      </c>
      <c r="K103" s="54">
        <f>IF($C103="","",IF($I103="برگشتی","⚠ برگشت",IF($H103="در جریان","⏳ در جریان","✓")))</f>
        <v>0</v>
      </c>
    </row>
    <row r="104" spans="1:11" ht="21" customHeight="1">
      <c r="A104" s="54" t="str">
        <f>'[01_Entry.xlsx]Pay'!B104</f>
        <v>empty</v>
      </c>
      <c r="B104" s="54" t="str">
        <f>'[01_Entry.xlsx]Pay'!C104</f>
        <v>empty</v>
      </c>
      <c r="C104" s="54">
        <f>'[01_Entry.xlsx]Pay'!J104</f>
        <v/>
      </c>
      <c r="D104" s="54" t="str">
        <f>'[01_Entry.xlsx]Pay'!D104</f>
        <v>empty</v>
      </c>
      <c r="E104" s="55" t="str">
        <f>'[01_Entry.xlsx]Pay'!F104</f>
        <v>empty</v>
      </c>
      <c r="F104" s="54" t="str">
        <f>'[01_Entry.xlsx]Pay'!I104</f>
        <v>empty</v>
      </c>
      <c r="G104" s="54">
        <f>'[01_Entry.xlsx]Pay'!M104</f>
        <v/>
      </c>
      <c r="H104" s="56" t="str">
        <f>'[01_Entry.xlsx]Pay'!K104</f>
        <v>empty</v>
      </c>
      <c r="I104" s="54" t="str">
        <f>'[01_Entry.xlsx]Pay'!L104</f>
        <v>empty</v>
      </c>
      <c r="J104" s="54">
        <f>IF(OR($C104="",$G104=""),"","—")</f>
        <v>0</v>
      </c>
      <c r="K104" s="54">
        <f>IF($C104="","",IF($I104="برگشتی","⚠ برگشت",IF($H104="در جریان","⏳ در جریان","✓")))</f>
        <v>0</v>
      </c>
    </row>
    <row r="105" spans="1:11" ht="21" customHeight="1">
      <c r="A105" s="54" t="str">
        <f>'[01_Entry.xlsx]Pay'!B105</f>
        <v>empty</v>
      </c>
      <c r="B105" s="54" t="str">
        <f>'[01_Entry.xlsx]Pay'!C105</f>
        <v>empty</v>
      </c>
      <c r="C105" s="54">
        <f>'[01_Entry.xlsx]Pay'!J105</f>
        <v/>
      </c>
      <c r="D105" s="54" t="str">
        <f>'[01_Entry.xlsx]Pay'!D105</f>
        <v>empty</v>
      </c>
      <c r="E105" s="55" t="str">
        <f>'[01_Entry.xlsx]Pay'!F105</f>
        <v>empty</v>
      </c>
      <c r="F105" s="54" t="str">
        <f>'[01_Entry.xlsx]Pay'!I105</f>
        <v>empty</v>
      </c>
      <c r="G105" s="54">
        <f>'[01_Entry.xlsx]Pay'!M105</f>
        <v/>
      </c>
      <c r="H105" s="56" t="str">
        <f>'[01_Entry.xlsx]Pay'!K105</f>
        <v>empty</v>
      </c>
      <c r="I105" s="54" t="str">
        <f>'[01_Entry.xlsx]Pay'!L105</f>
        <v>empty</v>
      </c>
      <c r="J105" s="54">
        <f>IF(OR($C105="",$G105=""),"","—")</f>
        <v>0</v>
      </c>
      <c r="K105" s="54">
        <f>IF($C105="","",IF($I105="برگشتی","⚠ برگشت",IF($H105="در جریان","⏳ در جریان","✓")))</f>
        <v>0</v>
      </c>
    </row>
    <row r="106" spans="1:11" ht="21" customHeight="1">
      <c r="A106" s="54" t="str">
        <f>'[01_Entry.xlsx]Pay'!B106</f>
        <v>empty</v>
      </c>
      <c r="B106" s="54" t="str">
        <f>'[01_Entry.xlsx]Pay'!C106</f>
        <v>empty</v>
      </c>
      <c r="C106" s="54">
        <f>'[01_Entry.xlsx]Pay'!J106</f>
        <v/>
      </c>
      <c r="D106" s="54" t="str">
        <f>'[01_Entry.xlsx]Pay'!D106</f>
        <v>empty</v>
      </c>
      <c r="E106" s="55" t="str">
        <f>'[01_Entry.xlsx]Pay'!F106</f>
        <v>empty</v>
      </c>
      <c r="F106" s="54" t="str">
        <f>'[01_Entry.xlsx]Pay'!I106</f>
        <v>empty</v>
      </c>
      <c r="G106" s="54">
        <f>'[01_Entry.xlsx]Pay'!M106</f>
        <v/>
      </c>
      <c r="H106" s="56" t="str">
        <f>'[01_Entry.xlsx]Pay'!K106</f>
        <v>empty</v>
      </c>
      <c r="I106" s="54" t="str">
        <f>'[01_Entry.xlsx]Pay'!L106</f>
        <v>empty</v>
      </c>
      <c r="J106" s="54">
        <f>IF(OR($C106="",$G106=""),"","—")</f>
        <v>0</v>
      </c>
      <c r="K106" s="54">
        <f>IF($C106="","",IF($I106="برگشتی","⚠ برگشت",IF($H106="در جریان","⏳ در جریان","✓")))</f>
        <v>0</v>
      </c>
    </row>
    <row r="107" spans="1:11" ht="21" customHeight="1">
      <c r="A107" s="54" t="str">
        <f>'[01_Entry.xlsx]Pay'!B107</f>
        <v>empty</v>
      </c>
      <c r="B107" s="54" t="str">
        <f>'[01_Entry.xlsx]Pay'!C107</f>
        <v>empty</v>
      </c>
      <c r="C107" s="54">
        <f>'[01_Entry.xlsx]Pay'!J107</f>
        <v/>
      </c>
      <c r="D107" s="54" t="str">
        <f>'[01_Entry.xlsx]Pay'!D107</f>
        <v>empty</v>
      </c>
      <c r="E107" s="55" t="str">
        <f>'[01_Entry.xlsx]Pay'!F107</f>
        <v>empty</v>
      </c>
      <c r="F107" s="54" t="str">
        <f>'[01_Entry.xlsx]Pay'!I107</f>
        <v>empty</v>
      </c>
      <c r="G107" s="54">
        <f>'[01_Entry.xlsx]Pay'!M107</f>
        <v/>
      </c>
      <c r="H107" s="56" t="str">
        <f>'[01_Entry.xlsx]Pay'!K107</f>
        <v>empty</v>
      </c>
      <c r="I107" s="54" t="str">
        <f>'[01_Entry.xlsx]Pay'!L107</f>
        <v>empty</v>
      </c>
      <c r="J107" s="54">
        <f>IF(OR($C107="",$G107=""),"","—")</f>
        <v>0</v>
      </c>
      <c r="K107" s="54">
        <f>IF($C107="","",IF($I107="برگشتی","⚠ برگشت",IF($H107="در جریان","⏳ در جریان","✓")))</f>
        <v>0</v>
      </c>
    </row>
    <row r="108" spans="1:11" ht="21" customHeight="1">
      <c r="A108" s="54" t="str">
        <f>'[01_Entry.xlsx]Pay'!B108</f>
        <v>empty</v>
      </c>
      <c r="B108" s="54" t="str">
        <f>'[01_Entry.xlsx]Pay'!C108</f>
        <v>empty</v>
      </c>
      <c r="C108" s="54">
        <f>'[01_Entry.xlsx]Pay'!J108</f>
        <v/>
      </c>
      <c r="D108" s="54" t="str">
        <f>'[01_Entry.xlsx]Pay'!D108</f>
        <v>empty</v>
      </c>
      <c r="E108" s="55" t="str">
        <f>'[01_Entry.xlsx]Pay'!F108</f>
        <v>empty</v>
      </c>
      <c r="F108" s="54" t="str">
        <f>'[01_Entry.xlsx]Pay'!I108</f>
        <v>empty</v>
      </c>
      <c r="G108" s="54">
        <f>'[01_Entry.xlsx]Pay'!M108</f>
        <v/>
      </c>
      <c r="H108" s="56" t="str">
        <f>'[01_Entry.xlsx]Pay'!K108</f>
        <v>empty</v>
      </c>
      <c r="I108" s="54" t="str">
        <f>'[01_Entry.xlsx]Pay'!L108</f>
        <v>empty</v>
      </c>
      <c r="J108" s="54">
        <f>IF(OR($C108="",$G108=""),"","—")</f>
        <v>0</v>
      </c>
      <c r="K108" s="54">
        <f>IF($C108="","",IF($I108="برگشتی","⚠ برگشت",IF($H108="در جریان","⏳ در جریان","✓")))</f>
        <v>0</v>
      </c>
    </row>
    <row r="109" spans="1:11" ht="21" customHeight="1">
      <c r="A109" s="54" t="str">
        <f>'[01_Entry.xlsx]Pay'!B109</f>
        <v>empty</v>
      </c>
      <c r="B109" s="54" t="str">
        <f>'[01_Entry.xlsx]Pay'!C109</f>
        <v>empty</v>
      </c>
      <c r="C109" s="54">
        <f>'[01_Entry.xlsx]Pay'!J109</f>
        <v/>
      </c>
      <c r="D109" s="54" t="str">
        <f>'[01_Entry.xlsx]Pay'!D109</f>
        <v>empty</v>
      </c>
      <c r="E109" s="55" t="str">
        <f>'[01_Entry.xlsx]Pay'!F109</f>
        <v>empty</v>
      </c>
      <c r="F109" s="54" t="str">
        <f>'[01_Entry.xlsx]Pay'!I109</f>
        <v>empty</v>
      </c>
      <c r="G109" s="54">
        <f>'[01_Entry.xlsx]Pay'!M109</f>
        <v/>
      </c>
      <c r="H109" s="56" t="str">
        <f>'[01_Entry.xlsx]Pay'!K109</f>
        <v>empty</v>
      </c>
      <c r="I109" s="54" t="str">
        <f>'[01_Entry.xlsx]Pay'!L109</f>
        <v>empty</v>
      </c>
      <c r="J109" s="54">
        <f>IF(OR($C109="",$G109=""),"","—")</f>
        <v>0</v>
      </c>
      <c r="K109" s="54">
        <f>IF($C109="","",IF($I109="برگشتی","⚠ برگشت",IF($H109="در جریان","⏳ در جریان","✓")))</f>
        <v>0</v>
      </c>
    </row>
    <row r="110" spans="1:11" ht="21" customHeight="1">
      <c r="A110" s="54" t="str">
        <f>'[01_Entry.xlsx]Pay'!B110</f>
        <v>empty</v>
      </c>
      <c r="B110" s="54" t="str">
        <f>'[01_Entry.xlsx]Pay'!C110</f>
        <v>empty</v>
      </c>
      <c r="C110" s="54">
        <f>'[01_Entry.xlsx]Pay'!J110</f>
        <v/>
      </c>
      <c r="D110" s="54" t="str">
        <f>'[01_Entry.xlsx]Pay'!D110</f>
        <v>empty</v>
      </c>
      <c r="E110" s="55" t="str">
        <f>'[01_Entry.xlsx]Pay'!F110</f>
        <v>empty</v>
      </c>
      <c r="F110" s="54" t="str">
        <f>'[01_Entry.xlsx]Pay'!I110</f>
        <v>empty</v>
      </c>
      <c r="G110" s="54">
        <f>'[01_Entry.xlsx]Pay'!M110</f>
        <v/>
      </c>
      <c r="H110" s="56" t="str">
        <f>'[01_Entry.xlsx]Pay'!K110</f>
        <v>empty</v>
      </c>
      <c r="I110" s="54" t="str">
        <f>'[01_Entry.xlsx]Pay'!L110</f>
        <v>empty</v>
      </c>
      <c r="J110" s="54">
        <f>IF(OR($C110="",$G110=""),"","—")</f>
        <v>0</v>
      </c>
      <c r="K110" s="54">
        <f>IF($C110="","",IF($I110="برگشتی","⚠ برگشت",IF($H110="در جریان","⏳ در جریان","✓")))</f>
        <v>0</v>
      </c>
    </row>
    <row r="111" spans="1:11" ht="21" customHeight="1">
      <c r="A111" s="54" t="str">
        <f>'[01_Entry.xlsx]Pay'!B111</f>
        <v>empty</v>
      </c>
      <c r="B111" s="54" t="str">
        <f>'[01_Entry.xlsx]Pay'!C111</f>
        <v>empty</v>
      </c>
      <c r="C111" s="54">
        <f>'[01_Entry.xlsx]Pay'!J111</f>
        <v/>
      </c>
      <c r="D111" s="54" t="str">
        <f>'[01_Entry.xlsx]Pay'!D111</f>
        <v>empty</v>
      </c>
      <c r="E111" s="55" t="str">
        <f>'[01_Entry.xlsx]Pay'!F111</f>
        <v>empty</v>
      </c>
      <c r="F111" s="54" t="str">
        <f>'[01_Entry.xlsx]Pay'!I111</f>
        <v>empty</v>
      </c>
      <c r="G111" s="54">
        <f>'[01_Entry.xlsx]Pay'!M111</f>
        <v/>
      </c>
      <c r="H111" s="56" t="str">
        <f>'[01_Entry.xlsx]Pay'!K111</f>
        <v>empty</v>
      </c>
      <c r="I111" s="54" t="str">
        <f>'[01_Entry.xlsx]Pay'!L111</f>
        <v>empty</v>
      </c>
      <c r="J111" s="54">
        <f>IF(OR($C111="",$G111=""),"","—")</f>
        <v>0</v>
      </c>
      <c r="K111" s="54">
        <f>IF($C111="","",IF($I111="برگشتی","⚠ برگشت",IF($H111="در جریان","⏳ در جریان","✓")))</f>
        <v>0</v>
      </c>
    </row>
    <row r="112" spans="1:11" ht="21" customHeight="1">
      <c r="A112" s="54" t="str">
        <f>'[01_Entry.xlsx]Pay'!B112</f>
        <v>empty</v>
      </c>
      <c r="B112" s="54" t="str">
        <f>'[01_Entry.xlsx]Pay'!C112</f>
        <v>empty</v>
      </c>
      <c r="C112" s="54">
        <f>'[01_Entry.xlsx]Pay'!J112</f>
        <v/>
      </c>
      <c r="D112" s="54" t="str">
        <f>'[01_Entry.xlsx]Pay'!D112</f>
        <v>empty</v>
      </c>
      <c r="E112" s="55" t="str">
        <f>'[01_Entry.xlsx]Pay'!F112</f>
        <v>empty</v>
      </c>
      <c r="F112" s="54" t="str">
        <f>'[01_Entry.xlsx]Pay'!I112</f>
        <v>empty</v>
      </c>
      <c r="G112" s="54">
        <f>'[01_Entry.xlsx]Pay'!M112</f>
        <v/>
      </c>
      <c r="H112" s="56" t="str">
        <f>'[01_Entry.xlsx]Pay'!K112</f>
        <v>empty</v>
      </c>
      <c r="I112" s="54" t="str">
        <f>'[01_Entry.xlsx]Pay'!L112</f>
        <v>empty</v>
      </c>
      <c r="J112" s="54">
        <f>IF(OR($C112="",$G112=""),"","—")</f>
        <v>0</v>
      </c>
      <c r="K112" s="54">
        <f>IF($C112="","",IF($I112="برگشتی","⚠ برگشت",IF($H112="در جریان","⏳ در جریان","✓")))</f>
        <v>0</v>
      </c>
    </row>
    <row r="113" spans="1:11" ht="21" customHeight="1">
      <c r="A113" s="54" t="str">
        <f>'[01_Entry.xlsx]Pay'!B113</f>
        <v>empty</v>
      </c>
      <c r="B113" s="54" t="str">
        <f>'[01_Entry.xlsx]Pay'!C113</f>
        <v>empty</v>
      </c>
      <c r="C113" s="54">
        <f>'[01_Entry.xlsx]Pay'!J113</f>
        <v/>
      </c>
      <c r="D113" s="54" t="str">
        <f>'[01_Entry.xlsx]Pay'!D113</f>
        <v>empty</v>
      </c>
      <c r="E113" s="55" t="str">
        <f>'[01_Entry.xlsx]Pay'!F113</f>
        <v>empty</v>
      </c>
      <c r="F113" s="54" t="str">
        <f>'[01_Entry.xlsx]Pay'!I113</f>
        <v>empty</v>
      </c>
      <c r="G113" s="54">
        <f>'[01_Entry.xlsx]Pay'!M113</f>
        <v/>
      </c>
      <c r="H113" s="56" t="str">
        <f>'[01_Entry.xlsx]Pay'!K113</f>
        <v>empty</v>
      </c>
      <c r="I113" s="54" t="str">
        <f>'[01_Entry.xlsx]Pay'!L113</f>
        <v>empty</v>
      </c>
      <c r="J113" s="54">
        <f>IF(OR($C113="",$G113=""),"","—")</f>
        <v>0</v>
      </c>
      <c r="K113" s="54">
        <f>IF($C113="","",IF($I113="برگشتی","⚠ برگشت",IF($H113="در جریان","⏳ در جریان","✓")))</f>
        <v>0</v>
      </c>
    </row>
    <row r="114" spans="1:11" ht="21" customHeight="1">
      <c r="A114" s="54" t="str">
        <f>'[01_Entry.xlsx]Pay'!B114</f>
        <v>empty</v>
      </c>
      <c r="B114" s="54" t="str">
        <f>'[01_Entry.xlsx]Pay'!C114</f>
        <v>empty</v>
      </c>
      <c r="C114" s="54">
        <f>'[01_Entry.xlsx]Pay'!J114</f>
        <v/>
      </c>
      <c r="D114" s="54" t="str">
        <f>'[01_Entry.xlsx]Pay'!D114</f>
        <v>empty</v>
      </c>
      <c r="E114" s="55" t="str">
        <f>'[01_Entry.xlsx]Pay'!F114</f>
        <v>empty</v>
      </c>
      <c r="F114" s="54" t="str">
        <f>'[01_Entry.xlsx]Pay'!I114</f>
        <v>empty</v>
      </c>
      <c r="G114" s="54">
        <f>'[01_Entry.xlsx]Pay'!M114</f>
        <v/>
      </c>
      <c r="H114" s="56" t="str">
        <f>'[01_Entry.xlsx]Pay'!K114</f>
        <v>empty</v>
      </c>
      <c r="I114" s="54" t="str">
        <f>'[01_Entry.xlsx]Pay'!L114</f>
        <v>empty</v>
      </c>
      <c r="J114" s="54">
        <f>IF(OR($C114="",$G114=""),"","—")</f>
        <v>0</v>
      </c>
      <c r="K114" s="54">
        <f>IF($C114="","",IF($I114="برگشتی","⚠ برگشت",IF($H114="در جریان","⏳ در جریان","✓")))</f>
        <v>0</v>
      </c>
    </row>
    <row r="115" spans="1:11" ht="21" customHeight="1">
      <c r="A115" s="54" t="str">
        <f>'[01_Entry.xlsx]Pay'!B115</f>
        <v>empty</v>
      </c>
      <c r="B115" s="54" t="str">
        <f>'[01_Entry.xlsx]Pay'!C115</f>
        <v>empty</v>
      </c>
      <c r="C115" s="54">
        <f>'[01_Entry.xlsx]Pay'!J115</f>
        <v/>
      </c>
      <c r="D115" s="54" t="str">
        <f>'[01_Entry.xlsx]Pay'!D115</f>
        <v>empty</v>
      </c>
      <c r="E115" s="55" t="str">
        <f>'[01_Entry.xlsx]Pay'!F115</f>
        <v>empty</v>
      </c>
      <c r="F115" s="54" t="str">
        <f>'[01_Entry.xlsx]Pay'!I115</f>
        <v>empty</v>
      </c>
      <c r="G115" s="54">
        <f>'[01_Entry.xlsx]Pay'!M115</f>
        <v/>
      </c>
      <c r="H115" s="56" t="str">
        <f>'[01_Entry.xlsx]Pay'!K115</f>
        <v>empty</v>
      </c>
      <c r="I115" s="54" t="str">
        <f>'[01_Entry.xlsx]Pay'!L115</f>
        <v>empty</v>
      </c>
      <c r="J115" s="54">
        <f>IF(OR($C115="",$G115=""),"","—")</f>
        <v>0</v>
      </c>
      <c r="K115" s="54">
        <f>IF($C115="","",IF($I115="برگشتی","⚠ برگشت",IF($H115="در جریان","⏳ در جریان","✓")))</f>
        <v>0</v>
      </c>
    </row>
    <row r="116" spans="1:11" ht="21" customHeight="1">
      <c r="A116" s="54" t="str">
        <f>'[01_Entry.xlsx]Pay'!B116</f>
        <v>empty</v>
      </c>
      <c r="B116" s="54" t="str">
        <f>'[01_Entry.xlsx]Pay'!C116</f>
        <v>empty</v>
      </c>
      <c r="C116" s="54">
        <f>'[01_Entry.xlsx]Pay'!J116</f>
        <v/>
      </c>
      <c r="D116" s="54" t="str">
        <f>'[01_Entry.xlsx]Pay'!D116</f>
        <v>empty</v>
      </c>
      <c r="E116" s="55" t="str">
        <f>'[01_Entry.xlsx]Pay'!F116</f>
        <v>empty</v>
      </c>
      <c r="F116" s="54" t="str">
        <f>'[01_Entry.xlsx]Pay'!I116</f>
        <v>empty</v>
      </c>
      <c r="G116" s="54">
        <f>'[01_Entry.xlsx]Pay'!M116</f>
        <v/>
      </c>
      <c r="H116" s="56" t="str">
        <f>'[01_Entry.xlsx]Pay'!K116</f>
        <v>empty</v>
      </c>
      <c r="I116" s="54" t="str">
        <f>'[01_Entry.xlsx]Pay'!L116</f>
        <v>empty</v>
      </c>
      <c r="J116" s="54">
        <f>IF(OR($C116="",$G116=""),"","—")</f>
        <v>0</v>
      </c>
      <c r="K116" s="54">
        <f>IF($C116="","",IF($I116="برگشتی","⚠ برگشت",IF($H116="در جریان","⏳ در جریان","✓")))</f>
        <v>0</v>
      </c>
    </row>
    <row r="117" spans="1:11" ht="21" customHeight="1">
      <c r="A117" s="54" t="str">
        <f>'[01_Entry.xlsx]Pay'!B117</f>
        <v>empty</v>
      </c>
      <c r="B117" s="54" t="str">
        <f>'[01_Entry.xlsx]Pay'!C117</f>
        <v>empty</v>
      </c>
      <c r="C117" s="54">
        <f>'[01_Entry.xlsx]Pay'!J117</f>
        <v/>
      </c>
      <c r="D117" s="54" t="str">
        <f>'[01_Entry.xlsx]Pay'!D117</f>
        <v>empty</v>
      </c>
      <c r="E117" s="55" t="str">
        <f>'[01_Entry.xlsx]Pay'!F117</f>
        <v>empty</v>
      </c>
      <c r="F117" s="54" t="str">
        <f>'[01_Entry.xlsx]Pay'!I117</f>
        <v>empty</v>
      </c>
      <c r="G117" s="54">
        <f>'[01_Entry.xlsx]Pay'!M117</f>
        <v/>
      </c>
      <c r="H117" s="56" t="str">
        <f>'[01_Entry.xlsx]Pay'!K117</f>
        <v>empty</v>
      </c>
      <c r="I117" s="54" t="str">
        <f>'[01_Entry.xlsx]Pay'!L117</f>
        <v>empty</v>
      </c>
      <c r="J117" s="54">
        <f>IF(OR($C117="",$G117=""),"","—")</f>
        <v>0</v>
      </c>
      <c r="K117" s="54">
        <f>IF($C117="","",IF($I117="برگشتی","⚠ برگشت",IF($H117="در جریان","⏳ در جریان","✓")))</f>
        <v>0</v>
      </c>
    </row>
    <row r="118" spans="1:11" ht="21" customHeight="1">
      <c r="A118" s="54" t="str">
        <f>'[01_Entry.xlsx]Pay'!B118</f>
        <v>empty</v>
      </c>
      <c r="B118" s="54" t="str">
        <f>'[01_Entry.xlsx]Pay'!C118</f>
        <v>empty</v>
      </c>
      <c r="C118" s="54">
        <f>'[01_Entry.xlsx]Pay'!J118</f>
        <v/>
      </c>
      <c r="D118" s="54" t="str">
        <f>'[01_Entry.xlsx]Pay'!D118</f>
        <v>empty</v>
      </c>
      <c r="E118" s="55" t="str">
        <f>'[01_Entry.xlsx]Pay'!F118</f>
        <v>empty</v>
      </c>
      <c r="F118" s="54" t="str">
        <f>'[01_Entry.xlsx]Pay'!I118</f>
        <v>empty</v>
      </c>
      <c r="G118" s="54">
        <f>'[01_Entry.xlsx]Pay'!M118</f>
        <v/>
      </c>
      <c r="H118" s="56" t="str">
        <f>'[01_Entry.xlsx]Pay'!K118</f>
        <v>empty</v>
      </c>
      <c r="I118" s="54" t="str">
        <f>'[01_Entry.xlsx]Pay'!L118</f>
        <v>empty</v>
      </c>
      <c r="J118" s="54">
        <f>IF(OR($C118="",$G118=""),"","—")</f>
        <v>0</v>
      </c>
      <c r="K118" s="54">
        <f>IF($C118="","",IF($I118="برگشتی","⚠ برگشت",IF($H118="در جریان","⏳ در جریان","✓")))</f>
        <v>0</v>
      </c>
    </row>
    <row r="119" spans="1:11" ht="21" customHeight="1">
      <c r="A119" s="54" t="str">
        <f>'[01_Entry.xlsx]Pay'!B119</f>
        <v>empty</v>
      </c>
      <c r="B119" s="54" t="str">
        <f>'[01_Entry.xlsx]Pay'!C119</f>
        <v>empty</v>
      </c>
      <c r="C119" s="54">
        <f>'[01_Entry.xlsx]Pay'!J119</f>
        <v/>
      </c>
      <c r="D119" s="54" t="str">
        <f>'[01_Entry.xlsx]Pay'!D119</f>
        <v>empty</v>
      </c>
      <c r="E119" s="55" t="str">
        <f>'[01_Entry.xlsx]Pay'!F119</f>
        <v>empty</v>
      </c>
      <c r="F119" s="54" t="str">
        <f>'[01_Entry.xlsx]Pay'!I119</f>
        <v>empty</v>
      </c>
      <c r="G119" s="54">
        <f>'[01_Entry.xlsx]Pay'!M119</f>
        <v/>
      </c>
      <c r="H119" s="56" t="str">
        <f>'[01_Entry.xlsx]Pay'!K119</f>
        <v>empty</v>
      </c>
      <c r="I119" s="54" t="str">
        <f>'[01_Entry.xlsx]Pay'!L119</f>
        <v>empty</v>
      </c>
      <c r="J119" s="54">
        <f>IF(OR($C119="",$G119=""),"","—")</f>
        <v>0</v>
      </c>
      <c r="K119" s="54">
        <f>IF($C119="","",IF($I119="برگشتی","⚠ برگشت",IF($H119="در جریان","⏳ در جریان","✓")))</f>
        <v>0</v>
      </c>
    </row>
    <row r="120" spans="1:11" ht="21" customHeight="1">
      <c r="A120" s="54" t="str">
        <f>'[01_Entry.xlsx]Pay'!B120</f>
        <v>empty</v>
      </c>
      <c r="B120" s="54" t="str">
        <f>'[01_Entry.xlsx]Pay'!C120</f>
        <v>empty</v>
      </c>
      <c r="C120" s="54">
        <f>'[01_Entry.xlsx]Pay'!J120</f>
        <v/>
      </c>
      <c r="D120" s="54" t="str">
        <f>'[01_Entry.xlsx]Pay'!D120</f>
        <v>empty</v>
      </c>
      <c r="E120" s="55" t="str">
        <f>'[01_Entry.xlsx]Pay'!F120</f>
        <v>empty</v>
      </c>
      <c r="F120" s="54" t="str">
        <f>'[01_Entry.xlsx]Pay'!I120</f>
        <v>empty</v>
      </c>
      <c r="G120" s="54">
        <f>'[01_Entry.xlsx]Pay'!M120</f>
        <v/>
      </c>
      <c r="H120" s="56" t="str">
        <f>'[01_Entry.xlsx]Pay'!K120</f>
        <v>empty</v>
      </c>
      <c r="I120" s="54" t="str">
        <f>'[01_Entry.xlsx]Pay'!L120</f>
        <v>empty</v>
      </c>
      <c r="J120" s="54">
        <f>IF(OR($C120="",$G120=""),"","—")</f>
        <v>0</v>
      </c>
      <c r="K120" s="54">
        <f>IF($C120="","",IF($I120="برگشتی","⚠ برگشت",IF($H120="در جریان","⏳ در جریان","✓")))</f>
        <v>0</v>
      </c>
    </row>
    <row r="121" spans="1:11" ht="21" customHeight="1">
      <c r="A121" s="54" t="str">
        <f>'[01_Entry.xlsx]Pay'!B121</f>
        <v>empty</v>
      </c>
      <c r="B121" s="54" t="str">
        <f>'[01_Entry.xlsx]Pay'!C121</f>
        <v>empty</v>
      </c>
      <c r="C121" s="54">
        <f>'[01_Entry.xlsx]Pay'!J121</f>
        <v/>
      </c>
      <c r="D121" s="54" t="str">
        <f>'[01_Entry.xlsx]Pay'!D121</f>
        <v>empty</v>
      </c>
      <c r="E121" s="55" t="str">
        <f>'[01_Entry.xlsx]Pay'!F121</f>
        <v>empty</v>
      </c>
      <c r="F121" s="54" t="str">
        <f>'[01_Entry.xlsx]Pay'!I121</f>
        <v>empty</v>
      </c>
      <c r="G121" s="54">
        <f>'[01_Entry.xlsx]Pay'!M121</f>
        <v/>
      </c>
      <c r="H121" s="56" t="str">
        <f>'[01_Entry.xlsx]Pay'!K121</f>
        <v>empty</v>
      </c>
      <c r="I121" s="54" t="str">
        <f>'[01_Entry.xlsx]Pay'!L121</f>
        <v>empty</v>
      </c>
      <c r="J121" s="54">
        <f>IF(OR($C121="",$G121=""),"","—")</f>
        <v>0</v>
      </c>
      <c r="K121" s="54">
        <f>IF($C121="","",IF($I121="برگشتی","⚠ برگشت",IF($H121="در جریان","⏳ در جریان","✓")))</f>
        <v>0</v>
      </c>
    </row>
    <row r="122" spans="1:11" ht="21" customHeight="1">
      <c r="A122" s="54" t="str">
        <f>'[01_Entry.xlsx]Pay'!B122</f>
        <v>empty</v>
      </c>
      <c r="B122" s="54" t="str">
        <f>'[01_Entry.xlsx]Pay'!C122</f>
        <v>empty</v>
      </c>
      <c r="C122" s="54">
        <f>'[01_Entry.xlsx]Pay'!J122</f>
        <v/>
      </c>
      <c r="D122" s="54" t="str">
        <f>'[01_Entry.xlsx]Pay'!D122</f>
        <v>empty</v>
      </c>
      <c r="E122" s="55" t="str">
        <f>'[01_Entry.xlsx]Pay'!F122</f>
        <v>empty</v>
      </c>
      <c r="F122" s="54" t="str">
        <f>'[01_Entry.xlsx]Pay'!I122</f>
        <v>empty</v>
      </c>
      <c r="G122" s="54">
        <f>'[01_Entry.xlsx]Pay'!M122</f>
        <v/>
      </c>
      <c r="H122" s="56" t="str">
        <f>'[01_Entry.xlsx]Pay'!K122</f>
        <v>empty</v>
      </c>
      <c r="I122" s="54" t="str">
        <f>'[01_Entry.xlsx]Pay'!L122</f>
        <v>empty</v>
      </c>
      <c r="J122" s="54">
        <f>IF(OR($C122="",$G122=""),"","—")</f>
        <v>0</v>
      </c>
      <c r="K122" s="54">
        <f>IF($C122="","",IF($I122="برگشتی","⚠ برگشت",IF($H122="در جریان","⏳ در جریان","✓")))</f>
        <v>0</v>
      </c>
    </row>
    <row r="123" spans="1:11" ht="21" customHeight="1">
      <c r="A123" s="54" t="str">
        <f>'[01_Entry.xlsx]Pay'!B123</f>
        <v>empty</v>
      </c>
      <c r="B123" s="54" t="str">
        <f>'[01_Entry.xlsx]Pay'!C123</f>
        <v>empty</v>
      </c>
      <c r="C123" s="54">
        <f>'[01_Entry.xlsx]Pay'!J123</f>
        <v/>
      </c>
      <c r="D123" s="54" t="str">
        <f>'[01_Entry.xlsx]Pay'!D123</f>
        <v>empty</v>
      </c>
      <c r="E123" s="55" t="str">
        <f>'[01_Entry.xlsx]Pay'!F123</f>
        <v>empty</v>
      </c>
      <c r="F123" s="54" t="str">
        <f>'[01_Entry.xlsx]Pay'!I123</f>
        <v>empty</v>
      </c>
      <c r="G123" s="54">
        <f>'[01_Entry.xlsx]Pay'!M123</f>
        <v/>
      </c>
      <c r="H123" s="56" t="str">
        <f>'[01_Entry.xlsx]Pay'!K123</f>
        <v>empty</v>
      </c>
      <c r="I123" s="54" t="str">
        <f>'[01_Entry.xlsx]Pay'!L123</f>
        <v>empty</v>
      </c>
      <c r="J123" s="54">
        <f>IF(OR($C123="",$G123=""),"","—")</f>
        <v>0</v>
      </c>
      <c r="K123" s="54">
        <f>IF($C123="","",IF($I123="برگشتی","⚠ برگشت",IF($H123="در جریان","⏳ در جریان","✓")))</f>
        <v>0</v>
      </c>
    </row>
    <row r="124" spans="1:11" ht="21" customHeight="1">
      <c r="A124" s="54" t="str">
        <f>'[01_Entry.xlsx]Pay'!B124</f>
        <v>empty</v>
      </c>
      <c r="B124" s="54" t="str">
        <f>'[01_Entry.xlsx]Pay'!C124</f>
        <v>empty</v>
      </c>
      <c r="C124" s="54">
        <f>'[01_Entry.xlsx]Pay'!J124</f>
        <v/>
      </c>
      <c r="D124" s="54" t="str">
        <f>'[01_Entry.xlsx]Pay'!D124</f>
        <v>empty</v>
      </c>
      <c r="E124" s="55" t="str">
        <f>'[01_Entry.xlsx]Pay'!F124</f>
        <v>empty</v>
      </c>
      <c r="F124" s="54" t="str">
        <f>'[01_Entry.xlsx]Pay'!I124</f>
        <v>empty</v>
      </c>
      <c r="G124" s="54">
        <f>'[01_Entry.xlsx]Pay'!M124</f>
        <v/>
      </c>
      <c r="H124" s="56" t="str">
        <f>'[01_Entry.xlsx]Pay'!K124</f>
        <v>empty</v>
      </c>
      <c r="I124" s="54" t="str">
        <f>'[01_Entry.xlsx]Pay'!L124</f>
        <v>empty</v>
      </c>
      <c r="J124" s="54">
        <f>IF(OR($C124="",$G124=""),"","—")</f>
        <v>0</v>
      </c>
      <c r="K124" s="54">
        <f>IF($C124="","",IF($I124="برگشتی","⚠ برگشت",IF($H124="در جریان","⏳ در جریان","✓")))</f>
        <v>0</v>
      </c>
    </row>
    <row r="125" spans="1:11" ht="21" customHeight="1">
      <c r="A125" s="54" t="str">
        <f>'[01_Entry.xlsx]Pay'!B125</f>
        <v>empty</v>
      </c>
      <c r="B125" s="54" t="str">
        <f>'[01_Entry.xlsx]Pay'!C125</f>
        <v>empty</v>
      </c>
      <c r="C125" s="54">
        <f>'[01_Entry.xlsx]Pay'!J125</f>
        <v/>
      </c>
      <c r="D125" s="54" t="str">
        <f>'[01_Entry.xlsx]Pay'!D125</f>
        <v>empty</v>
      </c>
      <c r="E125" s="55" t="str">
        <f>'[01_Entry.xlsx]Pay'!F125</f>
        <v>empty</v>
      </c>
      <c r="F125" s="54" t="str">
        <f>'[01_Entry.xlsx]Pay'!I125</f>
        <v>empty</v>
      </c>
      <c r="G125" s="54">
        <f>'[01_Entry.xlsx]Pay'!M125</f>
        <v/>
      </c>
      <c r="H125" s="56" t="str">
        <f>'[01_Entry.xlsx]Pay'!K125</f>
        <v>empty</v>
      </c>
      <c r="I125" s="54" t="str">
        <f>'[01_Entry.xlsx]Pay'!L125</f>
        <v>empty</v>
      </c>
      <c r="J125" s="54">
        <f>IF(OR($C125="",$G125=""),"","—")</f>
        <v>0</v>
      </c>
      <c r="K125" s="54">
        <f>IF($C125="","",IF($I125="برگشتی","⚠ برگشت",IF($H125="در جریان","⏳ در جریان","✓")))</f>
        <v>0</v>
      </c>
    </row>
    <row r="126" spans="1:11" ht="21" customHeight="1">
      <c r="A126" s="54" t="str">
        <f>'[01_Entry.xlsx]Pay'!B126</f>
        <v>empty</v>
      </c>
      <c r="B126" s="54" t="str">
        <f>'[01_Entry.xlsx]Pay'!C126</f>
        <v>empty</v>
      </c>
      <c r="C126" s="54">
        <f>'[01_Entry.xlsx]Pay'!J126</f>
        <v/>
      </c>
      <c r="D126" s="54" t="str">
        <f>'[01_Entry.xlsx]Pay'!D126</f>
        <v>empty</v>
      </c>
      <c r="E126" s="55" t="str">
        <f>'[01_Entry.xlsx]Pay'!F126</f>
        <v>empty</v>
      </c>
      <c r="F126" s="54" t="str">
        <f>'[01_Entry.xlsx]Pay'!I126</f>
        <v>empty</v>
      </c>
      <c r="G126" s="54">
        <f>'[01_Entry.xlsx]Pay'!M126</f>
        <v/>
      </c>
      <c r="H126" s="56" t="str">
        <f>'[01_Entry.xlsx]Pay'!K126</f>
        <v>empty</v>
      </c>
      <c r="I126" s="54" t="str">
        <f>'[01_Entry.xlsx]Pay'!L126</f>
        <v>empty</v>
      </c>
      <c r="J126" s="54">
        <f>IF(OR($C126="",$G126=""),"","—")</f>
        <v>0</v>
      </c>
      <c r="K126" s="54">
        <f>IF($C126="","",IF($I126="برگشتی","⚠ برگشت",IF($H126="در جریان","⏳ در جریان","✓")))</f>
        <v>0</v>
      </c>
    </row>
    <row r="127" spans="1:11" ht="21" customHeight="1">
      <c r="A127" s="54" t="str">
        <f>'[01_Entry.xlsx]Pay'!B127</f>
        <v>empty</v>
      </c>
      <c r="B127" s="54" t="str">
        <f>'[01_Entry.xlsx]Pay'!C127</f>
        <v>empty</v>
      </c>
      <c r="C127" s="54">
        <f>'[01_Entry.xlsx]Pay'!J127</f>
        <v/>
      </c>
      <c r="D127" s="54" t="str">
        <f>'[01_Entry.xlsx]Pay'!D127</f>
        <v>empty</v>
      </c>
      <c r="E127" s="55" t="str">
        <f>'[01_Entry.xlsx]Pay'!F127</f>
        <v>empty</v>
      </c>
      <c r="F127" s="54" t="str">
        <f>'[01_Entry.xlsx]Pay'!I127</f>
        <v>empty</v>
      </c>
      <c r="G127" s="54">
        <f>'[01_Entry.xlsx]Pay'!M127</f>
        <v/>
      </c>
      <c r="H127" s="56" t="str">
        <f>'[01_Entry.xlsx]Pay'!K127</f>
        <v>empty</v>
      </c>
      <c r="I127" s="54" t="str">
        <f>'[01_Entry.xlsx]Pay'!L127</f>
        <v>empty</v>
      </c>
      <c r="J127" s="54">
        <f>IF(OR($C127="",$G127=""),"","—")</f>
        <v>0</v>
      </c>
      <c r="K127" s="54">
        <f>IF($C127="","",IF($I127="برگشتی","⚠ برگشت",IF($H127="در جریان","⏳ در جریان","✓")))</f>
        <v>0</v>
      </c>
    </row>
    <row r="128" spans="1:11" ht="21" customHeight="1">
      <c r="A128" s="54" t="str">
        <f>'[01_Entry.xlsx]Pay'!B128</f>
        <v>empty</v>
      </c>
      <c r="B128" s="54" t="str">
        <f>'[01_Entry.xlsx]Pay'!C128</f>
        <v>empty</v>
      </c>
      <c r="C128" s="54">
        <f>'[01_Entry.xlsx]Pay'!J128</f>
        <v/>
      </c>
      <c r="D128" s="54" t="str">
        <f>'[01_Entry.xlsx]Pay'!D128</f>
        <v>empty</v>
      </c>
      <c r="E128" s="55" t="str">
        <f>'[01_Entry.xlsx]Pay'!F128</f>
        <v>empty</v>
      </c>
      <c r="F128" s="54" t="str">
        <f>'[01_Entry.xlsx]Pay'!I128</f>
        <v>empty</v>
      </c>
      <c r="G128" s="54">
        <f>'[01_Entry.xlsx]Pay'!M128</f>
        <v/>
      </c>
      <c r="H128" s="56" t="str">
        <f>'[01_Entry.xlsx]Pay'!K128</f>
        <v>empty</v>
      </c>
      <c r="I128" s="54" t="str">
        <f>'[01_Entry.xlsx]Pay'!L128</f>
        <v>empty</v>
      </c>
      <c r="J128" s="54">
        <f>IF(OR($C128="",$G128=""),"","—")</f>
        <v>0</v>
      </c>
      <c r="K128" s="54">
        <f>IF($C128="","",IF($I128="برگشتی","⚠ برگشت",IF($H128="در جریان","⏳ در جریان","✓")))</f>
        <v>0</v>
      </c>
    </row>
    <row r="129" spans="1:11" ht="21" customHeight="1">
      <c r="A129" s="54" t="str">
        <f>'[01_Entry.xlsx]Pay'!B129</f>
        <v>empty</v>
      </c>
      <c r="B129" s="54" t="str">
        <f>'[01_Entry.xlsx]Pay'!C129</f>
        <v>empty</v>
      </c>
      <c r="C129" s="54">
        <f>'[01_Entry.xlsx]Pay'!J129</f>
        <v/>
      </c>
      <c r="D129" s="54" t="str">
        <f>'[01_Entry.xlsx]Pay'!D129</f>
        <v>empty</v>
      </c>
      <c r="E129" s="55" t="str">
        <f>'[01_Entry.xlsx]Pay'!F129</f>
        <v>empty</v>
      </c>
      <c r="F129" s="54" t="str">
        <f>'[01_Entry.xlsx]Pay'!I129</f>
        <v>empty</v>
      </c>
      <c r="G129" s="54">
        <f>'[01_Entry.xlsx]Pay'!M129</f>
        <v/>
      </c>
      <c r="H129" s="56" t="str">
        <f>'[01_Entry.xlsx]Pay'!K129</f>
        <v>empty</v>
      </c>
      <c r="I129" s="54" t="str">
        <f>'[01_Entry.xlsx]Pay'!L129</f>
        <v>empty</v>
      </c>
      <c r="J129" s="54">
        <f>IF(OR($C129="",$G129=""),"","—")</f>
        <v>0</v>
      </c>
      <c r="K129" s="54">
        <f>IF($C129="","",IF($I129="برگشتی","⚠ برگشت",IF($H129="در جریان","⏳ در جریان","✓")))</f>
        <v>0</v>
      </c>
    </row>
    <row r="130" spans="1:11" ht="21" customHeight="1">
      <c r="A130" s="54" t="str">
        <f>'[01_Entry.xlsx]Pay'!B130</f>
        <v>empty</v>
      </c>
      <c r="B130" s="54" t="str">
        <f>'[01_Entry.xlsx]Pay'!C130</f>
        <v>empty</v>
      </c>
      <c r="C130" s="54">
        <f>'[01_Entry.xlsx]Pay'!J130</f>
        <v/>
      </c>
      <c r="D130" s="54" t="str">
        <f>'[01_Entry.xlsx]Pay'!D130</f>
        <v>empty</v>
      </c>
      <c r="E130" s="55" t="str">
        <f>'[01_Entry.xlsx]Pay'!F130</f>
        <v>empty</v>
      </c>
      <c r="F130" s="54" t="str">
        <f>'[01_Entry.xlsx]Pay'!I130</f>
        <v>empty</v>
      </c>
      <c r="G130" s="54">
        <f>'[01_Entry.xlsx]Pay'!M130</f>
        <v/>
      </c>
      <c r="H130" s="56" t="str">
        <f>'[01_Entry.xlsx]Pay'!K130</f>
        <v>empty</v>
      </c>
      <c r="I130" s="54" t="str">
        <f>'[01_Entry.xlsx]Pay'!L130</f>
        <v>empty</v>
      </c>
      <c r="J130" s="54">
        <f>IF(OR($C130="",$G130=""),"","—")</f>
        <v>0</v>
      </c>
      <c r="K130" s="54">
        <f>IF($C130="","",IF($I130="برگشتی","⚠ برگشت",IF($H130="در جریان","⏳ در جریان","✓")))</f>
        <v>0</v>
      </c>
    </row>
    <row r="131" spans="1:11" ht="21" customHeight="1">
      <c r="A131" s="54" t="str">
        <f>'[01_Entry.xlsx]Pay'!B131</f>
        <v>empty</v>
      </c>
      <c r="B131" s="54" t="str">
        <f>'[01_Entry.xlsx]Pay'!C131</f>
        <v>empty</v>
      </c>
      <c r="C131" s="54">
        <f>'[01_Entry.xlsx]Pay'!J131</f>
        <v/>
      </c>
      <c r="D131" s="54" t="str">
        <f>'[01_Entry.xlsx]Pay'!D131</f>
        <v>empty</v>
      </c>
      <c r="E131" s="55" t="str">
        <f>'[01_Entry.xlsx]Pay'!F131</f>
        <v>empty</v>
      </c>
      <c r="F131" s="54" t="str">
        <f>'[01_Entry.xlsx]Pay'!I131</f>
        <v>empty</v>
      </c>
      <c r="G131" s="54">
        <f>'[01_Entry.xlsx]Pay'!M131</f>
        <v/>
      </c>
      <c r="H131" s="56" t="str">
        <f>'[01_Entry.xlsx]Pay'!K131</f>
        <v>empty</v>
      </c>
      <c r="I131" s="54" t="str">
        <f>'[01_Entry.xlsx]Pay'!L131</f>
        <v>empty</v>
      </c>
      <c r="J131" s="54">
        <f>IF(OR($C131="",$G131=""),"","—")</f>
        <v>0</v>
      </c>
      <c r="K131" s="54">
        <f>IF($C131="","",IF($I131="برگشتی","⚠ برگشت",IF($H131="در جریان","⏳ در جریان","✓")))</f>
        <v>0</v>
      </c>
    </row>
    <row r="132" spans="1:11" ht="21" customHeight="1">
      <c r="A132" s="54" t="str">
        <f>'[01_Entry.xlsx]Pay'!B132</f>
        <v>empty</v>
      </c>
      <c r="B132" s="54" t="str">
        <f>'[01_Entry.xlsx]Pay'!C132</f>
        <v>empty</v>
      </c>
      <c r="C132" s="54">
        <f>'[01_Entry.xlsx]Pay'!J132</f>
        <v/>
      </c>
      <c r="D132" s="54" t="str">
        <f>'[01_Entry.xlsx]Pay'!D132</f>
        <v>empty</v>
      </c>
      <c r="E132" s="55" t="str">
        <f>'[01_Entry.xlsx]Pay'!F132</f>
        <v>empty</v>
      </c>
      <c r="F132" s="54" t="str">
        <f>'[01_Entry.xlsx]Pay'!I132</f>
        <v>empty</v>
      </c>
      <c r="G132" s="54">
        <f>'[01_Entry.xlsx]Pay'!M132</f>
        <v/>
      </c>
      <c r="H132" s="56" t="str">
        <f>'[01_Entry.xlsx]Pay'!K132</f>
        <v>empty</v>
      </c>
      <c r="I132" s="54" t="str">
        <f>'[01_Entry.xlsx]Pay'!L132</f>
        <v>empty</v>
      </c>
      <c r="J132" s="54">
        <f>IF(OR($C132="",$G132=""),"","—")</f>
        <v>0</v>
      </c>
      <c r="K132" s="54">
        <f>IF($C132="","",IF($I132="برگشتی","⚠ برگشت",IF($H132="در جریان","⏳ در جریان","✓")))</f>
        <v>0</v>
      </c>
    </row>
    <row r="133" spans="1:11" ht="21" customHeight="1">
      <c r="A133" s="54" t="str">
        <f>'[01_Entry.xlsx]Pay'!B133</f>
        <v>empty</v>
      </c>
      <c r="B133" s="54" t="str">
        <f>'[01_Entry.xlsx]Pay'!C133</f>
        <v>empty</v>
      </c>
      <c r="C133" s="54">
        <f>'[01_Entry.xlsx]Pay'!J133</f>
        <v/>
      </c>
      <c r="D133" s="54" t="str">
        <f>'[01_Entry.xlsx]Pay'!D133</f>
        <v>empty</v>
      </c>
      <c r="E133" s="55" t="str">
        <f>'[01_Entry.xlsx]Pay'!F133</f>
        <v>empty</v>
      </c>
      <c r="F133" s="54" t="str">
        <f>'[01_Entry.xlsx]Pay'!I133</f>
        <v>empty</v>
      </c>
      <c r="G133" s="54">
        <f>'[01_Entry.xlsx]Pay'!M133</f>
        <v/>
      </c>
      <c r="H133" s="56" t="str">
        <f>'[01_Entry.xlsx]Pay'!K133</f>
        <v>empty</v>
      </c>
      <c r="I133" s="54" t="str">
        <f>'[01_Entry.xlsx]Pay'!L133</f>
        <v>empty</v>
      </c>
      <c r="J133" s="54">
        <f>IF(OR($C133="",$G133=""),"","—")</f>
        <v>0</v>
      </c>
      <c r="K133" s="54">
        <f>IF($C133="","",IF($I133="برگشتی","⚠ برگشت",IF($H133="در جریان","⏳ در جریان","✓")))</f>
        <v>0</v>
      </c>
    </row>
    <row r="134" spans="1:11" ht="21" customHeight="1">
      <c r="A134" s="54" t="str">
        <f>'[01_Entry.xlsx]Pay'!B134</f>
        <v>empty</v>
      </c>
      <c r="B134" s="54" t="str">
        <f>'[01_Entry.xlsx]Pay'!C134</f>
        <v>empty</v>
      </c>
      <c r="C134" s="54">
        <f>'[01_Entry.xlsx]Pay'!J134</f>
        <v/>
      </c>
      <c r="D134" s="54" t="str">
        <f>'[01_Entry.xlsx]Pay'!D134</f>
        <v>empty</v>
      </c>
      <c r="E134" s="55" t="str">
        <f>'[01_Entry.xlsx]Pay'!F134</f>
        <v>empty</v>
      </c>
      <c r="F134" s="54" t="str">
        <f>'[01_Entry.xlsx]Pay'!I134</f>
        <v>empty</v>
      </c>
      <c r="G134" s="54">
        <f>'[01_Entry.xlsx]Pay'!M134</f>
        <v/>
      </c>
      <c r="H134" s="56" t="str">
        <f>'[01_Entry.xlsx]Pay'!K134</f>
        <v>empty</v>
      </c>
      <c r="I134" s="54" t="str">
        <f>'[01_Entry.xlsx]Pay'!L134</f>
        <v>empty</v>
      </c>
      <c r="J134" s="54">
        <f>IF(OR($C134="",$G134=""),"","—")</f>
        <v>0</v>
      </c>
      <c r="K134" s="54">
        <f>IF($C134="","",IF($I134="برگشتی","⚠ برگشت",IF($H134="در جریان","⏳ در جریان","✓")))</f>
        <v>0</v>
      </c>
    </row>
    <row r="135" spans="1:11" ht="21" customHeight="1">
      <c r="A135" s="54" t="str">
        <f>'[01_Entry.xlsx]Pay'!B135</f>
        <v>empty</v>
      </c>
      <c r="B135" s="54" t="str">
        <f>'[01_Entry.xlsx]Pay'!C135</f>
        <v>empty</v>
      </c>
      <c r="C135" s="54">
        <f>'[01_Entry.xlsx]Pay'!J135</f>
        <v/>
      </c>
      <c r="D135" s="54" t="str">
        <f>'[01_Entry.xlsx]Pay'!D135</f>
        <v>empty</v>
      </c>
      <c r="E135" s="55" t="str">
        <f>'[01_Entry.xlsx]Pay'!F135</f>
        <v>empty</v>
      </c>
      <c r="F135" s="54" t="str">
        <f>'[01_Entry.xlsx]Pay'!I135</f>
        <v>empty</v>
      </c>
      <c r="G135" s="54">
        <f>'[01_Entry.xlsx]Pay'!M135</f>
        <v/>
      </c>
      <c r="H135" s="56" t="str">
        <f>'[01_Entry.xlsx]Pay'!K135</f>
        <v>empty</v>
      </c>
      <c r="I135" s="54" t="str">
        <f>'[01_Entry.xlsx]Pay'!L135</f>
        <v>empty</v>
      </c>
      <c r="J135" s="54">
        <f>IF(OR($C135="",$G135=""),"","—")</f>
        <v>0</v>
      </c>
      <c r="K135" s="54">
        <f>IF($C135="","",IF($I135="برگشتی","⚠ برگشت",IF($H135="در جریان","⏳ در جریان","✓")))</f>
        <v>0</v>
      </c>
    </row>
    <row r="136" spans="1:11" ht="21" customHeight="1">
      <c r="A136" s="54" t="str">
        <f>'[01_Entry.xlsx]Pay'!B136</f>
        <v>empty</v>
      </c>
      <c r="B136" s="54" t="str">
        <f>'[01_Entry.xlsx]Pay'!C136</f>
        <v>empty</v>
      </c>
      <c r="C136" s="54">
        <f>'[01_Entry.xlsx]Pay'!J136</f>
        <v/>
      </c>
      <c r="D136" s="54" t="str">
        <f>'[01_Entry.xlsx]Pay'!D136</f>
        <v>empty</v>
      </c>
      <c r="E136" s="55" t="str">
        <f>'[01_Entry.xlsx]Pay'!F136</f>
        <v>empty</v>
      </c>
      <c r="F136" s="54" t="str">
        <f>'[01_Entry.xlsx]Pay'!I136</f>
        <v>empty</v>
      </c>
      <c r="G136" s="54">
        <f>'[01_Entry.xlsx]Pay'!M136</f>
        <v/>
      </c>
      <c r="H136" s="56" t="str">
        <f>'[01_Entry.xlsx]Pay'!K136</f>
        <v>empty</v>
      </c>
      <c r="I136" s="54" t="str">
        <f>'[01_Entry.xlsx]Pay'!L136</f>
        <v>empty</v>
      </c>
      <c r="J136" s="54">
        <f>IF(OR($C136="",$G136=""),"","—")</f>
        <v>0</v>
      </c>
      <c r="K136" s="54">
        <f>IF($C136="","",IF($I136="برگشتی","⚠ برگشت",IF($H136="در جریان","⏳ در جریان","✓")))</f>
        <v>0</v>
      </c>
    </row>
    <row r="137" spans="1:11" ht="21" customHeight="1">
      <c r="A137" s="54" t="str">
        <f>'[01_Entry.xlsx]Pay'!B137</f>
        <v>empty</v>
      </c>
      <c r="B137" s="54" t="str">
        <f>'[01_Entry.xlsx]Pay'!C137</f>
        <v>empty</v>
      </c>
      <c r="C137" s="54">
        <f>'[01_Entry.xlsx]Pay'!J137</f>
        <v/>
      </c>
      <c r="D137" s="54" t="str">
        <f>'[01_Entry.xlsx]Pay'!D137</f>
        <v>empty</v>
      </c>
      <c r="E137" s="55" t="str">
        <f>'[01_Entry.xlsx]Pay'!F137</f>
        <v>empty</v>
      </c>
      <c r="F137" s="54" t="str">
        <f>'[01_Entry.xlsx]Pay'!I137</f>
        <v>empty</v>
      </c>
      <c r="G137" s="54">
        <f>'[01_Entry.xlsx]Pay'!M137</f>
        <v/>
      </c>
      <c r="H137" s="56" t="str">
        <f>'[01_Entry.xlsx]Pay'!K137</f>
        <v>empty</v>
      </c>
      <c r="I137" s="54" t="str">
        <f>'[01_Entry.xlsx]Pay'!L137</f>
        <v>empty</v>
      </c>
      <c r="J137" s="54">
        <f>IF(OR($C137="",$G137=""),"","—")</f>
        <v>0</v>
      </c>
      <c r="K137" s="54">
        <f>IF($C137="","",IF($I137="برگشتی","⚠ برگشت",IF($H137="در جریان","⏳ در جریان","✓")))</f>
        <v>0</v>
      </c>
    </row>
    <row r="138" spans="1:11" ht="21" customHeight="1">
      <c r="A138" s="54" t="str">
        <f>'[01_Entry.xlsx]Pay'!B138</f>
        <v>empty</v>
      </c>
      <c r="B138" s="54" t="str">
        <f>'[01_Entry.xlsx]Pay'!C138</f>
        <v>empty</v>
      </c>
      <c r="C138" s="54">
        <f>'[01_Entry.xlsx]Pay'!J138</f>
        <v/>
      </c>
      <c r="D138" s="54" t="str">
        <f>'[01_Entry.xlsx]Pay'!D138</f>
        <v>empty</v>
      </c>
      <c r="E138" s="55" t="str">
        <f>'[01_Entry.xlsx]Pay'!F138</f>
        <v>empty</v>
      </c>
      <c r="F138" s="54" t="str">
        <f>'[01_Entry.xlsx]Pay'!I138</f>
        <v>empty</v>
      </c>
      <c r="G138" s="54">
        <f>'[01_Entry.xlsx]Pay'!M138</f>
        <v/>
      </c>
      <c r="H138" s="56" t="str">
        <f>'[01_Entry.xlsx]Pay'!K138</f>
        <v>empty</v>
      </c>
      <c r="I138" s="54" t="str">
        <f>'[01_Entry.xlsx]Pay'!L138</f>
        <v>empty</v>
      </c>
      <c r="J138" s="54">
        <f>IF(OR($C138="",$G138=""),"","—")</f>
        <v>0</v>
      </c>
      <c r="K138" s="54">
        <f>IF($C138="","",IF($I138="برگشتی","⚠ برگشت",IF($H138="در جریان","⏳ در جریان","✓")))</f>
        <v>0</v>
      </c>
    </row>
    <row r="139" spans="1:11" ht="21" customHeight="1">
      <c r="A139" s="54" t="str">
        <f>'[01_Entry.xlsx]Pay'!B139</f>
        <v>empty</v>
      </c>
      <c r="B139" s="54" t="str">
        <f>'[01_Entry.xlsx]Pay'!C139</f>
        <v>empty</v>
      </c>
      <c r="C139" s="54">
        <f>'[01_Entry.xlsx]Pay'!J139</f>
        <v/>
      </c>
      <c r="D139" s="54" t="str">
        <f>'[01_Entry.xlsx]Pay'!D139</f>
        <v>empty</v>
      </c>
      <c r="E139" s="55" t="str">
        <f>'[01_Entry.xlsx]Pay'!F139</f>
        <v>empty</v>
      </c>
      <c r="F139" s="54" t="str">
        <f>'[01_Entry.xlsx]Pay'!I139</f>
        <v>empty</v>
      </c>
      <c r="G139" s="54">
        <f>'[01_Entry.xlsx]Pay'!M139</f>
        <v/>
      </c>
      <c r="H139" s="56" t="str">
        <f>'[01_Entry.xlsx]Pay'!K139</f>
        <v>empty</v>
      </c>
      <c r="I139" s="54" t="str">
        <f>'[01_Entry.xlsx]Pay'!L139</f>
        <v>empty</v>
      </c>
      <c r="J139" s="54">
        <f>IF(OR($C139="",$G139=""),"","—")</f>
        <v>0</v>
      </c>
      <c r="K139" s="54">
        <f>IF($C139="","",IF($I139="برگشتی","⚠ برگشت",IF($H139="در جریان","⏳ در جریان","✓")))</f>
        <v>0</v>
      </c>
    </row>
    <row r="140" spans="1:11" ht="21" customHeight="1">
      <c r="A140" s="54" t="str">
        <f>'[01_Entry.xlsx]Pay'!B140</f>
        <v>empty</v>
      </c>
      <c r="B140" s="54" t="str">
        <f>'[01_Entry.xlsx]Pay'!C140</f>
        <v>empty</v>
      </c>
      <c r="C140" s="54">
        <f>'[01_Entry.xlsx]Pay'!J140</f>
        <v/>
      </c>
      <c r="D140" s="54" t="str">
        <f>'[01_Entry.xlsx]Pay'!D140</f>
        <v>empty</v>
      </c>
      <c r="E140" s="55" t="str">
        <f>'[01_Entry.xlsx]Pay'!F140</f>
        <v>empty</v>
      </c>
      <c r="F140" s="54" t="str">
        <f>'[01_Entry.xlsx]Pay'!I140</f>
        <v>empty</v>
      </c>
      <c r="G140" s="54">
        <f>'[01_Entry.xlsx]Pay'!M140</f>
        <v/>
      </c>
      <c r="H140" s="56" t="str">
        <f>'[01_Entry.xlsx]Pay'!K140</f>
        <v>empty</v>
      </c>
      <c r="I140" s="54" t="str">
        <f>'[01_Entry.xlsx]Pay'!L140</f>
        <v>empty</v>
      </c>
      <c r="J140" s="54">
        <f>IF(OR($C140="",$G140=""),"","—")</f>
        <v>0</v>
      </c>
      <c r="K140" s="54">
        <f>IF($C140="","",IF($I140="برگشتی","⚠ برگشت",IF($H140="در جریان","⏳ در جریان","✓")))</f>
        <v>0</v>
      </c>
    </row>
    <row r="141" spans="1:11" ht="21" customHeight="1">
      <c r="A141" s="54" t="str">
        <f>'[01_Entry.xlsx]Pay'!B141</f>
        <v>empty</v>
      </c>
      <c r="B141" s="54" t="str">
        <f>'[01_Entry.xlsx]Pay'!C141</f>
        <v>empty</v>
      </c>
      <c r="C141" s="54">
        <f>'[01_Entry.xlsx]Pay'!J141</f>
        <v/>
      </c>
      <c r="D141" s="54" t="str">
        <f>'[01_Entry.xlsx]Pay'!D141</f>
        <v>empty</v>
      </c>
      <c r="E141" s="55" t="str">
        <f>'[01_Entry.xlsx]Pay'!F141</f>
        <v>empty</v>
      </c>
      <c r="F141" s="54" t="str">
        <f>'[01_Entry.xlsx]Pay'!I141</f>
        <v>empty</v>
      </c>
      <c r="G141" s="54">
        <f>'[01_Entry.xlsx]Pay'!M141</f>
        <v/>
      </c>
      <c r="H141" s="56" t="str">
        <f>'[01_Entry.xlsx]Pay'!K141</f>
        <v>empty</v>
      </c>
      <c r="I141" s="54" t="str">
        <f>'[01_Entry.xlsx]Pay'!L141</f>
        <v>empty</v>
      </c>
      <c r="J141" s="54">
        <f>IF(OR($C141="",$G141=""),"","—")</f>
        <v>0</v>
      </c>
      <c r="K141" s="54">
        <f>IF($C141="","",IF($I141="برگشتی","⚠ برگشت",IF($H141="در جریان","⏳ در جریان","✓")))</f>
        <v>0</v>
      </c>
    </row>
    <row r="142" spans="1:11" ht="21" customHeight="1">
      <c r="A142" s="54" t="str">
        <f>'[01_Entry.xlsx]Pay'!B142</f>
        <v>empty</v>
      </c>
      <c r="B142" s="54" t="str">
        <f>'[01_Entry.xlsx]Pay'!C142</f>
        <v>empty</v>
      </c>
      <c r="C142" s="54">
        <f>'[01_Entry.xlsx]Pay'!J142</f>
        <v/>
      </c>
      <c r="D142" s="54" t="str">
        <f>'[01_Entry.xlsx]Pay'!D142</f>
        <v>empty</v>
      </c>
      <c r="E142" s="55" t="str">
        <f>'[01_Entry.xlsx]Pay'!F142</f>
        <v>empty</v>
      </c>
      <c r="F142" s="54" t="str">
        <f>'[01_Entry.xlsx]Pay'!I142</f>
        <v>empty</v>
      </c>
      <c r="G142" s="54">
        <f>'[01_Entry.xlsx]Pay'!M142</f>
        <v/>
      </c>
      <c r="H142" s="56" t="str">
        <f>'[01_Entry.xlsx]Pay'!K142</f>
        <v>empty</v>
      </c>
      <c r="I142" s="54" t="str">
        <f>'[01_Entry.xlsx]Pay'!L142</f>
        <v>empty</v>
      </c>
      <c r="J142" s="54">
        <f>IF(OR($C142="",$G142=""),"","—")</f>
        <v>0</v>
      </c>
      <c r="K142" s="54">
        <f>IF($C142="","",IF($I142="برگشتی","⚠ برگشت",IF($H142="در جریان","⏳ در جریان","✓")))</f>
        <v>0</v>
      </c>
    </row>
    <row r="143" spans="1:11" ht="21" customHeight="1">
      <c r="A143" s="54" t="str">
        <f>'[01_Entry.xlsx]Pay'!B143</f>
        <v>empty</v>
      </c>
      <c r="B143" s="54" t="str">
        <f>'[01_Entry.xlsx]Pay'!C143</f>
        <v>empty</v>
      </c>
      <c r="C143" s="54">
        <f>'[01_Entry.xlsx]Pay'!J143</f>
        <v/>
      </c>
      <c r="D143" s="54" t="str">
        <f>'[01_Entry.xlsx]Pay'!D143</f>
        <v>empty</v>
      </c>
      <c r="E143" s="55" t="str">
        <f>'[01_Entry.xlsx]Pay'!F143</f>
        <v>empty</v>
      </c>
      <c r="F143" s="54" t="str">
        <f>'[01_Entry.xlsx]Pay'!I143</f>
        <v>empty</v>
      </c>
      <c r="G143" s="54">
        <f>'[01_Entry.xlsx]Pay'!M143</f>
        <v/>
      </c>
      <c r="H143" s="56" t="str">
        <f>'[01_Entry.xlsx]Pay'!K143</f>
        <v>empty</v>
      </c>
      <c r="I143" s="54" t="str">
        <f>'[01_Entry.xlsx]Pay'!L143</f>
        <v>empty</v>
      </c>
      <c r="J143" s="54">
        <f>IF(OR($C143="",$G143=""),"","—")</f>
        <v>0</v>
      </c>
      <c r="K143" s="54">
        <f>IF($C143="","",IF($I143="برگشتی","⚠ برگشت",IF($H143="در جریان","⏳ در جریان","✓")))</f>
        <v>0</v>
      </c>
    </row>
    <row r="144" spans="1:11" ht="21" customHeight="1">
      <c r="A144" s="54" t="str">
        <f>'[01_Entry.xlsx]Pay'!B144</f>
        <v>empty</v>
      </c>
      <c r="B144" s="54" t="str">
        <f>'[01_Entry.xlsx]Pay'!C144</f>
        <v>empty</v>
      </c>
      <c r="C144" s="54">
        <f>'[01_Entry.xlsx]Pay'!J144</f>
        <v/>
      </c>
      <c r="D144" s="54" t="str">
        <f>'[01_Entry.xlsx]Pay'!D144</f>
        <v>empty</v>
      </c>
      <c r="E144" s="55" t="str">
        <f>'[01_Entry.xlsx]Pay'!F144</f>
        <v>empty</v>
      </c>
      <c r="F144" s="54" t="str">
        <f>'[01_Entry.xlsx]Pay'!I144</f>
        <v>empty</v>
      </c>
      <c r="G144" s="54">
        <f>'[01_Entry.xlsx]Pay'!M144</f>
        <v/>
      </c>
      <c r="H144" s="56" t="str">
        <f>'[01_Entry.xlsx]Pay'!K144</f>
        <v>empty</v>
      </c>
      <c r="I144" s="54" t="str">
        <f>'[01_Entry.xlsx]Pay'!L144</f>
        <v>empty</v>
      </c>
      <c r="J144" s="54">
        <f>IF(OR($C144="",$G144=""),"","—")</f>
        <v>0</v>
      </c>
      <c r="K144" s="54">
        <f>IF($C144="","",IF($I144="برگشتی","⚠ برگشت",IF($H144="در جریان","⏳ در جریان","✓")))</f>
        <v>0</v>
      </c>
    </row>
    <row r="145" spans="1:11" ht="21" customHeight="1">
      <c r="A145" s="54" t="str">
        <f>'[01_Entry.xlsx]Pay'!B145</f>
        <v>empty</v>
      </c>
      <c r="B145" s="54" t="str">
        <f>'[01_Entry.xlsx]Pay'!C145</f>
        <v>empty</v>
      </c>
      <c r="C145" s="54">
        <f>'[01_Entry.xlsx]Pay'!J145</f>
        <v/>
      </c>
      <c r="D145" s="54" t="str">
        <f>'[01_Entry.xlsx]Pay'!D145</f>
        <v>empty</v>
      </c>
      <c r="E145" s="55" t="str">
        <f>'[01_Entry.xlsx]Pay'!F145</f>
        <v>empty</v>
      </c>
      <c r="F145" s="54" t="str">
        <f>'[01_Entry.xlsx]Pay'!I145</f>
        <v>empty</v>
      </c>
      <c r="G145" s="54">
        <f>'[01_Entry.xlsx]Pay'!M145</f>
        <v/>
      </c>
      <c r="H145" s="56" t="str">
        <f>'[01_Entry.xlsx]Pay'!K145</f>
        <v>empty</v>
      </c>
      <c r="I145" s="54" t="str">
        <f>'[01_Entry.xlsx]Pay'!L145</f>
        <v>empty</v>
      </c>
      <c r="J145" s="54">
        <f>IF(OR($C145="",$G145=""),"","—")</f>
        <v>0</v>
      </c>
      <c r="K145" s="54">
        <f>IF($C145="","",IF($I145="برگشتی","⚠ برگشت",IF($H145="در جریان","⏳ در جریان","✓")))</f>
        <v>0</v>
      </c>
    </row>
    <row r="146" spans="1:11" ht="21" customHeight="1">
      <c r="A146" s="54" t="str">
        <f>'[01_Entry.xlsx]Pay'!B146</f>
        <v>empty</v>
      </c>
      <c r="B146" s="54" t="str">
        <f>'[01_Entry.xlsx]Pay'!C146</f>
        <v>empty</v>
      </c>
      <c r="C146" s="54">
        <f>'[01_Entry.xlsx]Pay'!J146</f>
        <v/>
      </c>
      <c r="D146" s="54" t="str">
        <f>'[01_Entry.xlsx]Pay'!D146</f>
        <v>empty</v>
      </c>
      <c r="E146" s="55" t="str">
        <f>'[01_Entry.xlsx]Pay'!F146</f>
        <v>empty</v>
      </c>
      <c r="F146" s="54" t="str">
        <f>'[01_Entry.xlsx]Pay'!I146</f>
        <v>empty</v>
      </c>
      <c r="G146" s="54">
        <f>'[01_Entry.xlsx]Pay'!M146</f>
        <v/>
      </c>
      <c r="H146" s="56" t="str">
        <f>'[01_Entry.xlsx]Pay'!K146</f>
        <v>empty</v>
      </c>
      <c r="I146" s="54" t="str">
        <f>'[01_Entry.xlsx]Pay'!L146</f>
        <v>empty</v>
      </c>
      <c r="J146" s="54">
        <f>IF(OR($C146="",$G146=""),"","—")</f>
        <v>0</v>
      </c>
      <c r="K146" s="54">
        <f>IF($C146="","",IF($I146="برگشتی","⚠ برگشت",IF($H146="در جریان","⏳ در جریان","✓")))</f>
        <v>0</v>
      </c>
    </row>
    <row r="147" spans="1:11" ht="21" customHeight="1">
      <c r="A147" s="54" t="str">
        <f>'[01_Entry.xlsx]Pay'!B147</f>
        <v>empty</v>
      </c>
      <c r="B147" s="54" t="str">
        <f>'[01_Entry.xlsx]Pay'!C147</f>
        <v>empty</v>
      </c>
      <c r="C147" s="54">
        <f>'[01_Entry.xlsx]Pay'!J147</f>
        <v/>
      </c>
      <c r="D147" s="54" t="str">
        <f>'[01_Entry.xlsx]Pay'!D147</f>
        <v>empty</v>
      </c>
      <c r="E147" s="55" t="str">
        <f>'[01_Entry.xlsx]Pay'!F147</f>
        <v>empty</v>
      </c>
      <c r="F147" s="54" t="str">
        <f>'[01_Entry.xlsx]Pay'!I147</f>
        <v>empty</v>
      </c>
      <c r="G147" s="54">
        <f>'[01_Entry.xlsx]Pay'!M147</f>
        <v/>
      </c>
      <c r="H147" s="56" t="str">
        <f>'[01_Entry.xlsx]Pay'!K147</f>
        <v>empty</v>
      </c>
      <c r="I147" s="54" t="str">
        <f>'[01_Entry.xlsx]Pay'!L147</f>
        <v>empty</v>
      </c>
      <c r="J147" s="54">
        <f>IF(OR($C147="",$G147=""),"","—")</f>
        <v>0</v>
      </c>
      <c r="K147" s="54">
        <f>IF($C147="","",IF($I147="برگشتی","⚠ برگشت",IF($H147="در جریان","⏳ در جریان","✓")))</f>
        <v>0</v>
      </c>
    </row>
    <row r="148" spans="1:11" ht="21" customHeight="1">
      <c r="A148" s="54" t="str">
        <f>'[01_Entry.xlsx]Pay'!B148</f>
        <v>empty</v>
      </c>
      <c r="B148" s="54" t="str">
        <f>'[01_Entry.xlsx]Pay'!C148</f>
        <v>empty</v>
      </c>
      <c r="C148" s="54">
        <f>'[01_Entry.xlsx]Pay'!J148</f>
        <v/>
      </c>
      <c r="D148" s="54" t="str">
        <f>'[01_Entry.xlsx]Pay'!D148</f>
        <v>empty</v>
      </c>
      <c r="E148" s="55" t="str">
        <f>'[01_Entry.xlsx]Pay'!F148</f>
        <v>empty</v>
      </c>
      <c r="F148" s="54" t="str">
        <f>'[01_Entry.xlsx]Pay'!I148</f>
        <v>empty</v>
      </c>
      <c r="G148" s="54">
        <f>'[01_Entry.xlsx]Pay'!M148</f>
        <v/>
      </c>
      <c r="H148" s="56" t="str">
        <f>'[01_Entry.xlsx]Pay'!K148</f>
        <v>empty</v>
      </c>
      <c r="I148" s="54" t="str">
        <f>'[01_Entry.xlsx]Pay'!L148</f>
        <v>empty</v>
      </c>
      <c r="J148" s="54">
        <f>IF(OR($C148="",$G148=""),"","—")</f>
        <v>0</v>
      </c>
      <c r="K148" s="54">
        <f>IF($C148="","",IF($I148="برگشتی","⚠ برگشت",IF($H148="در جریان","⏳ در جریان","✓")))</f>
        <v>0</v>
      </c>
    </row>
    <row r="149" spans="1:11" ht="21" customHeight="1">
      <c r="A149" s="54" t="str">
        <f>'[01_Entry.xlsx]Pay'!B149</f>
        <v>empty</v>
      </c>
      <c r="B149" s="54" t="str">
        <f>'[01_Entry.xlsx]Pay'!C149</f>
        <v>empty</v>
      </c>
      <c r="C149" s="54">
        <f>'[01_Entry.xlsx]Pay'!J149</f>
        <v/>
      </c>
      <c r="D149" s="54" t="str">
        <f>'[01_Entry.xlsx]Pay'!D149</f>
        <v>empty</v>
      </c>
      <c r="E149" s="55" t="str">
        <f>'[01_Entry.xlsx]Pay'!F149</f>
        <v>empty</v>
      </c>
      <c r="F149" s="54" t="str">
        <f>'[01_Entry.xlsx]Pay'!I149</f>
        <v>empty</v>
      </c>
      <c r="G149" s="54">
        <f>'[01_Entry.xlsx]Pay'!M149</f>
        <v/>
      </c>
      <c r="H149" s="56" t="str">
        <f>'[01_Entry.xlsx]Pay'!K149</f>
        <v>empty</v>
      </c>
      <c r="I149" s="54" t="str">
        <f>'[01_Entry.xlsx]Pay'!L149</f>
        <v>empty</v>
      </c>
      <c r="J149" s="54">
        <f>IF(OR($C149="",$G149=""),"","—")</f>
        <v>0</v>
      </c>
      <c r="K149" s="54">
        <f>IF($C149="","",IF($I149="برگشتی","⚠ برگشت",IF($H149="در جریان","⏳ در جریان","✓")))</f>
        <v>0</v>
      </c>
    </row>
    <row r="150" spans="1:11" ht="21" customHeight="1">
      <c r="A150" s="54" t="str">
        <f>'[01_Entry.xlsx]Pay'!B150</f>
        <v>empty</v>
      </c>
      <c r="B150" s="54" t="str">
        <f>'[01_Entry.xlsx]Pay'!C150</f>
        <v>empty</v>
      </c>
      <c r="C150" s="54">
        <f>'[01_Entry.xlsx]Pay'!J150</f>
        <v/>
      </c>
      <c r="D150" s="54" t="str">
        <f>'[01_Entry.xlsx]Pay'!D150</f>
        <v>empty</v>
      </c>
      <c r="E150" s="55" t="str">
        <f>'[01_Entry.xlsx]Pay'!F150</f>
        <v>empty</v>
      </c>
      <c r="F150" s="54" t="str">
        <f>'[01_Entry.xlsx]Pay'!I150</f>
        <v>empty</v>
      </c>
      <c r="G150" s="54">
        <f>'[01_Entry.xlsx]Pay'!M150</f>
        <v/>
      </c>
      <c r="H150" s="56" t="str">
        <f>'[01_Entry.xlsx]Pay'!K150</f>
        <v>empty</v>
      </c>
      <c r="I150" s="54" t="str">
        <f>'[01_Entry.xlsx]Pay'!L150</f>
        <v>empty</v>
      </c>
      <c r="J150" s="54">
        <f>IF(OR($C150="",$G150=""),"","—")</f>
        <v>0</v>
      </c>
      <c r="K150" s="54">
        <f>IF($C150="","",IF($I150="برگشتی","⚠ برگشت",IF($H150="در جریان","⏳ در جریان","✓")))</f>
        <v>0</v>
      </c>
    </row>
    <row r="151" spans="1:11" ht="21" customHeight="1">
      <c r="A151" s="54" t="str">
        <f>'[01_Entry.xlsx]Pay'!B151</f>
        <v>empty</v>
      </c>
      <c r="B151" s="54" t="str">
        <f>'[01_Entry.xlsx]Pay'!C151</f>
        <v>empty</v>
      </c>
      <c r="C151" s="54">
        <f>'[01_Entry.xlsx]Pay'!J151</f>
        <v/>
      </c>
      <c r="D151" s="54" t="str">
        <f>'[01_Entry.xlsx]Pay'!D151</f>
        <v>empty</v>
      </c>
      <c r="E151" s="55" t="str">
        <f>'[01_Entry.xlsx]Pay'!F151</f>
        <v>empty</v>
      </c>
      <c r="F151" s="54" t="str">
        <f>'[01_Entry.xlsx]Pay'!I151</f>
        <v>empty</v>
      </c>
      <c r="G151" s="54">
        <f>'[01_Entry.xlsx]Pay'!M151</f>
        <v/>
      </c>
      <c r="H151" s="56" t="str">
        <f>'[01_Entry.xlsx]Pay'!K151</f>
        <v>empty</v>
      </c>
      <c r="I151" s="54" t="str">
        <f>'[01_Entry.xlsx]Pay'!L151</f>
        <v>empty</v>
      </c>
      <c r="J151" s="54">
        <f>IF(OR($C151="",$G151=""),"","—")</f>
        <v>0</v>
      </c>
      <c r="K151" s="54">
        <f>IF($C151="","",IF($I151="برگشتی","⚠ برگشت",IF($H151="در جریان","⏳ در جریان","✓")))</f>
        <v>0</v>
      </c>
    </row>
    <row r="152" spans="1:11" ht="21" customHeight="1">
      <c r="A152" s="54" t="str">
        <f>'[01_Entry.xlsx]Pay'!B152</f>
        <v>empty</v>
      </c>
      <c r="B152" s="54" t="str">
        <f>'[01_Entry.xlsx]Pay'!C152</f>
        <v>empty</v>
      </c>
      <c r="C152" s="54">
        <f>'[01_Entry.xlsx]Pay'!J152</f>
        <v/>
      </c>
      <c r="D152" s="54" t="str">
        <f>'[01_Entry.xlsx]Pay'!D152</f>
        <v>empty</v>
      </c>
      <c r="E152" s="55" t="str">
        <f>'[01_Entry.xlsx]Pay'!F152</f>
        <v>empty</v>
      </c>
      <c r="F152" s="54" t="str">
        <f>'[01_Entry.xlsx]Pay'!I152</f>
        <v>empty</v>
      </c>
      <c r="G152" s="54">
        <f>'[01_Entry.xlsx]Pay'!M152</f>
        <v/>
      </c>
      <c r="H152" s="56" t="str">
        <f>'[01_Entry.xlsx]Pay'!K152</f>
        <v>empty</v>
      </c>
      <c r="I152" s="54" t="str">
        <f>'[01_Entry.xlsx]Pay'!L152</f>
        <v>empty</v>
      </c>
      <c r="J152" s="54">
        <f>IF(OR($C152="",$G152=""),"","—")</f>
        <v>0</v>
      </c>
      <c r="K152" s="54">
        <f>IF($C152="","",IF($I152="برگشتی","⚠ برگشت",IF($H152="در جریان","⏳ در جریان","✓")))</f>
        <v>0</v>
      </c>
    </row>
    <row r="153" spans="1:11" ht="21" customHeight="1">
      <c r="A153" s="54" t="str">
        <f>'[01_Entry.xlsx]Pay'!B153</f>
        <v>empty</v>
      </c>
      <c r="B153" s="54" t="str">
        <f>'[01_Entry.xlsx]Pay'!C153</f>
        <v>empty</v>
      </c>
      <c r="C153" s="54">
        <f>'[01_Entry.xlsx]Pay'!J153</f>
        <v/>
      </c>
      <c r="D153" s="54" t="str">
        <f>'[01_Entry.xlsx]Pay'!D153</f>
        <v>empty</v>
      </c>
      <c r="E153" s="55" t="str">
        <f>'[01_Entry.xlsx]Pay'!F153</f>
        <v>empty</v>
      </c>
      <c r="F153" s="54" t="str">
        <f>'[01_Entry.xlsx]Pay'!I153</f>
        <v>empty</v>
      </c>
      <c r="G153" s="54">
        <f>'[01_Entry.xlsx]Pay'!M153</f>
        <v/>
      </c>
      <c r="H153" s="56" t="str">
        <f>'[01_Entry.xlsx]Pay'!K153</f>
        <v>empty</v>
      </c>
      <c r="I153" s="54" t="str">
        <f>'[01_Entry.xlsx]Pay'!L153</f>
        <v>empty</v>
      </c>
      <c r="J153" s="54">
        <f>IF(OR($C153="",$G153=""),"","—")</f>
        <v>0</v>
      </c>
      <c r="K153" s="54">
        <f>IF($C153="","",IF($I153="برگشتی","⚠ برگشت",IF($H153="در جریان","⏳ در جریان","✓")))</f>
        <v>0</v>
      </c>
    </row>
    <row r="154" spans="1:11" ht="21" customHeight="1">
      <c r="A154" s="54" t="str">
        <f>'[01_Entry.xlsx]Pay'!B154</f>
        <v>empty</v>
      </c>
      <c r="B154" s="54" t="str">
        <f>'[01_Entry.xlsx]Pay'!C154</f>
        <v>empty</v>
      </c>
      <c r="C154" s="54">
        <f>'[01_Entry.xlsx]Pay'!J154</f>
        <v/>
      </c>
      <c r="D154" s="54" t="str">
        <f>'[01_Entry.xlsx]Pay'!D154</f>
        <v>empty</v>
      </c>
      <c r="E154" s="55" t="str">
        <f>'[01_Entry.xlsx]Pay'!F154</f>
        <v>empty</v>
      </c>
      <c r="F154" s="54" t="str">
        <f>'[01_Entry.xlsx]Pay'!I154</f>
        <v>empty</v>
      </c>
      <c r="G154" s="54">
        <f>'[01_Entry.xlsx]Pay'!M154</f>
        <v/>
      </c>
      <c r="H154" s="56" t="str">
        <f>'[01_Entry.xlsx]Pay'!K154</f>
        <v>empty</v>
      </c>
      <c r="I154" s="54" t="str">
        <f>'[01_Entry.xlsx]Pay'!L154</f>
        <v>empty</v>
      </c>
      <c r="J154" s="54">
        <f>IF(OR($C154="",$G154=""),"","—")</f>
        <v>0</v>
      </c>
      <c r="K154" s="54">
        <f>IF($C154="","",IF($I154="برگشتی","⚠ برگشت",IF($H154="در جریان","⏳ در جریان","✓")))</f>
        <v>0</v>
      </c>
    </row>
    <row r="155" spans="1:11" ht="21" customHeight="1">
      <c r="A155" s="54" t="str">
        <f>'[01_Entry.xlsx]Pay'!B155</f>
        <v>empty</v>
      </c>
      <c r="B155" s="54" t="str">
        <f>'[01_Entry.xlsx]Pay'!C155</f>
        <v>empty</v>
      </c>
      <c r="C155" s="54">
        <f>'[01_Entry.xlsx]Pay'!J155</f>
        <v/>
      </c>
      <c r="D155" s="54" t="str">
        <f>'[01_Entry.xlsx]Pay'!D155</f>
        <v>empty</v>
      </c>
      <c r="E155" s="55" t="str">
        <f>'[01_Entry.xlsx]Pay'!F155</f>
        <v>empty</v>
      </c>
      <c r="F155" s="54" t="str">
        <f>'[01_Entry.xlsx]Pay'!I155</f>
        <v>empty</v>
      </c>
      <c r="G155" s="54">
        <f>'[01_Entry.xlsx]Pay'!M155</f>
        <v/>
      </c>
      <c r="H155" s="56" t="str">
        <f>'[01_Entry.xlsx]Pay'!K155</f>
        <v>empty</v>
      </c>
      <c r="I155" s="54" t="str">
        <f>'[01_Entry.xlsx]Pay'!L155</f>
        <v>empty</v>
      </c>
      <c r="J155" s="54">
        <f>IF(OR($C155="",$G155=""),"","—")</f>
        <v>0</v>
      </c>
      <c r="K155" s="54">
        <f>IF($C155="","",IF($I155="برگشتی","⚠ برگشت",IF($H155="در جریان","⏳ در جریان","✓")))</f>
        <v>0</v>
      </c>
    </row>
    <row r="156" spans="1:11" ht="21" customHeight="1">
      <c r="A156" s="54" t="str">
        <f>'[01_Entry.xlsx]Pay'!B156</f>
        <v>empty</v>
      </c>
      <c r="B156" s="54" t="str">
        <f>'[01_Entry.xlsx]Pay'!C156</f>
        <v>empty</v>
      </c>
      <c r="C156" s="54">
        <f>'[01_Entry.xlsx]Pay'!J156</f>
        <v/>
      </c>
      <c r="D156" s="54" t="str">
        <f>'[01_Entry.xlsx]Pay'!D156</f>
        <v>empty</v>
      </c>
      <c r="E156" s="55" t="str">
        <f>'[01_Entry.xlsx]Pay'!F156</f>
        <v>empty</v>
      </c>
      <c r="F156" s="54" t="str">
        <f>'[01_Entry.xlsx]Pay'!I156</f>
        <v>empty</v>
      </c>
      <c r="G156" s="54">
        <f>'[01_Entry.xlsx]Pay'!M156</f>
        <v/>
      </c>
      <c r="H156" s="56" t="str">
        <f>'[01_Entry.xlsx]Pay'!K156</f>
        <v>empty</v>
      </c>
      <c r="I156" s="54" t="str">
        <f>'[01_Entry.xlsx]Pay'!L156</f>
        <v>empty</v>
      </c>
      <c r="J156" s="54">
        <f>IF(OR($C156="",$G156=""),"","—")</f>
        <v>0</v>
      </c>
      <c r="K156" s="54">
        <f>IF($C156="","",IF($I156="برگشتی","⚠ برگشت",IF($H156="در جریان","⏳ در جریان","✓")))</f>
        <v>0</v>
      </c>
    </row>
    <row r="157" spans="1:11" ht="21" customHeight="1">
      <c r="A157" s="54" t="str">
        <f>'[01_Entry.xlsx]Pay'!B157</f>
        <v>empty</v>
      </c>
      <c r="B157" s="54" t="str">
        <f>'[01_Entry.xlsx]Pay'!C157</f>
        <v>empty</v>
      </c>
      <c r="C157" s="54">
        <f>'[01_Entry.xlsx]Pay'!J157</f>
        <v/>
      </c>
      <c r="D157" s="54" t="str">
        <f>'[01_Entry.xlsx]Pay'!D157</f>
        <v>empty</v>
      </c>
      <c r="E157" s="55" t="str">
        <f>'[01_Entry.xlsx]Pay'!F157</f>
        <v>empty</v>
      </c>
      <c r="F157" s="54" t="str">
        <f>'[01_Entry.xlsx]Pay'!I157</f>
        <v>empty</v>
      </c>
      <c r="G157" s="54">
        <f>'[01_Entry.xlsx]Pay'!M157</f>
        <v/>
      </c>
      <c r="H157" s="56" t="str">
        <f>'[01_Entry.xlsx]Pay'!K157</f>
        <v>empty</v>
      </c>
      <c r="I157" s="54" t="str">
        <f>'[01_Entry.xlsx]Pay'!L157</f>
        <v>empty</v>
      </c>
      <c r="J157" s="54">
        <f>IF(OR($C157="",$G157=""),"","—")</f>
        <v>0</v>
      </c>
      <c r="K157" s="54">
        <f>IF($C157="","",IF($I157="برگشتی","⚠ برگشت",IF($H157="در جریان","⏳ در جریان","✓")))</f>
        <v>0</v>
      </c>
    </row>
    <row r="158" spans="1:11" ht="21" customHeight="1">
      <c r="A158" s="54" t="str">
        <f>'[01_Entry.xlsx]Pay'!B158</f>
        <v>empty</v>
      </c>
      <c r="B158" s="54" t="str">
        <f>'[01_Entry.xlsx]Pay'!C158</f>
        <v>empty</v>
      </c>
      <c r="C158" s="54">
        <f>'[01_Entry.xlsx]Pay'!J158</f>
        <v/>
      </c>
      <c r="D158" s="54" t="str">
        <f>'[01_Entry.xlsx]Pay'!D158</f>
        <v>empty</v>
      </c>
      <c r="E158" s="55" t="str">
        <f>'[01_Entry.xlsx]Pay'!F158</f>
        <v>empty</v>
      </c>
      <c r="F158" s="54" t="str">
        <f>'[01_Entry.xlsx]Pay'!I158</f>
        <v>empty</v>
      </c>
      <c r="G158" s="54">
        <f>'[01_Entry.xlsx]Pay'!M158</f>
        <v/>
      </c>
      <c r="H158" s="56" t="str">
        <f>'[01_Entry.xlsx]Pay'!K158</f>
        <v>empty</v>
      </c>
      <c r="I158" s="54" t="str">
        <f>'[01_Entry.xlsx]Pay'!L158</f>
        <v>empty</v>
      </c>
      <c r="J158" s="54">
        <f>IF(OR($C158="",$G158=""),"","—")</f>
        <v>0</v>
      </c>
      <c r="K158" s="54">
        <f>IF($C158="","",IF($I158="برگشتی","⚠ برگشت",IF($H158="در جریان","⏳ در جریان","✓")))</f>
        <v>0</v>
      </c>
    </row>
    <row r="159" spans="1:11" ht="21" customHeight="1">
      <c r="A159" s="54" t="str">
        <f>'[01_Entry.xlsx]Pay'!B159</f>
        <v>empty</v>
      </c>
      <c r="B159" s="54" t="str">
        <f>'[01_Entry.xlsx]Pay'!C159</f>
        <v>empty</v>
      </c>
      <c r="C159" s="54">
        <f>'[01_Entry.xlsx]Pay'!J159</f>
        <v/>
      </c>
      <c r="D159" s="54" t="str">
        <f>'[01_Entry.xlsx]Pay'!D159</f>
        <v>empty</v>
      </c>
      <c r="E159" s="55" t="str">
        <f>'[01_Entry.xlsx]Pay'!F159</f>
        <v>empty</v>
      </c>
      <c r="F159" s="54" t="str">
        <f>'[01_Entry.xlsx]Pay'!I159</f>
        <v>empty</v>
      </c>
      <c r="G159" s="54">
        <f>'[01_Entry.xlsx]Pay'!M159</f>
        <v/>
      </c>
      <c r="H159" s="56" t="str">
        <f>'[01_Entry.xlsx]Pay'!K159</f>
        <v>empty</v>
      </c>
      <c r="I159" s="54" t="str">
        <f>'[01_Entry.xlsx]Pay'!L159</f>
        <v>empty</v>
      </c>
      <c r="J159" s="54">
        <f>IF(OR($C159="",$G159=""),"","—")</f>
        <v>0</v>
      </c>
      <c r="K159" s="54">
        <f>IF($C159="","",IF($I159="برگشتی","⚠ برگشت",IF($H159="در جریان","⏳ در جریان","✓")))</f>
        <v>0</v>
      </c>
    </row>
  </sheetData>
  <autoFilter ref="A8:N159"/>
  <mergeCells count="15">
    <mergeCell ref="A1:I1"/>
    <mergeCell ref="J1:N1"/>
    <mergeCell ref="A2:N2"/>
    <mergeCell ref="A3:N3"/>
    <mergeCell ref="G4:N4"/>
    <mergeCell ref="A5:C5"/>
    <mergeCell ref="A6:C6"/>
    <mergeCell ref="D5:F5"/>
    <mergeCell ref="D6:F6"/>
    <mergeCell ref="G5:I5"/>
    <mergeCell ref="G6:I6"/>
    <mergeCell ref="J5:L5"/>
    <mergeCell ref="J6:L6"/>
    <mergeCell ref="M5:N5"/>
    <mergeCell ref="M6:N6"/>
  </mergeCells>
  <conditionalFormatting sqref="A10:N159">
    <cfRule type="expression" dxfId="4" priority="1">
      <formula>$C10=""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623F"/>
    <pageSetUpPr fitToPage="1"/>
  </sheetPr>
  <dimension ref="A1:I21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30" t="s">
        <v>0</v>
      </c>
      <c r="B1" s="30"/>
      <c r="C1" s="30"/>
      <c r="D1" s="30"/>
      <c r="E1" s="31" t="s">
        <v>1</v>
      </c>
      <c r="F1" s="31"/>
      <c r="G1" s="31"/>
      <c r="H1" s="31"/>
      <c r="I1" s="31"/>
    </row>
    <row r="2" spans="1:9" ht="38.25" customHeight="1">
      <c r="A2" s="32" t="s">
        <v>83</v>
      </c>
      <c r="B2" s="32"/>
      <c r="C2" s="32"/>
      <c r="D2" s="32"/>
      <c r="E2" s="32"/>
      <c r="F2" s="32"/>
      <c r="G2" s="32"/>
      <c r="H2" s="32"/>
      <c r="I2" s="32"/>
    </row>
    <row r="3" spans="1:9" ht="45.75" customHeight="1">
      <c r="A3" s="33" t="s">
        <v>84</v>
      </c>
      <c r="B3" s="33"/>
      <c r="C3" s="33"/>
      <c r="D3" s="33"/>
      <c r="E3" s="33"/>
      <c r="F3" s="33"/>
      <c r="G3" s="33"/>
      <c r="H3" s="33"/>
      <c r="I3" s="33"/>
    </row>
    <row r="4" spans="1:9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</row>
    <row r="5" spans="1:9" ht="17.25" customHeight="1">
      <c r="A5" s="41" t="s">
        <v>85</v>
      </c>
      <c r="B5" s="41"/>
      <c r="C5" s="41"/>
      <c r="D5" s="41" t="s">
        <v>86</v>
      </c>
      <c r="E5" s="41"/>
      <c r="F5" s="41"/>
      <c r="G5" s="41" t="s">
        <v>87</v>
      </c>
      <c r="H5" s="41"/>
      <c r="I5" s="41"/>
    </row>
    <row r="6" spans="1:9" ht="33" customHeight="1">
      <c r="A6" s="46">
        <f>SUM($F$12:$F$21)</f>
        <v>0</v>
      </c>
      <c r="B6" s="46"/>
      <c r="C6" s="46"/>
      <c r="D6" s="44">
        <f>SUM($H$12:$H$21)</f>
        <v>0</v>
      </c>
      <c r="E6" s="44"/>
      <c r="F6" s="44"/>
      <c r="G6" s="58">
        <f>SUM($F$12:$F$21)-SUM($H$12:$H$21)</f>
        <v>0</v>
      </c>
      <c r="H6" s="58"/>
      <c r="I6" s="58"/>
    </row>
    <row r="7" spans="1:9" ht="6.75" customHeight="1"/>
    <row r="10" spans="1:9" ht="30" customHeight="1">
      <c r="A10" s="5" t="s">
        <v>4</v>
      </c>
      <c r="B10" s="6" t="s">
        <v>88</v>
      </c>
      <c r="C10" s="6"/>
      <c r="D10" s="6"/>
      <c r="E10" s="6"/>
      <c r="F10" s="6"/>
      <c r="G10" s="6"/>
      <c r="H10" s="6"/>
      <c r="I10" s="6"/>
    </row>
    <row r="11" spans="1:9" ht="33.75" customHeight="1">
      <c r="A11" s="59" t="s">
        <v>49</v>
      </c>
      <c r="B11" s="59" t="s">
        <v>89</v>
      </c>
      <c r="C11" s="59" t="s">
        <v>90</v>
      </c>
      <c r="D11" s="59" t="s">
        <v>30</v>
      </c>
      <c r="E11" s="59" t="s">
        <v>31</v>
      </c>
      <c r="F11" s="59" t="s">
        <v>91</v>
      </c>
      <c r="G11" s="59" t="s">
        <v>92</v>
      </c>
      <c r="H11" s="59" t="s">
        <v>87</v>
      </c>
      <c r="I11" s="59" t="s">
        <v>78</v>
      </c>
    </row>
    <row r="12" spans="1:9" ht="21.75" customHeight="1">
      <c r="A12" s="60" t="s">
        <v>93</v>
      </c>
      <c r="B12" s="56" t="s">
        <v>94</v>
      </c>
      <c r="C12" s="56">
        <v>500000000</v>
      </c>
      <c r="D12" s="56">
        <f>SUMIFS(Txn!$M$10:$M$159,Txn!$H$10:$H$159,$B12)</f>
        <v>0</v>
      </c>
      <c r="E12" s="56">
        <f>SUMIFS(Txn!$N$10:$N$159,Txn!$H$10:$H$159,$B12)</f>
        <v>0</v>
      </c>
      <c r="F12" s="61">
        <f>$C12+$D12-$E12</f>
        <v>0</v>
      </c>
      <c r="G12" s="57">
        <v>0</v>
      </c>
      <c r="H12" s="62">
        <f>$F12-$G12</f>
        <v>0</v>
      </c>
      <c r="I12" s="63">
        <f>IF(ROUND($H12,0)=0,"✓","⚠")</f>
        <v>0</v>
      </c>
    </row>
    <row r="13" spans="1:9" ht="21.75" customHeight="1">
      <c r="A13" s="60" t="s">
        <v>95</v>
      </c>
      <c r="B13" s="56" t="s">
        <v>96</v>
      </c>
      <c r="C13" s="56">
        <v>0</v>
      </c>
      <c r="D13" s="56">
        <f>SUMIFS(Txn!$M$10:$M$159,Txn!$H$10:$H$159,$B13)</f>
        <v>0</v>
      </c>
      <c r="E13" s="56">
        <f>SUMIFS(Txn!$N$10:$N$159,Txn!$H$10:$H$159,$B13)</f>
        <v>0</v>
      </c>
      <c r="F13" s="61">
        <f>$C13+$D13-$E13</f>
        <v>0</v>
      </c>
      <c r="G13" s="57">
        <v>0</v>
      </c>
      <c r="H13" s="62">
        <f>$F13-$G13</f>
        <v>0</v>
      </c>
      <c r="I13" s="63">
        <f>IF(ROUND($H13,0)=0,"✓","⚠")</f>
        <v>0</v>
      </c>
    </row>
    <row r="14" spans="1:9" ht="21.75" customHeight="1">
      <c r="A14" s="60" t="s">
        <v>97</v>
      </c>
      <c r="B14" s="56" t="s">
        <v>98</v>
      </c>
      <c r="C14" s="56">
        <v>0</v>
      </c>
      <c r="D14" s="56">
        <f>SUMIFS(Txn!$M$10:$M$159,Txn!$H$10:$H$159,$B14)</f>
        <v>0</v>
      </c>
      <c r="E14" s="56">
        <f>SUMIFS(Txn!$N$10:$N$159,Txn!$H$10:$H$159,$B14)</f>
        <v>0</v>
      </c>
      <c r="F14" s="61">
        <f>$C14+$D14-$E14</f>
        <v>0</v>
      </c>
      <c r="G14" s="57">
        <v>0</v>
      </c>
      <c r="H14" s="62">
        <f>$F14-$G14</f>
        <v>0</v>
      </c>
      <c r="I14" s="63">
        <f>IF(ROUND($H14,0)=0,"✓","⚠")</f>
        <v>0</v>
      </c>
    </row>
    <row r="15" spans="1:9" ht="21.75" customHeight="1">
      <c r="A15" s="60" t="s">
        <v>99</v>
      </c>
      <c r="B15" s="56" t="s">
        <v>100</v>
      </c>
      <c r="C15" s="56">
        <v>0</v>
      </c>
      <c r="D15" s="56">
        <f>SUMIFS(Txn!$M$10:$M$159,Txn!$H$10:$H$159,$B15)</f>
        <v>0</v>
      </c>
      <c r="E15" s="56">
        <f>SUMIFS(Txn!$N$10:$N$159,Txn!$H$10:$H$159,$B15)</f>
        <v>0</v>
      </c>
      <c r="F15" s="61">
        <f>$C15+$D15-$E15</f>
        <v>0</v>
      </c>
      <c r="G15" s="57">
        <v>0</v>
      </c>
      <c r="H15" s="62">
        <f>$F15-$G15</f>
        <v>0</v>
      </c>
      <c r="I15" s="63">
        <f>IF(ROUND($H15,0)=0,"✓","⚠")</f>
        <v>0</v>
      </c>
    </row>
    <row r="16" spans="1:9" ht="21.75" customHeight="1">
      <c r="A16" s="60" t="s">
        <v>101</v>
      </c>
      <c r="B16" s="56" t="s">
        <v>102</v>
      </c>
      <c r="C16" s="56">
        <v>0</v>
      </c>
      <c r="D16" s="56">
        <f>SUMIFS(Txn!$M$10:$M$159,Txn!$H$10:$H$159,$B16)</f>
        <v>0</v>
      </c>
      <c r="E16" s="56">
        <f>SUMIFS(Txn!$N$10:$N$159,Txn!$H$10:$H$159,$B16)</f>
        <v>0</v>
      </c>
      <c r="F16" s="61">
        <f>$C16+$D16-$E16</f>
        <v>0</v>
      </c>
      <c r="G16" s="57">
        <v>0</v>
      </c>
      <c r="H16" s="62">
        <f>$F16-$G16</f>
        <v>0</v>
      </c>
      <c r="I16" s="63">
        <f>IF(ROUND($H16,0)=0,"✓","⚠")</f>
        <v>0</v>
      </c>
    </row>
    <row r="17" spans="1:9" ht="21.75" customHeight="1">
      <c r="A17" s="60" t="s">
        <v>103</v>
      </c>
      <c r="B17" s="56" t="s">
        <v>104</v>
      </c>
      <c r="C17" s="56">
        <v>0</v>
      </c>
      <c r="D17" s="56">
        <f>SUMIFS(Txn!$M$10:$M$159,Txn!$H$10:$H$159,$B17)</f>
        <v>0</v>
      </c>
      <c r="E17" s="56">
        <f>SUMIFS(Txn!$N$10:$N$159,Txn!$H$10:$H$159,$B17)</f>
        <v>0</v>
      </c>
      <c r="F17" s="61">
        <f>$C17+$D17-$E17</f>
        <v>0</v>
      </c>
      <c r="G17" s="57">
        <v>0</v>
      </c>
      <c r="H17" s="62">
        <f>$F17-$G17</f>
        <v>0</v>
      </c>
      <c r="I17" s="63">
        <f>IF(ROUND($H17,0)=0,"✓","⚠")</f>
        <v>0</v>
      </c>
    </row>
    <row r="18" spans="1:9" ht="21.75" customHeight="1">
      <c r="A18" s="60" t="s">
        <v>105</v>
      </c>
      <c r="B18" s="56" t="s">
        <v>106</v>
      </c>
      <c r="C18" s="56">
        <v>0</v>
      </c>
      <c r="D18" s="56">
        <f>SUMIFS(Txn!$M$10:$M$159,Txn!$H$10:$H$159,$B18)</f>
        <v>0</v>
      </c>
      <c r="E18" s="56">
        <f>SUMIFS(Txn!$N$10:$N$159,Txn!$H$10:$H$159,$B18)</f>
        <v>0</v>
      </c>
      <c r="F18" s="61">
        <f>$C18+$D18-$E18</f>
        <v>0</v>
      </c>
      <c r="G18" s="57">
        <v>0</v>
      </c>
      <c r="H18" s="62">
        <f>$F18-$G18</f>
        <v>0</v>
      </c>
      <c r="I18" s="63">
        <f>IF(ROUND($H18,0)=0,"✓","⚠")</f>
        <v>0</v>
      </c>
    </row>
    <row r="19" spans="1:9" ht="21.75" customHeight="1">
      <c r="A19" s="60" t="s">
        <v>107</v>
      </c>
      <c r="B19" s="56" t="s">
        <v>108</v>
      </c>
      <c r="C19" s="56">
        <v>0</v>
      </c>
      <c r="D19" s="56">
        <f>SUMIFS(Txn!$M$10:$M$159,Txn!$H$10:$H$159,$B19)</f>
        <v>0</v>
      </c>
      <c r="E19" s="56">
        <f>SUMIFS(Txn!$N$10:$N$159,Txn!$H$10:$H$159,$B19)</f>
        <v>0</v>
      </c>
      <c r="F19" s="61">
        <f>$C19+$D19-$E19</f>
        <v>0</v>
      </c>
      <c r="G19" s="57">
        <v>0</v>
      </c>
      <c r="H19" s="62">
        <f>$F19-$G19</f>
        <v>0</v>
      </c>
      <c r="I19" s="63">
        <f>IF(ROUND($H19,0)=0,"✓","⚠")</f>
        <v>0</v>
      </c>
    </row>
    <row r="20" spans="1:9" ht="21.75" customHeight="1">
      <c r="A20" s="60" t="s">
        <v>109</v>
      </c>
      <c r="B20" s="56" t="s">
        <v>110</v>
      </c>
      <c r="C20" s="56">
        <v>0</v>
      </c>
      <c r="D20" s="56">
        <f>SUMIFS(Txn!$M$10:$M$159,Txn!$H$10:$H$159,$B20)</f>
        <v>0</v>
      </c>
      <c r="E20" s="56">
        <f>SUMIFS(Txn!$N$10:$N$159,Txn!$H$10:$H$159,$B20)</f>
        <v>0</v>
      </c>
      <c r="F20" s="61">
        <f>$C20+$D20-$E20</f>
        <v>0</v>
      </c>
      <c r="G20" s="57">
        <v>0</v>
      </c>
      <c r="H20" s="62">
        <f>$F20-$G20</f>
        <v>0</v>
      </c>
      <c r="I20" s="63">
        <f>IF(ROUND($H20,0)=0,"✓","⚠")</f>
        <v>0</v>
      </c>
    </row>
    <row r="21" spans="1:9" ht="21.75" customHeight="1">
      <c r="A21" s="60" t="s">
        <v>111</v>
      </c>
      <c r="B21" s="56" t="s">
        <v>112</v>
      </c>
      <c r="C21" s="56">
        <v>0</v>
      </c>
      <c r="D21" s="56">
        <f>SUMIFS(Txn!$M$10:$M$159,Txn!$H$10:$H$159,$B21)</f>
        <v>0</v>
      </c>
      <c r="E21" s="56">
        <f>SUMIFS(Txn!$N$10:$N$159,Txn!$H$10:$H$159,$B21)</f>
        <v>0</v>
      </c>
      <c r="F21" s="61">
        <f>$C21+$D21-$E21</f>
        <v>0</v>
      </c>
      <c r="G21" s="57">
        <v>0</v>
      </c>
      <c r="H21" s="62">
        <f>$F21-$G21</f>
        <v>0</v>
      </c>
      <c r="I21" s="63">
        <f>IF(ROUND($H21,0)=0,"✓","⚠")</f>
        <v>0</v>
      </c>
    </row>
  </sheetData>
  <mergeCells count="12">
    <mergeCell ref="A1:D1"/>
    <mergeCell ref="E1:I1"/>
    <mergeCell ref="A2:I2"/>
    <mergeCell ref="A3:I3"/>
    <mergeCell ref="G4:I4"/>
    <mergeCell ref="A5:C5"/>
    <mergeCell ref="A6:C6"/>
    <mergeCell ref="D5:F5"/>
    <mergeCell ref="D6:F6"/>
    <mergeCell ref="G5:I5"/>
    <mergeCell ref="G6:I6"/>
    <mergeCell ref="B10:I10"/>
  </mergeCells>
  <conditionalFormatting sqref="H12:I21">
    <cfRule type="expression" dxfId="5" priority="1">
      <formula>ROUND($H11,0)&lt;&gt;0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B5C7A"/>
    <pageSetUpPr fitToPage="1"/>
  </sheetPr>
  <dimension ref="A1:K24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11" ht="20.25" customHeight="1">
      <c r="A1" s="30" t="s">
        <v>0</v>
      </c>
      <c r="B1" s="30"/>
      <c r="C1" s="30"/>
      <c r="D1" s="30"/>
      <c r="E1" s="30"/>
      <c r="F1" s="30"/>
      <c r="G1" s="31" t="s">
        <v>1</v>
      </c>
      <c r="H1" s="31"/>
      <c r="I1" s="31"/>
      <c r="J1" s="31"/>
      <c r="K1" s="31"/>
    </row>
    <row r="2" spans="1:11" ht="38.25" customHeight="1">
      <c r="A2" s="32" t="s">
        <v>113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45.75" customHeight="1">
      <c r="A3" s="33" t="s">
        <v>114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  <c r="J4" s="40"/>
      <c r="K4" s="40"/>
    </row>
    <row r="5" spans="1:11" ht="17.25" customHeight="1">
      <c r="A5" s="41" t="s">
        <v>7</v>
      </c>
      <c r="B5" s="41"/>
      <c r="C5" s="41"/>
      <c r="D5" s="41"/>
      <c r="E5" s="41" t="s">
        <v>8</v>
      </c>
      <c r="F5" s="41"/>
      <c r="G5" s="41"/>
      <c r="H5" s="41"/>
      <c r="I5" s="41" t="s">
        <v>32</v>
      </c>
      <c r="J5" s="41"/>
      <c r="K5" s="41"/>
    </row>
    <row r="6" spans="1:11" ht="33" customHeight="1">
      <c r="A6" s="42">
        <f>SUM($B$12:$B$23)</f>
        <v>0</v>
      </c>
      <c r="B6" s="42"/>
      <c r="C6" s="42"/>
      <c r="D6" s="42"/>
      <c r="E6" s="43">
        <f>SUM($C$12:$C$23)</f>
        <v>0</v>
      </c>
      <c r="F6" s="43"/>
      <c r="G6" s="43"/>
      <c r="H6" s="43"/>
      <c r="I6" s="46">
        <f>SUM($B$12:$B$23)-SUM($C$12:$C$23)</f>
        <v>0</v>
      </c>
      <c r="J6" s="46"/>
      <c r="K6" s="46"/>
    </row>
    <row r="7" spans="1:11" ht="6.75" customHeight="1"/>
    <row r="11" spans="1:11">
      <c r="A11" s="64" t="s">
        <v>115</v>
      </c>
      <c r="B11" s="64" t="s">
        <v>30</v>
      </c>
      <c r="C11" s="64" t="s">
        <v>31</v>
      </c>
      <c r="D11" s="64" t="s">
        <v>116</v>
      </c>
      <c r="E11" s="64" t="s">
        <v>6</v>
      </c>
    </row>
    <row r="13" spans="1:11" ht="21.75" customHeight="1">
      <c r="A13" s="65" t="s">
        <v>117</v>
      </c>
      <c r="B13" s="56">
        <f>SUMIFS(Txn!$M$10:$M$159,Txn!$A$10:$A$159,"*/01/*")</f>
        <v>0</v>
      </c>
      <c r="C13" s="56">
        <f>SUMIFS(Txn!$N$10:$N$159,Txn!$A$10:$A$159,"*/01/*")</f>
        <v>0</v>
      </c>
      <c r="D13" s="56">
        <f>$B13-$C13</f>
        <v>0</v>
      </c>
      <c r="E13" s="56">
        <f>COUNTIF(Txn!$A$10:$A$159,"*/01/*")</f>
        <v>0</v>
      </c>
    </row>
    <row r="14" spans="1:11" ht="21.75" customHeight="1">
      <c r="A14" s="65" t="s">
        <v>118</v>
      </c>
      <c r="B14" s="56">
        <f>SUMIFS(Txn!$M$10:$M$159,Txn!$A$10:$A$159,"*/02/*")</f>
        <v>0</v>
      </c>
      <c r="C14" s="56">
        <f>SUMIFS(Txn!$N$10:$N$159,Txn!$A$10:$A$159,"*/02/*")</f>
        <v>0</v>
      </c>
      <c r="D14" s="56">
        <f>$B14-$C14</f>
        <v>0</v>
      </c>
      <c r="E14" s="56">
        <f>COUNTIF(Txn!$A$10:$A$159,"*/02/*")</f>
        <v>0</v>
      </c>
    </row>
    <row r="15" spans="1:11" ht="21.75" customHeight="1">
      <c r="A15" s="65" t="s">
        <v>119</v>
      </c>
      <c r="B15" s="56">
        <f>SUMIFS(Txn!$M$10:$M$159,Txn!$A$10:$A$159,"*/03/*")</f>
        <v>0</v>
      </c>
      <c r="C15" s="56">
        <f>SUMIFS(Txn!$N$10:$N$159,Txn!$A$10:$A$159,"*/03/*")</f>
        <v>0</v>
      </c>
      <c r="D15" s="56">
        <f>$B15-$C15</f>
        <v>0</v>
      </c>
      <c r="E15" s="56">
        <f>COUNTIF(Txn!$A$10:$A$159,"*/03/*")</f>
        <v>0</v>
      </c>
    </row>
    <row r="16" spans="1:11" ht="21.75" customHeight="1">
      <c r="A16" s="65" t="s">
        <v>120</v>
      </c>
      <c r="B16" s="56">
        <f>SUMIFS(Txn!$M$10:$M$159,Txn!$A$10:$A$159,"*/04/*")</f>
        <v>0</v>
      </c>
      <c r="C16" s="56">
        <f>SUMIFS(Txn!$N$10:$N$159,Txn!$A$10:$A$159,"*/04/*")</f>
        <v>0</v>
      </c>
      <c r="D16" s="56">
        <f>$B16-$C16</f>
        <v>0</v>
      </c>
      <c r="E16" s="56">
        <f>COUNTIF(Txn!$A$10:$A$159,"*/04/*")</f>
        <v>0</v>
      </c>
    </row>
    <row r="17" spans="1:5" ht="21.75" customHeight="1">
      <c r="A17" s="65" t="s">
        <v>121</v>
      </c>
      <c r="B17" s="56">
        <f>SUMIFS(Txn!$M$10:$M$159,Txn!$A$10:$A$159,"*/05/*")</f>
        <v>0</v>
      </c>
      <c r="C17" s="56">
        <f>SUMIFS(Txn!$N$10:$N$159,Txn!$A$10:$A$159,"*/05/*")</f>
        <v>0</v>
      </c>
      <c r="D17" s="56">
        <f>$B17-$C17</f>
        <v>0</v>
      </c>
      <c r="E17" s="56">
        <f>COUNTIF(Txn!$A$10:$A$159,"*/05/*")</f>
        <v>0</v>
      </c>
    </row>
    <row r="18" spans="1:5" ht="21.75" customHeight="1">
      <c r="A18" s="65" t="s">
        <v>122</v>
      </c>
      <c r="B18" s="56">
        <f>SUMIFS(Txn!$M$10:$M$159,Txn!$A$10:$A$159,"*/06/*")</f>
        <v>0</v>
      </c>
      <c r="C18" s="56">
        <f>SUMIFS(Txn!$N$10:$N$159,Txn!$A$10:$A$159,"*/06/*")</f>
        <v>0</v>
      </c>
      <c r="D18" s="56">
        <f>$B18-$C18</f>
        <v>0</v>
      </c>
      <c r="E18" s="56">
        <f>COUNTIF(Txn!$A$10:$A$159,"*/06/*")</f>
        <v>0</v>
      </c>
    </row>
    <row r="19" spans="1:5" ht="21.75" customHeight="1">
      <c r="A19" s="65" t="s">
        <v>123</v>
      </c>
      <c r="B19" s="56">
        <f>SUMIFS(Txn!$M$10:$M$159,Txn!$A$10:$A$159,"*/07/*")</f>
        <v>0</v>
      </c>
      <c r="C19" s="56">
        <f>SUMIFS(Txn!$N$10:$N$159,Txn!$A$10:$A$159,"*/07/*")</f>
        <v>0</v>
      </c>
      <c r="D19" s="56">
        <f>$B19-$C19</f>
        <v>0</v>
      </c>
      <c r="E19" s="56">
        <f>COUNTIF(Txn!$A$10:$A$159,"*/07/*")</f>
        <v>0</v>
      </c>
    </row>
    <row r="20" spans="1:5" ht="21.75" customHeight="1">
      <c r="A20" s="65" t="s">
        <v>124</v>
      </c>
      <c r="B20" s="56">
        <f>SUMIFS(Txn!$M$10:$M$159,Txn!$A$10:$A$159,"*/08/*")</f>
        <v>0</v>
      </c>
      <c r="C20" s="56">
        <f>SUMIFS(Txn!$N$10:$N$159,Txn!$A$10:$A$159,"*/08/*")</f>
        <v>0</v>
      </c>
      <c r="D20" s="56">
        <f>$B20-$C20</f>
        <v>0</v>
      </c>
      <c r="E20" s="56">
        <f>COUNTIF(Txn!$A$10:$A$159,"*/08/*")</f>
        <v>0</v>
      </c>
    </row>
    <row r="21" spans="1:5" ht="21.75" customHeight="1">
      <c r="A21" s="65" t="s">
        <v>125</v>
      </c>
      <c r="B21" s="56">
        <f>SUMIFS(Txn!$M$10:$M$159,Txn!$A$10:$A$159,"*/09/*")</f>
        <v>0</v>
      </c>
      <c r="C21" s="56">
        <f>SUMIFS(Txn!$N$10:$N$159,Txn!$A$10:$A$159,"*/09/*")</f>
        <v>0</v>
      </c>
      <c r="D21" s="56">
        <f>$B21-$C21</f>
        <v>0</v>
      </c>
      <c r="E21" s="56">
        <f>COUNTIF(Txn!$A$10:$A$159,"*/09/*")</f>
        <v>0</v>
      </c>
    </row>
    <row r="22" spans="1:5" ht="21.75" customHeight="1">
      <c r="A22" s="65" t="s">
        <v>126</v>
      </c>
      <c r="B22" s="56">
        <f>SUMIFS(Txn!$M$10:$M$159,Txn!$A$10:$A$159,"*/10/*")</f>
        <v>0</v>
      </c>
      <c r="C22" s="56">
        <f>SUMIFS(Txn!$N$10:$N$159,Txn!$A$10:$A$159,"*/10/*")</f>
        <v>0</v>
      </c>
      <c r="D22" s="56">
        <f>$B22-$C22</f>
        <v>0</v>
      </c>
      <c r="E22" s="56">
        <f>COUNTIF(Txn!$A$10:$A$159,"*/10/*")</f>
        <v>0</v>
      </c>
    </row>
    <row r="23" spans="1:5" ht="21.75" customHeight="1">
      <c r="A23" s="65" t="s">
        <v>127</v>
      </c>
      <c r="B23" s="56">
        <f>SUMIFS(Txn!$M$10:$M$159,Txn!$A$10:$A$159,"*/11/*")</f>
        <v>0</v>
      </c>
      <c r="C23" s="56">
        <f>SUMIFS(Txn!$N$10:$N$159,Txn!$A$10:$A$159,"*/11/*")</f>
        <v>0</v>
      </c>
      <c r="D23" s="56">
        <f>$B23-$C23</f>
        <v>0</v>
      </c>
      <c r="E23" s="56">
        <f>COUNTIF(Txn!$A$10:$A$159,"*/11/*")</f>
        <v>0</v>
      </c>
    </row>
    <row r="24" spans="1:5" ht="21.75" customHeight="1">
      <c r="A24" s="65" t="s">
        <v>128</v>
      </c>
      <c r="B24" s="56">
        <f>SUMIFS(Txn!$M$10:$M$159,Txn!$A$10:$A$159,"*/12/*")</f>
        <v>0</v>
      </c>
      <c r="C24" s="56">
        <f>SUMIFS(Txn!$N$10:$N$159,Txn!$A$10:$A$159,"*/12/*")</f>
        <v>0</v>
      </c>
      <c r="D24" s="56">
        <f>$B24-$C24</f>
        <v>0</v>
      </c>
      <c r="E24" s="56">
        <f>COUNTIF(Txn!$A$10:$A$159,"*/12/*")</f>
        <v>0</v>
      </c>
    </row>
  </sheetData>
  <mergeCells count="11">
    <mergeCell ref="A1:F1"/>
    <mergeCell ref="G1:K1"/>
    <mergeCell ref="A2:K2"/>
    <mergeCell ref="A3:K3"/>
    <mergeCell ref="G4:K4"/>
    <mergeCell ref="A5:D5"/>
    <mergeCell ref="A6:D6"/>
    <mergeCell ref="E5:H5"/>
    <mergeCell ref="E6:H6"/>
    <mergeCell ref="I5:K5"/>
    <mergeCell ref="I6:K6"/>
  </mergeCells>
  <conditionalFormatting sqref="D12:D23">
    <cfRule type="cellIs" dxfId="6" priority="1" operator="lessThan">
      <formula>0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66" t="s">
        <v>129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96" ht="27.75" customHeight="1">
      <c r="A2" s="67" t="s">
        <v>130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96">
      <c r="A3" s="68" t="s">
        <v>131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8" spans="1:96">
      <c r="B8" s="69" t="s">
        <v>132</v>
      </c>
      <c r="C8" s="69"/>
      <c r="D8" s="69"/>
      <c r="E8" s="69"/>
      <c r="F8" s="69"/>
      <c r="G8" s="69"/>
      <c r="I8" s="70" t="s">
        <v>526</v>
      </c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Y8" s="71" t="s">
        <v>558</v>
      </c>
      <c r="Z8" s="71"/>
      <c r="AA8" s="71"/>
      <c r="AB8" s="71"/>
      <c r="AC8" s="71"/>
      <c r="AD8" s="71"/>
      <c r="AE8" s="71"/>
      <c r="AF8" s="71"/>
      <c r="AH8" s="72" t="s">
        <v>591</v>
      </c>
      <c r="AI8" s="72"/>
      <c r="AK8" s="73" t="s">
        <v>611</v>
      </c>
      <c r="AL8" s="73"/>
      <c r="AM8" s="73"/>
      <c r="AN8" s="73"/>
      <c r="AO8" s="74" t="s">
        <v>613</v>
      </c>
      <c r="AP8" s="74"/>
      <c r="AR8" s="75" t="s">
        <v>631</v>
      </c>
      <c r="AS8" s="75"/>
      <c r="AU8" s="69" t="s">
        <v>649</v>
      </c>
      <c r="AW8" s="69" t="s">
        <v>651</v>
      </c>
      <c r="AX8" s="69" t="s">
        <v>362</v>
      </c>
      <c r="AZ8" s="69" t="s">
        <v>654</v>
      </c>
    </row>
    <row r="9" spans="1:96" ht="12.75" customHeight="1">
      <c r="B9" s="76" t="s">
        <v>133</v>
      </c>
      <c r="C9" s="76"/>
      <c r="D9" s="76"/>
      <c r="E9" s="76"/>
      <c r="F9" s="76"/>
      <c r="G9" s="76"/>
      <c r="I9" s="77" t="s">
        <v>527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Y9" s="78" t="s">
        <v>559</v>
      </c>
      <c r="Z9" s="78"/>
      <c r="AA9" s="78"/>
      <c r="AB9" s="78"/>
      <c r="AC9" s="78"/>
      <c r="AD9" s="78"/>
      <c r="AE9" s="78"/>
      <c r="AF9" s="78"/>
      <c r="AH9" s="79" t="s">
        <v>592</v>
      </c>
      <c r="AI9" s="79"/>
      <c r="AK9" s="80" t="s">
        <v>612</v>
      </c>
      <c r="AL9" s="80"/>
      <c r="AM9" s="80"/>
      <c r="AN9" s="80"/>
      <c r="AO9" s="81" t="s">
        <v>614</v>
      </c>
      <c r="AP9" s="81"/>
      <c r="AR9" s="82" t="s">
        <v>632</v>
      </c>
      <c r="AS9" s="82"/>
      <c r="AU9" s="76" t="s">
        <v>650</v>
      </c>
      <c r="AW9" s="76" t="s">
        <v>652</v>
      </c>
      <c r="AX9" s="76" t="s">
        <v>653</v>
      </c>
      <c r="AZ9" s="76" t="s">
        <v>655</v>
      </c>
    </row>
    <row r="10" spans="1:96">
      <c r="B10" s="83" t="s">
        <v>134</v>
      </c>
      <c r="C10" s="55" t="s">
        <v>135</v>
      </c>
      <c r="D10" s="83" t="s">
        <v>136</v>
      </c>
      <c r="E10" s="55" t="s">
        <v>137</v>
      </c>
      <c r="F10" s="55" t="s">
        <v>76</v>
      </c>
      <c r="G10" s="84">
        <v>0</v>
      </c>
      <c r="I10" s="55" t="s">
        <v>528</v>
      </c>
      <c r="J10" s="83" t="s">
        <v>26</v>
      </c>
      <c r="K10" s="83" t="s">
        <v>529</v>
      </c>
      <c r="L10" s="83" t="s">
        <v>530</v>
      </c>
      <c r="M10" s="83" t="s">
        <v>530</v>
      </c>
      <c r="N10" s="83" t="s">
        <v>531</v>
      </c>
      <c r="O10" s="83" t="s">
        <v>532</v>
      </c>
      <c r="P10" s="83" t="s">
        <v>302</v>
      </c>
      <c r="Q10" s="83" t="s">
        <v>533</v>
      </c>
      <c r="R10" s="83" t="s">
        <v>534</v>
      </c>
      <c r="S10" s="83" t="s">
        <v>535</v>
      </c>
      <c r="T10" s="83"/>
      <c r="U10" s="83"/>
      <c r="V10" s="83"/>
      <c r="W10" s="83" t="s">
        <v>530</v>
      </c>
      <c r="Y10" s="55" t="s">
        <v>560</v>
      </c>
      <c r="Z10" s="83" t="s">
        <v>561</v>
      </c>
      <c r="AA10" s="55" t="s">
        <v>562</v>
      </c>
      <c r="AB10" s="84">
        <v>1.5</v>
      </c>
      <c r="AC10" s="84">
        <v>6</v>
      </c>
      <c r="AD10" s="84">
        <v>45000</v>
      </c>
      <c r="AE10" s="84">
        <v>55000</v>
      </c>
      <c r="AF10" s="84">
        <v>1200</v>
      </c>
      <c r="AH10" s="55" t="s">
        <v>593</v>
      </c>
      <c r="AI10" s="55" t="s">
        <v>594</v>
      </c>
      <c r="AK10" s="83" t="s">
        <v>94</v>
      </c>
      <c r="AL10" s="55" t="s">
        <v>93</v>
      </c>
      <c r="AM10" s="84">
        <v>500000000</v>
      </c>
      <c r="AN10" s="83" t="s">
        <v>364</v>
      </c>
      <c r="AO10" s="83" t="s">
        <v>615</v>
      </c>
      <c r="AP10" s="84">
        <v>1.5</v>
      </c>
      <c r="AR10" s="55" t="s">
        <v>136</v>
      </c>
      <c r="AS10" s="55" t="s">
        <v>633</v>
      </c>
      <c r="AU10" s="55" t="s">
        <v>136</v>
      </c>
      <c r="AW10" s="55" t="s">
        <v>554</v>
      </c>
      <c r="AX10" s="83" t="s">
        <v>360</v>
      </c>
      <c r="AZ10" s="55" t="s">
        <v>528</v>
      </c>
      <c r="CA10" s="55" t="s">
        <v>656</v>
      </c>
      <c r="CB10" s="55" t="s">
        <v>594</v>
      </c>
      <c r="CC10" s="55" t="s">
        <v>26</v>
      </c>
      <c r="CD10" s="55" t="s">
        <v>530</v>
      </c>
      <c r="CE10" s="55" t="s">
        <v>76</v>
      </c>
      <c r="CF10" s="55" t="s">
        <v>661</v>
      </c>
      <c r="CG10" s="55" t="s">
        <v>72</v>
      </c>
      <c r="CH10" s="55" t="s">
        <v>668</v>
      </c>
      <c r="CI10" s="55" t="s">
        <v>534</v>
      </c>
      <c r="CJ10" s="55" t="s">
        <v>533</v>
      </c>
      <c r="CK10" s="55" t="s">
        <v>533</v>
      </c>
      <c r="CL10" s="55" t="s">
        <v>529</v>
      </c>
      <c r="CM10" s="55" t="s">
        <v>671</v>
      </c>
      <c r="CN10" s="55" t="s">
        <v>673</v>
      </c>
      <c r="CO10" s="55" t="s">
        <v>531</v>
      </c>
      <c r="CP10" s="55" t="s">
        <v>683</v>
      </c>
      <c r="CQ10" s="55" t="s">
        <v>691</v>
      </c>
      <c r="CR10" s="55" t="s">
        <v>31</v>
      </c>
    </row>
    <row r="11" spans="1:96">
      <c r="B11" s="83" t="s">
        <v>138</v>
      </c>
      <c r="C11" s="55" t="s">
        <v>139</v>
      </c>
      <c r="D11" s="83" t="s">
        <v>136</v>
      </c>
      <c r="E11" s="55" t="s">
        <v>140</v>
      </c>
      <c r="F11" s="55" t="s">
        <v>76</v>
      </c>
      <c r="G11" s="84">
        <v>0</v>
      </c>
      <c r="I11" s="55" t="s">
        <v>536</v>
      </c>
      <c r="J11" s="83" t="s">
        <v>27</v>
      </c>
      <c r="K11" s="83" t="s">
        <v>537</v>
      </c>
      <c r="L11" s="83" t="s">
        <v>530</v>
      </c>
      <c r="M11" s="83" t="s">
        <v>530</v>
      </c>
      <c r="N11" s="83" t="s">
        <v>531</v>
      </c>
      <c r="O11" s="83" t="s">
        <v>533</v>
      </c>
      <c r="P11" s="83" t="s">
        <v>307</v>
      </c>
      <c r="Q11" s="83" t="s">
        <v>532</v>
      </c>
      <c r="R11" s="83" t="s">
        <v>538</v>
      </c>
      <c r="S11" s="83" t="s">
        <v>533</v>
      </c>
      <c r="T11" s="83" t="s">
        <v>96</v>
      </c>
      <c r="U11" s="83" t="s">
        <v>295</v>
      </c>
      <c r="V11" s="83"/>
      <c r="W11" s="83" t="s">
        <v>530</v>
      </c>
      <c r="Y11" s="55" t="s">
        <v>563</v>
      </c>
      <c r="Z11" s="83" t="s">
        <v>564</v>
      </c>
      <c r="AA11" s="55" t="s">
        <v>565</v>
      </c>
      <c r="AB11" s="84">
        <v>1.5</v>
      </c>
      <c r="AC11" s="84">
        <v>6</v>
      </c>
      <c r="AD11" s="84">
        <v>48000</v>
      </c>
      <c r="AE11" s="84">
        <v>58000</v>
      </c>
      <c r="AF11" s="84">
        <v>400</v>
      </c>
      <c r="AH11" s="55" t="s">
        <v>595</v>
      </c>
      <c r="AI11" s="55" t="s">
        <v>594</v>
      </c>
      <c r="AK11" s="83" t="s">
        <v>96</v>
      </c>
      <c r="AL11" s="55" t="s">
        <v>95</v>
      </c>
      <c r="AM11" s="84">
        <v>0</v>
      </c>
      <c r="AN11" s="83" t="s">
        <v>367</v>
      </c>
      <c r="AO11" s="83" t="s">
        <v>616</v>
      </c>
      <c r="AP11" s="84">
        <v>1</v>
      </c>
      <c r="AR11" s="55" t="s">
        <v>136</v>
      </c>
      <c r="AS11" s="55" t="s">
        <v>634</v>
      </c>
      <c r="AU11" s="55" t="s">
        <v>254</v>
      </c>
      <c r="AW11" s="55" t="s">
        <v>311</v>
      </c>
      <c r="AX11" s="83" t="s">
        <v>507</v>
      </c>
      <c r="AZ11" s="55" t="s">
        <v>536</v>
      </c>
      <c r="CA11" s="55" t="s">
        <v>657</v>
      </c>
      <c r="CB11" s="55" t="s">
        <v>600</v>
      </c>
      <c r="CC11" s="55" t="s">
        <v>27</v>
      </c>
      <c r="CD11" s="55" t="s">
        <v>543</v>
      </c>
      <c r="CE11" s="55" t="s">
        <v>298</v>
      </c>
      <c r="CF11" s="55" t="s">
        <v>662</v>
      </c>
      <c r="CG11" s="55" t="s">
        <v>73</v>
      </c>
      <c r="CH11" s="55" t="s">
        <v>669</v>
      </c>
      <c r="CI11" s="55" t="s">
        <v>538</v>
      </c>
      <c r="CJ11" s="55" t="s">
        <v>532</v>
      </c>
      <c r="CK11" s="55" t="s">
        <v>532</v>
      </c>
      <c r="CL11" s="55" t="s">
        <v>537</v>
      </c>
      <c r="CM11" s="55" t="s">
        <v>672</v>
      </c>
      <c r="CN11" s="55" t="s">
        <v>674</v>
      </c>
      <c r="CO11" s="55" t="s">
        <v>53</v>
      </c>
      <c r="CP11" s="55" t="s">
        <v>684</v>
      </c>
      <c r="CQ11" s="55" t="s">
        <v>692</v>
      </c>
      <c r="CR11" s="55" t="s">
        <v>30</v>
      </c>
    </row>
    <row r="12" spans="1:96">
      <c r="B12" s="83" t="s">
        <v>141</v>
      </c>
      <c r="C12" s="55" t="s">
        <v>142</v>
      </c>
      <c r="D12" s="83" t="s">
        <v>136</v>
      </c>
      <c r="E12" s="55" t="s">
        <v>143</v>
      </c>
      <c r="F12" s="55" t="s">
        <v>76</v>
      </c>
      <c r="G12" s="84">
        <v>0</v>
      </c>
      <c r="I12" s="55" t="s">
        <v>539</v>
      </c>
      <c r="J12" s="83" t="s">
        <v>27</v>
      </c>
      <c r="K12" s="83" t="s">
        <v>537</v>
      </c>
      <c r="L12" s="83" t="s">
        <v>530</v>
      </c>
      <c r="M12" s="83" t="s">
        <v>530</v>
      </c>
      <c r="N12" s="83" t="s">
        <v>531</v>
      </c>
      <c r="O12" s="83" t="s">
        <v>533</v>
      </c>
      <c r="P12" s="83" t="s">
        <v>307</v>
      </c>
      <c r="Q12" s="83" t="s">
        <v>532</v>
      </c>
      <c r="R12" s="83" t="s">
        <v>538</v>
      </c>
      <c r="S12" s="83" t="s">
        <v>533</v>
      </c>
      <c r="T12" s="83" t="s">
        <v>96</v>
      </c>
      <c r="U12" s="83" t="s">
        <v>295</v>
      </c>
      <c r="V12" s="83"/>
      <c r="W12" s="83" t="s">
        <v>530</v>
      </c>
      <c r="Y12" s="55" t="s">
        <v>566</v>
      </c>
      <c r="Z12" s="83" t="s">
        <v>567</v>
      </c>
      <c r="AA12" s="55" t="s">
        <v>568</v>
      </c>
      <c r="AB12" s="84">
        <v>1.9</v>
      </c>
      <c r="AC12" s="84">
        <v>9</v>
      </c>
      <c r="AD12" s="84">
        <v>62000</v>
      </c>
      <c r="AE12" s="84">
        <v>75000</v>
      </c>
      <c r="AF12" s="84">
        <v>800</v>
      </c>
      <c r="AH12" s="55" t="s">
        <v>596</v>
      </c>
      <c r="AI12" s="55" t="s">
        <v>594</v>
      </c>
      <c r="AK12" s="83" t="s">
        <v>98</v>
      </c>
      <c r="AL12" s="55" t="s">
        <v>97</v>
      </c>
      <c r="AM12" s="84">
        <v>0</v>
      </c>
      <c r="AN12" s="83" t="s">
        <v>368</v>
      </c>
      <c r="AO12" s="83" t="s">
        <v>617</v>
      </c>
      <c r="AP12" s="84">
        <v>1000</v>
      </c>
      <c r="AR12" s="55" t="s">
        <v>136</v>
      </c>
      <c r="AS12" s="55" t="s">
        <v>137</v>
      </c>
      <c r="AU12" s="55" t="s">
        <v>266</v>
      </c>
      <c r="AW12" s="55" t="s">
        <v>555</v>
      </c>
      <c r="AX12" s="83" t="s">
        <v>508</v>
      </c>
      <c r="AZ12" s="55" t="s">
        <v>539</v>
      </c>
      <c r="CA12" s="55" t="s">
        <v>658</v>
      </c>
      <c r="CB12" s="55" t="s">
        <v>605</v>
      </c>
      <c r="CC12" s="55" t="s">
        <v>535</v>
      </c>
      <c r="CF12" s="55" t="s">
        <v>663</v>
      </c>
      <c r="CG12" s="55" t="s">
        <v>74</v>
      </c>
      <c r="CI12" s="55" t="s">
        <v>541</v>
      </c>
      <c r="CJ12" s="55" t="s">
        <v>535</v>
      </c>
      <c r="CK12" s="55" t="s">
        <v>25</v>
      </c>
      <c r="CL12" s="55" t="s">
        <v>540</v>
      </c>
      <c r="CN12" s="55" t="s">
        <v>675</v>
      </c>
      <c r="CO12" s="55" t="s">
        <v>541</v>
      </c>
      <c r="CP12" s="55" t="s">
        <v>685</v>
      </c>
      <c r="CQ12" s="55" t="s">
        <v>693</v>
      </c>
    </row>
    <row r="13" spans="1:96">
      <c r="B13" s="83" t="s">
        <v>144</v>
      </c>
      <c r="C13" s="55" t="s">
        <v>145</v>
      </c>
      <c r="D13" s="83" t="s">
        <v>136</v>
      </c>
      <c r="E13" s="55"/>
      <c r="F13" s="55" t="s">
        <v>76</v>
      </c>
      <c r="G13" s="84">
        <v>0</v>
      </c>
      <c r="I13" s="55" t="s">
        <v>540</v>
      </c>
      <c r="J13" s="83" t="s">
        <v>27</v>
      </c>
      <c r="K13" s="83" t="s">
        <v>540</v>
      </c>
      <c r="L13" s="83" t="s">
        <v>530</v>
      </c>
      <c r="M13" s="83" t="s">
        <v>530</v>
      </c>
      <c r="N13" s="83" t="s">
        <v>53</v>
      </c>
      <c r="O13" s="83" t="s">
        <v>25</v>
      </c>
      <c r="P13" s="83" t="s">
        <v>312</v>
      </c>
      <c r="Q13" s="83" t="s">
        <v>25</v>
      </c>
      <c r="R13" s="83" t="s">
        <v>541</v>
      </c>
      <c r="S13" s="83" t="s">
        <v>535</v>
      </c>
      <c r="T13" s="83"/>
      <c r="U13" s="83"/>
      <c r="V13" s="83"/>
      <c r="W13" s="83" t="s">
        <v>530</v>
      </c>
      <c r="Y13" s="55" t="s">
        <v>569</v>
      </c>
      <c r="Z13" s="83" t="s">
        <v>570</v>
      </c>
      <c r="AA13" s="55" t="s">
        <v>571</v>
      </c>
      <c r="AB13" s="84">
        <v>1.3</v>
      </c>
      <c r="AC13" s="84">
        <v>5</v>
      </c>
      <c r="AD13" s="84">
        <v>40000</v>
      </c>
      <c r="AE13" s="84">
        <v>50000</v>
      </c>
      <c r="AF13" s="84">
        <v>300</v>
      </c>
      <c r="AH13" s="55" t="s">
        <v>597</v>
      </c>
      <c r="AI13" s="55" t="s">
        <v>594</v>
      </c>
      <c r="AK13" s="83" t="s">
        <v>100</v>
      </c>
      <c r="AL13" s="55" t="s">
        <v>99</v>
      </c>
      <c r="AM13" s="84">
        <v>0</v>
      </c>
      <c r="AN13" s="83" t="s">
        <v>370</v>
      </c>
      <c r="AO13" s="83" t="s">
        <v>618</v>
      </c>
      <c r="AP13" s="55" t="s">
        <v>619</v>
      </c>
      <c r="AR13" s="55" t="s">
        <v>136</v>
      </c>
      <c r="AS13" s="55" t="s">
        <v>143</v>
      </c>
      <c r="AU13" s="55" t="s">
        <v>641</v>
      </c>
      <c r="AW13" s="55" t="s">
        <v>556</v>
      </c>
      <c r="AX13" s="83" t="s">
        <v>509</v>
      </c>
      <c r="AZ13" s="55" t="s">
        <v>540</v>
      </c>
      <c r="CA13" s="55" t="s">
        <v>659</v>
      </c>
      <c r="CB13" s="55" t="s">
        <v>608</v>
      </c>
      <c r="CF13" s="55" t="s">
        <v>664</v>
      </c>
      <c r="CG13" s="55" t="s">
        <v>667</v>
      </c>
      <c r="CI13" s="55" t="s">
        <v>535</v>
      </c>
      <c r="CK13" s="55" t="s">
        <v>535</v>
      </c>
      <c r="CL13" s="55" t="s">
        <v>542</v>
      </c>
      <c r="CN13" s="55" t="s">
        <v>676</v>
      </c>
      <c r="CO13" s="55" t="s">
        <v>535</v>
      </c>
      <c r="CP13" s="55" t="s">
        <v>686</v>
      </c>
      <c r="CQ13" s="55" t="s">
        <v>694</v>
      </c>
    </row>
    <row r="14" spans="1:96">
      <c r="B14" s="83" t="s">
        <v>146</v>
      </c>
      <c r="C14" s="55" t="s">
        <v>147</v>
      </c>
      <c r="D14" s="83" t="s">
        <v>136</v>
      </c>
      <c r="E14" s="55"/>
      <c r="F14" s="55" t="s">
        <v>76</v>
      </c>
      <c r="G14" s="84">
        <v>0</v>
      </c>
      <c r="I14" s="55" t="s">
        <v>292</v>
      </c>
      <c r="J14" s="83" t="s">
        <v>535</v>
      </c>
      <c r="K14" s="83" t="s">
        <v>542</v>
      </c>
      <c r="L14" s="83" t="s">
        <v>543</v>
      </c>
      <c r="M14" s="83" t="s">
        <v>543</v>
      </c>
      <c r="N14" s="83" t="s">
        <v>53</v>
      </c>
      <c r="O14" s="83" t="s">
        <v>532</v>
      </c>
      <c r="P14" s="83" t="s">
        <v>96</v>
      </c>
      <c r="Q14" s="83" t="s">
        <v>533</v>
      </c>
      <c r="R14" s="83" t="s">
        <v>541</v>
      </c>
      <c r="S14" s="83" t="s">
        <v>535</v>
      </c>
      <c r="T14" s="83"/>
      <c r="U14" s="83"/>
      <c r="V14" s="83" t="s">
        <v>291</v>
      </c>
      <c r="W14" s="83" t="s">
        <v>530</v>
      </c>
      <c r="Y14" s="55" t="s">
        <v>572</v>
      </c>
      <c r="Z14" s="83" t="s">
        <v>573</v>
      </c>
      <c r="AA14" s="55" t="s">
        <v>574</v>
      </c>
      <c r="AB14" s="84">
        <v>2</v>
      </c>
      <c r="AC14" s="84">
        <v>10</v>
      </c>
      <c r="AD14" s="84">
        <v>70000</v>
      </c>
      <c r="AE14" s="84">
        <v>85000</v>
      </c>
      <c r="AF14" s="84">
        <v>250</v>
      </c>
      <c r="AH14" s="55" t="s">
        <v>598</v>
      </c>
      <c r="AI14" s="55" t="s">
        <v>594</v>
      </c>
      <c r="AK14" s="83" t="s">
        <v>102</v>
      </c>
      <c r="AL14" s="55" t="s">
        <v>101</v>
      </c>
      <c r="AM14" s="84">
        <v>0</v>
      </c>
      <c r="AN14" s="83" t="s">
        <v>372</v>
      </c>
      <c r="AO14" s="83" t="s">
        <v>620</v>
      </c>
      <c r="AP14" s="84">
        <v>100</v>
      </c>
      <c r="AR14" s="55" t="s">
        <v>136</v>
      </c>
      <c r="AS14" s="55" t="s">
        <v>140</v>
      </c>
      <c r="AU14" s="55" t="s">
        <v>274</v>
      </c>
      <c r="AW14" s="55" t="s">
        <v>557</v>
      </c>
      <c r="AX14" s="83" t="s">
        <v>510</v>
      </c>
      <c r="AZ14" s="55" t="s">
        <v>292</v>
      </c>
      <c r="CA14" s="55" t="s">
        <v>660</v>
      </c>
      <c r="CB14" s="55" t="s">
        <v>551</v>
      </c>
      <c r="CF14" s="55" t="s">
        <v>665</v>
      </c>
      <c r="CL14" s="55" t="s">
        <v>362</v>
      </c>
      <c r="CN14" s="55" t="s">
        <v>677</v>
      </c>
      <c r="CP14" s="55" t="s">
        <v>687</v>
      </c>
    </row>
    <row r="15" spans="1:96">
      <c r="B15" s="83" t="s">
        <v>148</v>
      </c>
      <c r="C15" s="55" t="s">
        <v>149</v>
      </c>
      <c r="D15" s="83" t="s">
        <v>136</v>
      </c>
      <c r="E15" s="55"/>
      <c r="F15" s="55" t="s">
        <v>76</v>
      </c>
      <c r="G15" s="84">
        <v>0</v>
      </c>
      <c r="I15" s="55" t="s">
        <v>362</v>
      </c>
      <c r="J15" s="83" t="s">
        <v>535</v>
      </c>
      <c r="K15" s="83" t="s">
        <v>362</v>
      </c>
      <c r="L15" s="83" t="s">
        <v>543</v>
      </c>
      <c r="M15" s="83" t="s">
        <v>530</v>
      </c>
      <c r="N15" s="83" t="s">
        <v>53</v>
      </c>
      <c r="O15" s="83" t="s">
        <v>533</v>
      </c>
      <c r="P15" s="83" t="s">
        <v>295</v>
      </c>
      <c r="Q15" s="83" t="s">
        <v>532</v>
      </c>
      <c r="R15" s="83" t="s">
        <v>541</v>
      </c>
      <c r="S15" s="83" t="s">
        <v>535</v>
      </c>
      <c r="T15" s="83"/>
      <c r="U15" s="83"/>
      <c r="V15" s="83"/>
      <c r="W15" s="83" t="s">
        <v>530</v>
      </c>
      <c r="Y15" s="55" t="s">
        <v>575</v>
      </c>
      <c r="Z15" s="83" t="s">
        <v>576</v>
      </c>
      <c r="AA15" s="55" t="s">
        <v>577</v>
      </c>
      <c r="AB15" s="84">
        <v>1.1</v>
      </c>
      <c r="AC15" s="84">
        <v>4</v>
      </c>
      <c r="AD15" s="84">
        <v>35000</v>
      </c>
      <c r="AE15" s="84">
        <v>45000</v>
      </c>
      <c r="AF15" s="84">
        <v>150</v>
      </c>
      <c r="AH15" s="55" t="s">
        <v>599</v>
      </c>
      <c r="AI15" s="55" t="s">
        <v>600</v>
      </c>
      <c r="AK15" s="83" t="s">
        <v>104</v>
      </c>
      <c r="AL15" s="55" t="s">
        <v>103</v>
      </c>
      <c r="AM15" s="84">
        <v>0</v>
      </c>
      <c r="AN15" s="83" t="s">
        <v>374</v>
      </c>
      <c r="AO15" s="83" t="s">
        <v>621</v>
      </c>
      <c r="AP15" s="84">
        <v>0</v>
      </c>
      <c r="AR15" s="55" t="s">
        <v>136</v>
      </c>
      <c r="AS15" s="55" t="s">
        <v>635</v>
      </c>
      <c r="AU15" s="55" t="s">
        <v>293</v>
      </c>
      <c r="AX15" s="83" t="s">
        <v>511</v>
      </c>
      <c r="AZ15" s="55" t="s">
        <v>362</v>
      </c>
      <c r="CA15" s="55" t="s">
        <v>629</v>
      </c>
      <c r="CF15" s="55" t="s">
        <v>666</v>
      </c>
      <c r="CL15" s="55" t="s">
        <v>309</v>
      </c>
      <c r="CN15" s="55" t="s">
        <v>678</v>
      </c>
      <c r="CP15" s="55" t="s">
        <v>688</v>
      </c>
    </row>
    <row r="16" spans="1:96">
      <c r="B16" s="83" t="s">
        <v>150</v>
      </c>
      <c r="C16" s="55" t="s">
        <v>151</v>
      </c>
      <c r="D16" s="83" t="s">
        <v>136</v>
      </c>
      <c r="E16" s="55"/>
      <c r="F16" s="55" t="s">
        <v>76</v>
      </c>
      <c r="G16" s="84">
        <v>0</v>
      </c>
      <c r="I16" s="55" t="s">
        <v>544</v>
      </c>
      <c r="J16" s="83" t="s">
        <v>535</v>
      </c>
      <c r="K16" s="83" t="s">
        <v>309</v>
      </c>
      <c r="L16" s="83" t="s">
        <v>543</v>
      </c>
      <c r="M16" s="83" t="s">
        <v>543</v>
      </c>
      <c r="N16" s="83" t="s">
        <v>53</v>
      </c>
      <c r="O16" s="83" t="s">
        <v>535</v>
      </c>
      <c r="P16" s="83"/>
      <c r="Q16" s="83" t="s">
        <v>535</v>
      </c>
      <c r="R16" s="83" t="s">
        <v>538</v>
      </c>
      <c r="S16" s="83" t="s">
        <v>533</v>
      </c>
      <c r="T16" s="83" t="s">
        <v>96</v>
      </c>
      <c r="U16" s="83" t="s">
        <v>295</v>
      </c>
      <c r="V16" s="83"/>
      <c r="W16" s="83" t="s">
        <v>530</v>
      </c>
      <c r="Y16" s="55" t="s">
        <v>578</v>
      </c>
      <c r="Z16" s="83" t="s">
        <v>579</v>
      </c>
      <c r="AA16" s="55" t="s">
        <v>580</v>
      </c>
      <c r="AB16" s="84">
        <v>1.8</v>
      </c>
      <c r="AC16" s="84">
        <v>8</v>
      </c>
      <c r="AD16" s="84">
        <v>58000</v>
      </c>
      <c r="AE16" s="84">
        <v>70000</v>
      </c>
      <c r="AF16" s="84">
        <v>200</v>
      </c>
      <c r="AH16" s="55" t="s">
        <v>601</v>
      </c>
      <c r="AI16" s="55" t="s">
        <v>600</v>
      </c>
      <c r="AK16" s="83" t="s">
        <v>106</v>
      </c>
      <c r="AL16" s="55" t="s">
        <v>105</v>
      </c>
      <c r="AM16" s="84">
        <v>0</v>
      </c>
      <c r="AN16" s="83" t="s">
        <v>376</v>
      </c>
      <c r="AO16" s="83" t="s">
        <v>622</v>
      </c>
      <c r="AP16" s="55" t="s">
        <v>623</v>
      </c>
      <c r="AR16" s="55" t="s">
        <v>254</v>
      </c>
      <c r="AS16" s="55" t="s">
        <v>255</v>
      </c>
      <c r="AU16" s="55" t="s">
        <v>362</v>
      </c>
      <c r="AX16" s="83" t="s">
        <v>512</v>
      </c>
      <c r="AZ16" s="55" t="s">
        <v>544</v>
      </c>
      <c r="CL16" s="55" t="s">
        <v>316</v>
      </c>
      <c r="CN16" s="55" t="s">
        <v>679</v>
      </c>
      <c r="CP16" s="55" t="s">
        <v>689</v>
      </c>
    </row>
    <row r="17" spans="2:94">
      <c r="B17" s="83" t="s">
        <v>152</v>
      </c>
      <c r="C17" s="55" t="s">
        <v>153</v>
      </c>
      <c r="D17" s="83" t="s">
        <v>136</v>
      </c>
      <c r="E17" s="55"/>
      <c r="F17" s="55" t="s">
        <v>76</v>
      </c>
      <c r="G17" s="84">
        <v>0</v>
      </c>
      <c r="I17" s="55" t="s">
        <v>545</v>
      </c>
      <c r="J17" s="83" t="s">
        <v>27</v>
      </c>
      <c r="K17" s="83" t="s">
        <v>529</v>
      </c>
      <c r="L17" s="83" t="s">
        <v>530</v>
      </c>
      <c r="M17" s="83" t="s">
        <v>530</v>
      </c>
      <c r="N17" s="83" t="s">
        <v>531</v>
      </c>
      <c r="O17" s="83" t="s">
        <v>533</v>
      </c>
      <c r="P17" s="83" t="s">
        <v>302</v>
      </c>
      <c r="Q17" s="83" t="s">
        <v>532</v>
      </c>
      <c r="R17" s="83" t="s">
        <v>534</v>
      </c>
      <c r="S17" s="83" t="s">
        <v>535</v>
      </c>
      <c r="T17" s="83"/>
      <c r="U17" s="83"/>
      <c r="V17" s="83"/>
      <c r="W17" s="83" t="s">
        <v>530</v>
      </c>
      <c r="Y17" s="55" t="s">
        <v>581</v>
      </c>
      <c r="Z17" s="83" t="s">
        <v>582</v>
      </c>
      <c r="AA17" s="55"/>
      <c r="AB17" s="84">
        <v>1.5</v>
      </c>
      <c r="AC17" s="84">
        <v>6</v>
      </c>
      <c r="AD17" s="84">
        <v>0</v>
      </c>
      <c r="AE17" s="84">
        <v>0</v>
      </c>
      <c r="AF17" s="84">
        <v>0</v>
      </c>
      <c r="AH17" s="55" t="s">
        <v>602</v>
      </c>
      <c r="AI17" s="55" t="s">
        <v>600</v>
      </c>
      <c r="AK17" s="83" t="s">
        <v>108</v>
      </c>
      <c r="AL17" s="55" t="s">
        <v>107</v>
      </c>
      <c r="AM17" s="84">
        <v>0</v>
      </c>
      <c r="AN17" s="83" t="s">
        <v>378</v>
      </c>
      <c r="AO17" s="83" t="s">
        <v>624</v>
      </c>
      <c r="AP17" s="55" t="s">
        <v>625</v>
      </c>
      <c r="AR17" s="55" t="s">
        <v>254</v>
      </c>
      <c r="AS17" s="55" t="s">
        <v>636</v>
      </c>
      <c r="AU17" s="55" t="s">
        <v>344</v>
      </c>
      <c r="AX17" s="83" t="s">
        <v>513</v>
      </c>
      <c r="AZ17" s="55" t="s">
        <v>545</v>
      </c>
      <c r="CL17" s="55" t="s">
        <v>549</v>
      </c>
      <c r="CN17" s="55" t="s">
        <v>680</v>
      </c>
      <c r="CP17" s="55" t="s">
        <v>690</v>
      </c>
    </row>
    <row r="18" spans="2:94">
      <c r="B18" s="83" t="s">
        <v>154</v>
      </c>
      <c r="C18" s="55" t="s">
        <v>155</v>
      </c>
      <c r="D18" s="83" t="s">
        <v>136</v>
      </c>
      <c r="E18" s="55"/>
      <c r="F18" s="55" t="s">
        <v>76</v>
      </c>
      <c r="G18" s="84">
        <v>0</v>
      </c>
      <c r="I18" s="55" t="s">
        <v>546</v>
      </c>
      <c r="J18" s="83" t="s">
        <v>26</v>
      </c>
      <c r="K18" s="83" t="s">
        <v>537</v>
      </c>
      <c r="L18" s="83" t="s">
        <v>530</v>
      </c>
      <c r="M18" s="83" t="s">
        <v>530</v>
      </c>
      <c r="N18" s="83" t="s">
        <v>531</v>
      </c>
      <c r="O18" s="83" t="s">
        <v>532</v>
      </c>
      <c r="P18" s="83" t="s">
        <v>307</v>
      </c>
      <c r="Q18" s="83" t="s">
        <v>533</v>
      </c>
      <c r="R18" s="83" t="s">
        <v>541</v>
      </c>
      <c r="S18" s="83" t="s">
        <v>535</v>
      </c>
      <c r="T18" s="83"/>
      <c r="U18" s="83"/>
      <c r="V18" s="83"/>
      <c r="W18" s="83" t="s">
        <v>530</v>
      </c>
      <c r="Y18" s="55" t="s">
        <v>583</v>
      </c>
      <c r="Z18" s="83" t="s">
        <v>584</v>
      </c>
      <c r="AA18" s="55"/>
      <c r="AB18" s="84">
        <v>1.5</v>
      </c>
      <c r="AC18" s="84">
        <v>6</v>
      </c>
      <c r="AD18" s="84">
        <v>0</v>
      </c>
      <c r="AE18" s="84">
        <v>0</v>
      </c>
      <c r="AF18" s="84">
        <v>0</v>
      </c>
      <c r="AH18" s="55" t="s">
        <v>603</v>
      </c>
      <c r="AI18" s="55" t="s">
        <v>600</v>
      </c>
      <c r="AK18" s="83" t="s">
        <v>110</v>
      </c>
      <c r="AL18" s="55" t="s">
        <v>109</v>
      </c>
      <c r="AM18" s="84">
        <v>0</v>
      </c>
      <c r="AN18" s="83" t="s">
        <v>380</v>
      </c>
      <c r="AO18" s="83" t="s">
        <v>626</v>
      </c>
      <c r="AP18" s="84">
        <v>500000000</v>
      </c>
      <c r="AR18" s="55" t="s">
        <v>254</v>
      </c>
      <c r="AS18" s="55" t="s">
        <v>140</v>
      </c>
      <c r="AU18" s="55" t="s">
        <v>354</v>
      </c>
      <c r="AX18" s="83" t="s">
        <v>514</v>
      </c>
      <c r="AZ18" s="55" t="s">
        <v>546</v>
      </c>
      <c r="CL18" s="55" t="s">
        <v>551</v>
      </c>
      <c r="CN18" s="55" t="s">
        <v>681</v>
      </c>
    </row>
    <row r="19" spans="2:94">
      <c r="B19" s="83" t="s">
        <v>156</v>
      </c>
      <c r="C19" s="55" t="s">
        <v>157</v>
      </c>
      <c r="D19" s="83" t="s">
        <v>136</v>
      </c>
      <c r="E19" s="55"/>
      <c r="F19" s="55" t="s">
        <v>76</v>
      </c>
      <c r="G19" s="84">
        <v>0</v>
      </c>
      <c r="I19" s="55" t="s">
        <v>547</v>
      </c>
      <c r="J19" s="83" t="s">
        <v>27</v>
      </c>
      <c r="K19" s="83" t="s">
        <v>316</v>
      </c>
      <c r="L19" s="83" t="s">
        <v>530</v>
      </c>
      <c r="M19" s="83" t="s">
        <v>530</v>
      </c>
      <c r="N19" s="83" t="s">
        <v>531</v>
      </c>
      <c r="O19" s="83" t="s">
        <v>532</v>
      </c>
      <c r="P19" s="83" t="s">
        <v>314</v>
      </c>
      <c r="Q19" s="83" t="s">
        <v>533</v>
      </c>
      <c r="R19" s="83" t="s">
        <v>541</v>
      </c>
      <c r="S19" s="83" t="s">
        <v>535</v>
      </c>
      <c r="T19" s="83"/>
      <c r="U19" s="83"/>
      <c r="V19" s="83" t="s">
        <v>302</v>
      </c>
      <c r="W19" s="83" t="s">
        <v>530</v>
      </c>
      <c r="Y19" s="55" t="s">
        <v>585</v>
      </c>
      <c r="Z19" s="83" t="s">
        <v>586</v>
      </c>
      <c r="AA19" s="55"/>
      <c r="AB19" s="84">
        <v>1.5</v>
      </c>
      <c r="AC19" s="84">
        <v>6</v>
      </c>
      <c r="AD19" s="84">
        <v>0</v>
      </c>
      <c r="AE19" s="84">
        <v>0</v>
      </c>
      <c r="AF19" s="84">
        <v>0</v>
      </c>
      <c r="AH19" s="55" t="s">
        <v>604</v>
      </c>
      <c r="AI19" s="55" t="s">
        <v>605</v>
      </c>
      <c r="AK19" s="83" t="s">
        <v>112</v>
      </c>
      <c r="AL19" s="55" t="s">
        <v>111</v>
      </c>
      <c r="AM19" s="84">
        <v>0</v>
      </c>
      <c r="AN19" s="83" t="s">
        <v>382</v>
      </c>
      <c r="AO19" s="83" t="s">
        <v>627</v>
      </c>
      <c r="AP19" s="84">
        <v>30</v>
      </c>
      <c r="AR19" s="55" t="s">
        <v>254</v>
      </c>
      <c r="AS19" s="55" t="s">
        <v>637</v>
      </c>
      <c r="AU19" s="55" t="s">
        <v>358</v>
      </c>
      <c r="AX19" s="83" t="s">
        <v>515</v>
      </c>
      <c r="AZ19" s="55" t="s">
        <v>547</v>
      </c>
      <c r="CL19" s="55" t="s">
        <v>670</v>
      </c>
      <c r="CN19" s="55" t="s">
        <v>682</v>
      </c>
    </row>
    <row r="20" spans="2:94">
      <c r="B20" s="83" t="s">
        <v>158</v>
      </c>
      <c r="C20" s="55" t="s">
        <v>159</v>
      </c>
      <c r="D20" s="83" t="s">
        <v>136</v>
      </c>
      <c r="E20" s="55"/>
      <c r="F20" s="55" t="s">
        <v>76</v>
      </c>
      <c r="G20" s="84">
        <v>0</v>
      </c>
      <c r="I20" s="55" t="s">
        <v>548</v>
      </c>
      <c r="J20" s="83" t="s">
        <v>27</v>
      </c>
      <c r="K20" s="83" t="s">
        <v>549</v>
      </c>
      <c r="L20" s="83" t="s">
        <v>530</v>
      </c>
      <c r="M20" s="83" t="s">
        <v>543</v>
      </c>
      <c r="N20" s="83" t="s">
        <v>541</v>
      </c>
      <c r="O20" s="83" t="s">
        <v>535</v>
      </c>
      <c r="P20" s="83"/>
      <c r="Q20" s="83" t="s">
        <v>535</v>
      </c>
      <c r="R20" s="83" t="s">
        <v>541</v>
      </c>
      <c r="S20" s="83" t="s">
        <v>535</v>
      </c>
      <c r="T20" s="83"/>
      <c r="U20" s="83"/>
      <c r="V20" s="83"/>
      <c r="W20" s="83" t="s">
        <v>530</v>
      </c>
      <c r="Y20" s="55" t="s">
        <v>587</v>
      </c>
      <c r="Z20" s="83" t="s">
        <v>588</v>
      </c>
      <c r="AA20" s="55"/>
      <c r="AB20" s="84">
        <v>1.5</v>
      </c>
      <c r="AC20" s="84">
        <v>6</v>
      </c>
      <c r="AD20" s="84">
        <v>0</v>
      </c>
      <c r="AE20" s="84">
        <v>0</v>
      </c>
      <c r="AF20" s="84">
        <v>0</v>
      </c>
      <c r="AH20" s="55" t="s">
        <v>606</v>
      </c>
      <c r="AI20" s="55" t="s">
        <v>605</v>
      </c>
      <c r="AO20" s="83" t="s">
        <v>628</v>
      </c>
      <c r="AP20" s="55" t="s">
        <v>629</v>
      </c>
      <c r="AR20" s="55" t="s">
        <v>254</v>
      </c>
      <c r="AS20" s="55" t="s">
        <v>638</v>
      </c>
      <c r="AU20" s="55" t="s">
        <v>365</v>
      </c>
      <c r="AX20" s="83" t="s">
        <v>516</v>
      </c>
      <c r="AZ20" s="55" t="s">
        <v>548</v>
      </c>
    </row>
    <row r="21" spans="2:94">
      <c r="B21" s="83" t="s">
        <v>160</v>
      </c>
      <c r="C21" s="55" t="s">
        <v>161</v>
      </c>
      <c r="D21" s="83" t="s">
        <v>136</v>
      </c>
      <c r="E21" s="55"/>
      <c r="F21" s="55" t="s">
        <v>76</v>
      </c>
      <c r="G21" s="84">
        <v>0</v>
      </c>
      <c r="I21" s="55" t="s">
        <v>550</v>
      </c>
      <c r="J21" s="83" t="s">
        <v>26</v>
      </c>
      <c r="K21" s="83" t="s">
        <v>551</v>
      </c>
      <c r="L21" s="83" t="s">
        <v>530</v>
      </c>
      <c r="M21" s="83" t="s">
        <v>530</v>
      </c>
      <c r="N21" s="83" t="s">
        <v>531</v>
      </c>
      <c r="O21" s="83" t="s">
        <v>532</v>
      </c>
      <c r="P21" s="83" t="s">
        <v>320</v>
      </c>
      <c r="Q21" s="83" t="s">
        <v>533</v>
      </c>
      <c r="R21" s="83" t="s">
        <v>534</v>
      </c>
      <c r="S21" s="83" t="s">
        <v>535</v>
      </c>
      <c r="T21" s="83"/>
      <c r="U21" s="83"/>
      <c r="V21" s="83"/>
      <c r="W21" s="83" t="s">
        <v>530</v>
      </c>
      <c r="Y21" s="55" t="s">
        <v>589</v>
      </c>
      <c r="Z21" s="83" t="s">
        <v>590</v>
      </c>
      <c r="AA21" s="55"/>
      <c r="AB21" s="84">
        <v>1.5</v>
      </c>
      <c r="AC21" s="84">
        <v>6</v>
      </c>
      <c r="AD21" s="84">
        <v>0</v>
      </c>
      <c r="AE21" s="84">
        <v>0</v>
      </c>
      <c r="AF21" s="84">
        <v>0</v>
      </c>
      <c r="AH21" s="55" t="s">
        <v>607</v>
      </c>
      <c r="AI21" s="55" t="s">
        <v>551</v>
      </c>
      <c r="AO21" s="83" t="s">
        <v>630</v>
      </c>
      <c r="AP21" s="55" t="s">
        <v>543</v>
      </c>
      <c r="AR21" s="55" t="s">
        <v>266</v>
      </c>
      <c r="AS21" s="55" t="s">
        <v>267</v>
      </c>
      <c r="AX21" s="83" t="s">
        <v>517</v>
      </c>
      <c r="AZ21" s="55" t="s">
        <v>550</v>
      </c>
    </row>
    <row r="22" spans="2:94">
      <c r="B22" s="83" t="s">
        <v>162</v>
      </c>
      <c r="C22" s="55" t="s">
        <v>163</v>
      </c>
      <c r="D22" s="83" t="s">
        <v>136</v>
      </c>
      <c r="E22" s="55"/>
      <c r="F22" s="55" t="s">
        <v>76</v>
      </c>
      <c r="G22" s="84">
        <v>0</v>
      </c>
      <c r="I22" s="55" t="s">
        <v>552</v>
      </c>
      <c r="J22" s="83" t="s">
        <v>27</v>
      </c>
      <c r="K22" s="83" t="s">
        <v>551</v>
      </c>
      <c r="L22" s="83" t="s">
        <v>530</v>
      </c>
      <c r="M22" s="83" t="s">
        <v>530</v>
      </c>
      <c r="N22" s="83" t="s">
        <v>531</v>
      </c>
      <c r="O22" s="83" t="s">
        <v>533</v>
      </c>
      <c r="P22" s="83" t="s">
        <v>320</v>
      </c>
      <c r="Q22" s="83" t="s">
        <v>532</v>
      </c>
      <c r="R22" s="83" t="s">
        <v>541</v>
      </c>
      <c r="S22" s="83" t="s">
        <v>535</v>
      </c>
      <c r="T22" s="83"/>
      <c r="U22" s="83"/>
      <c r="V22" s="83"/>
      <c r="W22" s="83" t="s">
        <v>530</v>
      </c>
      <c r="AH22" s="55" t="s">
        <v>608</v>
      </c>
      <c r="AI22" s="55" t="s">
        <v>608</v>
      </c>
      <c r="AR22" s="55" t="s">
        <v>266</v>
      </c>
      <c r="AS22" s="55" t="s">
        <v>639</v>
      </c>
      <c r="AX22" s="83" t="s">
        <v>518</v>
      </c>
      <c r="AZ22" s="55" t="s">
        <v>552</v>
      </c>
    </row>
    <row r="23" spans="2:94">
      <c r="B23" s="83" t="s">
        <v>164</v>
      </c>
      <c r="C23" s="55" t="s">
        <v>165</v>
      </c>
      <c r="D23" s="83" t="s">
        <v>136</v>
      </c>
      <c r="E23" s="55"/>
      <c r="F23" s="55" t="s">
        <v>76</v>
      </c>
      <c r="G23" s="84">
        <v>0</v>
      </c>
      <c r="I23" s="55" t="s">
        <v>553</v>
      </c>
      <c r="J23" s="83" t="s">
        <v>535</v>
      </c>
      <c r="K23" s="83" t="s">
        <v>309</v>
      </c>
      <c r="L23" s="83" t="s">
        <v>543</v>
      </c>
      <c r="M23" s="83" t="s">
        <v>543</v>
      </c>
      <c r="N23" s="83" t="s">
        <v>53</v>
      </c>
      <c r="O23" s="83" t="s">
        <v>535</v>
      </c>
      <c r="P23" s="83"/>
      <c r="Q23" s="83" t="s">
        <v>535</v>
      </c>
      <c r="R23" s="83" t="s">
        <v>538</v>
      </c>
      <c r="S23" s="83" t="s">
        <v>533</v>
      </c>
      <c r="T23" s="83" t="s">
        <v>96</v>
      </c>
      <c r="U23" s="83" t="s">
        <v>295</v>
      </c>
      <c r="V23" s="83"/>
      <c r="W23" s="83" t="s">
        <v>530</v>
      </c>
      <c r="AH23" s="55" t="s">
        <v>609</v>
      </c>
      <c r="AI23" s="55" t="s">
        <v>551</v>
      </c>
      <c r="AR23" s="55" t="s">
        <v>266</v>
      </c>
      <c r="AS23" s="55" t="s">
        <v>640</v>
      </c>
      <c r="AX23" s="83" t="s">
        <v>519</v>
      </c>
      <c r="AZ23" s="55" t="s">
        <v>553</v>
      </c>
    </row>
    <row r="24" spans="2:94">
      <c r="B24" s="83" t="s">
        <v>166</v>
      </c>
      <c r="C24" s="55" t="s">
        <v>167</v>
      </c>
      <c r="D24" s="83" t="s">
        <v>136</v>
      </c>
      <c r="E24" s="55"/>
      <c r="F24" s="55" t="s">
        <v>76</v>
      </c>
      <c r="G24" s="84">
        <v>0</v>
      </c>
      <c r="I24" s="55" t="s">
        <v>554</v>
      </c>
      <c r="J24" s="83" t="s">
        <v>26</v>
      </c>
      <c r="K24" s="83" t="s">
        <v>529</v>
      </c>
      <c r="L24" s="83" t="s">
        <v>543</v>
      </c>
      <c r="M24" s="83" t="s">
        <v>530</v>
      </c>
      <c r="N24" s="83" t="s">
        <v>53</v>
      </c>
      <c r="O24" s="83" t="s">
        <v>532</v>
      </c>
      <c r="P24" s="83" t="s">
        <v>305</v>
      </c>
      <c r="Q24" s="83" t="s">
        <v>533</v>
      </c>
      <c r="R24" s="83" t="s">
        <v>541</v>
      </c>
      <c r="S24" s="83" t="s">
        <v>535</v>
      </c>
      <c r="T24" s="83"/>
      <c r="U24" s="83"/>
      <c r="V24" s="83"/>
      <c r="W24" s="83" t="s">
        <v>543</v>
      </c>
      <c r="AH24" s="55" t="s">
        <v>610</v>
      </c>
      <c r="AI24" s="55" t="s">
        <v>551</v>
      </c>
      <c r="AR24" s="55" t="s">
        <v>266</v>
      </c>
      <c r="AS24" s="55" t="s">
        <v>551</v>
      </c>
      <c r="AX24" s="83" t="s">
        <v>520</v>
      </c>
    </row>
    <row r="25" spans="2:94">
      <c r="B25" s="83" t="s">
        <v>168</v>
      </c>
      <c r="C25" s="55" t="s">
        <v>169</v>
      </c>
      <c r="D25" s="83" t="s">
        <v>136</v>
      </c>
      <c r="E25" s="55"/>
      <c r="F25" s="55" t="s">
        <v>76</v>
      </c>
      <c r="G25" s="84">
        <v>0</v>
      </c>
      <c r="I25" s="55" t="s">
        <v>311</v>
      </c>
      <c r="J25" s="83" t="s">
        <v>27</v>
      </c>
      <c r="K25" s="83" t="s">
        <v>537</v>
      </c>
      <c r="L25" s="83" t="s">
        <v>543</v>
      </c>
      <c r="M25" s="83" t="s">
        <v>530</v>
      </c>
      <c r="N25" s="83" t="s">
        <v>53</v>
      </c>
      <c r="O25" s="83" t="s">
        <v>533</v>
      </c>
      <c r="P25" s="83" t="s">
        <v>310</v>
      </c>
      <c r="Q25" s="83" t="s">
        <v>532</v>
      </c>
      <c r="R25" s="83" t="s">
        <v>541</v>
      </c>
      <c r="S25" s="83" t="s">
        <v>535</v>
      </c>
      <c r="T25" s="83"/>
      <c r="U25" s="83"/>
      <c r="V25" s="83"/>
      <c r="W25" s="83" t="s">
        <v>543</v>
      </c>
      <c r="AH25" s="55"/>
      <c r="AI25" s="55"/>
      <c r="AR25" s="55" t="s">
        <v>641</v>
      </c>
      <c r="AS25" s="55" t="s">
        <v>642</v>
      </c>
      <c r="AX25" s="83" t="s">
        <v>521</v>
      </c>
    </row>
    <row r="26" spans="2:94">
      <c r="B26" s="83" t="s">
        <v>170</v>
      </c>
      <c r="C26" s="55" t="s">
        <v>171</v>
      </c>
      <c r="D26" s="83" t="s">
        <v>136</v>
      </c>
      <c r="E26" s="55"/>
      <c r="F26" s="55" t="s">
        <v>76</v>
      </c>
      <c r="G26" s="84">
        <v>0</v>
      </c>
      <c r="I26" s="55" t="s">
        <v>555</v>
      </c>
      <c r="J26" s="83" t="s">
        <v>27</v>
      </c>
      <c r="K26" s="83" t="s">
        <v>529</v>
      </c>
      <c r="L26" s="83" t="s">
        <v>543</v>
      </c>
      <c r="M26" s="83" t="s">
        <v>530</v>
      </c>
      <c r="N26" s="83" t="s">
        <v>53</v>
      </c>
      <c r="O26" s="83" t="s">
        <v>533</v>
      </c>
      <c r="P26" s="83" t="s">
        <v>305</v>
      </c>
      <c r="Q26" s="83" t="s">
        <v>532</v>
      </c>
      <c r="R26" s="83" t="s">
        <v>541</v>
      </c>
      <c r="S26" s="83" t="s">
        <v>535</v>
      </c>
      <c r="T26" s="83"/>
      <c r="U26" s="83"/>
      <c r="V26" s="83"/>
      <c r="W26" s="83" t="s">
        <v>543</v>
      </c>
      <c r="AH26" s="55"/>
      <c r="AI26" s="55"/>
      <c r="AR26" s="55" t="s">
        <v>641</v>
      </c>
      <c r="AS26" s="55" t="s">
        <v>643</v>
      </c>
      <c r="AX26" s="83" t="s">
        <v>522</v>
      </c>
    </row>
    <row r="27" spans="2:94">
      <c r="B27" s="83" t="s">
        <v>172</v>
      </c>
      <c r="C27" s="55" t="s">
        <v>173</v>
      </c>
      <c r="D27" s="83" t="s">
        <v>136</v>
      </c>
      <c r="E27" s="55"/>
      <c r="F27" s="55" t="s">
        <v>76</v>
      </c>
      <c r="G27" s="84">
        <v>0</v>
      </c>
      <c r="I27" s="55" t="s">
        <v>556</v>
      </c>
      <c r="J27" s="83" t="s">
        <v>26</v>
      </c>
      <c r="K27" s="83" t="s">
        <v>537</v>
      </c>
      <c r="L27" s="83" t="s">
        <v>543</v>
      </c>
      <c r="M27" s="83" t="s">
        <v>530</v>
      </c>
      <c r="N27" s="83" t="s">
        <v>53</v>
      </c>
      <c r="O27" s="83" t="s">
        <v>532</v>
      </c>
      <c r="P27" s="83" t="s">
        <v>310</v>
      </c>
      <c r="Q27" s="83" t="s">
        <v>533</v>
      </c>
      <c r="R27" s="83" t="s">
        <v>541</v>
      </c>
      <c r="S27" s="83" t="s">
        <v>535</v>
      </c>
      <c r="T27" s="83"/>
      <c r="U27" s="83"/>
      <c r="V27" s="83"/>
      <c r="W27" s="83" t="s">
        <v>543</v>
      </c>
      <c r="AH27" s="55"/>
      <c r="AI27" s="55"/>
      <c r="AR27" s="55" t="s">
        <v>641</v>
      </c>
      <c r="AS27" s="55" t="s">
        <v>644</v>
      </c>
      <c r="AX27" s="83" t="s">
        <v>523</v>
      </c>
    </row>
    <row r="28" spans="2:94">
      <c r="B28" s="83" t="s">
        <v>174</v>
      </c>
      <c r="C28" s="55" t="s">
        <v>175</v>
      </c>
      <c r="D28" s="83" t="s">
        <v>136</v>
      </c>
      <c r="E28" s="55"/>
      <c r="F28" s="55" t="s">
        <v>76</v>
      </c>
      <c r="G28" s="84">
        <v>0</v>
      </c>
      <c r="I28" s="55" t="s">
        <v>557</v>
      </c>
      <c r="J28" s="83" t="s">
        <v>27</v>
      </c>
      <c r="K28" s="83" t="s">
        <v>549</v>
      </c>
      <c r="L28" s="83" t="s">
        <v>543</v>
      </c>
      <c r="M28" s="83" t="s">
        <v>543</v>
      </c>
      <c r="N28" s="83" t="s">
        <v>541</v>
      </c>
      <c r="O28" s="83" t="s">
        <v>535</v>
      </c>
      <c r="P28" s="83"/>
      <c r="Q28" s="83" t="s">
        <v>535</v>
      </c>
      <c r="R28" s="83" t="s">
        <v>541</v>
      </c>
      <c r="S28" s="83" t="s">
        <v>535</v>
      </c>
      <c r="T28" s="83"/>
      <c r="U28" s="83"/>
      <c r="V28" s="83"/>
      <c r="W28" s="83" t="s">
        <v>543</v>
      </c>
      <c r="AH28" s="55"/>
      <c r="AI28" s="55"/>
      <c r="AR28" s="55" t="s">
        <v>641</v>
      </c>
      <c r="AS28" s="55" t="s">
        <v>645</v>
      </c>
      <c r="AX28" s="83" t="s">
        <v>524</v>
      </c>
    </row>
    <row r="29" spans="2:94">
      <c r="B29" s="83" t="s">
        <v>176</v>
      </c>
      <c r="C29" s="55" t="s">
        <v>177</v>
      </c>
      <c r="D29" s="83" t="s">
        <v>136</v>
      </c>
      <c r="E29" s="55"/>
      <c r="F29" s="55" t="s">
        <v>76</v>
      </c>
      <c r="G29" s="84">
        <v>0</v>
      </c>
      <c r="I29" s="55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AH29" s="55"/>
      <c r="AI29" s="55"/>
      <c r="AR29" s="55" t="s">
        <v>274</v>
      </c>
      <c r="AS29" s="55" t="s">
        <v>275</v>
      </c>
      <c r="AX29" s="83" t="s">
        <v>525</v>
      </c>
    </row>
    <row r="30" spans="2:94">
      <c r="B30" s="83" t="s">
        <v>178</v>
      </c>
      <c r="C30" s="55" t="s">
        <v>179</v>
      </c>
      <c r="D30" s="83" t="s">
        <v>136</v>
      </c>
      <c r="E30" s="55"/>
      <c r="F30" s="55" t="s">
        <v>76</v>
      </c>
      <c r="G30" s="84">
        <v>0</v>
      </c>
      <c r="I30" s="55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AR30" s="55" t="s">
        <v>274</v>
      </c>
      <c r="AS30" s="55" t="s">
        <v>278</v>
      </c>
    </row>
    <row r="31" spans="2:94">
      <c r="B31" s="83" t="s">
        <v>180</v>
      </c>
      <c r="C31" s="55" t="s">
        <v>181</v>
      </c>
      <c r="D31" s="83" t="s">
        <v>136</v>
      </c>
      <c r="E31" s="55"/>
      <c r="F31" s="55" t="s">
        <v>76</v>
      </c>
      <c r="G31" s="84">
        <v>0</v>
      </c>
      <c r="I31" s="55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AR31" s="55" t="s">
        <v>274</v>
      </c>
      <c r="AS31" s="55" t="s">
        <v>281</v>
      </c>
    </row>
    <row r="32" spans="2:94">
      <c r="B32" s="83" t="s">
        <v>182</v>
      </c>
      <c r="C32" s="55" t="s">
        <v>183</v>
      </c>
      <c r="D32" s="83" t="s">
        <v>136</v>
      </c>
      <c r="E32" s="55"/>
      <c r="F32" s="55" t="s">
        <v>76</v>
      </c>
      <c r="G32" s="84">
        <v>0</v>
      </c>
      <c r="I32" s="55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AR32" s="55" t="s">
        <v>274</v>
      </c>
      <c r="AS32" s="55" t="s">
        <v>284</v>
      </c>
    </row>
    <row r="33" spans="2:45">
      <c r="B33" s="83" t="s">
        <v>184</v>
      </c>
      <c r="C33" s="55" t="s">
        <v>185</v>
      </c>
      <c r="D33" s="83" t="s">
        <v>136</v>
      </c>
      <c r="E33" s="55"/>
      <c r="F33" s="55" t="s">
        <v>76</v>
      </c>
      <c r="G33" s="84">
        <v>0</v>
      </c>
      <c r="I33" s="55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AR33" s="55" t="s">
        <v>274</v>
      </c>
      <c r="AS33" s="55" t="s">
        <v>287</v>
      </c>
    </row>
    <row r="34" spans="2:45">
      <c r="B34" s="83" t="s">
        <v>186</v>
      </c>
      <c r="C34" s="55" t="s">
        <v>187</v>
      </c>
      <c r="D34" s="83" t="s">
        <v>136</v>
      </c>
      <c r="E34" s="55"/>
      <c r="F34" s="55" t="s">
        <v>76</v>
      </c>
      <c r="G34" s="84">
        <v>0</v>
      </c>
      <c r="AR34" s="55" t="s">
        <v>274</v>
      </c>
      <c r="AS34" s="55" t="s">
        <v>290</v>
      </c>
    </row>
    <row r="35" spans="2:45">
      <c r="B35" s="83" t="s">
        <v>188</v>
      </c>
      <c r="C35" s="55" t="s">
        <v>189</v>
      </c>
      <c r="D35" s="83" t="s">
        <v>136</v>
      </c>
      <c r="E35" s="55"/>
      <c r="F35" s="55" t="s">
        <v>76</v>
      </c>
      <c r="G35" s="84">
        <v>0</v>
      </c>
      <c r="AR35" s="55" t="s">
        <v>293</v>
      </c>
      <c r="AS35" s="55" t="s">
        <v>301</v>
      </c>
    </row>
    <row r="36" spans="2:45">
      <c r="B36" s="83" t="s">
        <v>190</v>
      </c>
      <c r="C36" s="55" t="s">
        <v>191</v>
      </c>
      <c r="D36" s="83" t="s">
        <v>136</v>
      </c>
      <c r="E36" s="55"/>
      <c r="F36" s="55" t="s">
        <v>76</v>
      </c>
      <c r="G36" s="84">
        <v>0</v>
      </c>
      <c r="AR36" s="55" t="s">
        <v>293</v>
      </c>
      <c r="AS36" s="55" t="s">
        <v>304</v>
      </c>
    </row>
    <row r="37" spans="2:45">
      <c r="B37" s="83" t="s">
        <v>192</v>
      </c>
      <c r="C37" s="55" t="s">
        <v>193</v>
      </c>
      <c r="D37" s="83" t="s">
        <v>136</v>
      </c>
      <c r="E37" s="55"/>
      <c r="F37" s="55" t="s">
        <v>76</v>
      </c>
      <c r="G37" s="84">
        <v>0</v>
      </c>
      <c r="AR37" s="55" t="s">
        <v>293</v>
      </c>
      <c r="AS37" s="55" t="s">
        <v>309</v>
      </c>
    </row>
    <row r="38" spans="2:45">
      <c r="B38" s="83" t="s">
        <v>194</v>
      </c>
      <c r="C38" s="55" t="s">
        <v>195</v>
      </c>
      <c r="D38" s="83" t="s">
        <v>136</v>
      </c>
      <c r="E38" s="55"/>
      <c r="F38" s="55" t="s">
        <v>76</v>
      </c>
      <c r="G38" s="84">
        <v>0</v>
      </c>
      <c r="AR38" s="55" t="s">
        <v>293</v>
      </c>
      <c r="AS38" s="55" t="s">
        <v>316</v>
      </c>
    </row>
    <row r="39" spans="2:45">
      <c r="B39" s="83" t="s">
        <v>196</v>
      </c>
      <c r="C39" s="55" t="s">
        <v>197</v>
      </c>
      <c r="D39" s="83" t="s">
        <v>136</v>
      </c>
      <c r="E39" s="55"/>
      <c r="F39" s="55" t="s">
        <v>76</v>
      </c>
      <c r="G39" s="84">
        <v>0</v>
      </c>
      <c r="AR39" s="55" t="s">
        <v>293</v>
      </c>
      <c r="AS39" s="55" t="s">
        <v>294</v>
      </c>
    </row>
    <row r="40" spans="2:45">
      <c r="B40" s="83" t="s">
        <v>198</v>
      </c>
      <c r="C40" s="55" t="s">
        <v>199</v>
      </c>
      <c r="D40" s="83" t="s">
        <v>136</v>
      </c>
      <c r="E40" s="55"/>
      <c r="F40" s="55" t="s">
        <v>76</v>
      </c>
      <c r="G40" s="84">
        <v>0</v>
      </c>
      <c r="AR40" s="55" t="s">
        <v>293</v>
      </c>
      <c r="AS40" s="55" t="s">
        <v>319</v>
      </c>
    </row>
    <row r="41" spans="2:45">
      <c r="B41" s="83" t="s">
        <v>200</v>
      </c>
      <c r="C41" s="55" t="s">
        <v>201</v>
      </c>
      <c r="D41" s="83" t="s">
        <v>136</v>
      </c>
      <c r="E41" s="55"/>
      <c r="F41" s="55" t="s">
        <v>76</v>
      </c>
      <c r="G41" s="84">
        <v>0</v>
      </c>
      <c r="AR41" s="55" t="s">
        <v>293</v>
      </c>
      <c r="AS41" s="55" t="s">
        <v>322</v>
      </c>
    </row>
    <row r="42" spans="2:45">
      <c r="B42" s="83" t="s">
        <v>202</v>
      </c>
      <c r="C42" s="55" t="s">
        <v>203</v>
      </c>
      <c r="D42" s="83" t="s">
        <v>136</v>
      </c>
      <c r="E42" s="55"/>
      <c r="F42" s="55" t="s">
        <v>76</v>
      </c>
      <c r="G42" s="84">
        <v>0</v>
      </c>
      <c r="AR42" s="55" t="s">
        <v>293</v>
      </c>
      <c r="AS42" s="55" t="s">
        <v>335</v>
      </c>
    </row>
    <row r="43" spans="2:45">
      <c r="B43" s="83" t="s">
        <v>204</v>
      </c>
      <c r="C43" s="55" t="s">
        <v>205</v>
      </c>
      <c r="D43" s="83" t="s">
        <v>136</v>
      </c>
      <c r="E43" s="55"/>
      <c r="F43" s="55" t="s">
        <v>76</v>
      </c>
      <c r="G43" s="84">
        <v>0</v>
      </c>
      <c r="AR43" s="55" t="s">
        <v>362</v>
      </c>
      <c r="AS43" s="55" t="s">
        <v>363</v>
      </c>
    </row>
    <row r="44" spans="2:45">
      <c r="B44" s="83" t="s">
        <v>206</v>
      </c>
      <c r="C44" s="55" t="s">
        <v>207</v>
      </c>
      <c r="D44" s="83" t="s">
        <v>136</v>
      </c>
      <c r="E44" s="55"/>
      <c r="F44" s="55" t="s">
        <v>76</v>
      </c>
      <c r="G44" s="84">
        <v>0</v>
      </c>
      <c r="AR44" s="55" t="s">
        <v>362</v>
      </c>
      <c r="AS44" s="55" t="s">
        <v>646</v>
      </c>
    </row>
    <row r="45" spans="2:45">
      <c r="B45" s="83" t="s">
        <v>208</v>
      </c>
      <c r="C45" s="55" t="s">
        <v>209</v>
      </c>
      <c r="D45" s="83" t="s">
        <v>136</v>
      </c>
      <c r="E45" s="55"/>
      <c r="F45" s="55" t="s">
        <v>76</v>
      </c>
      <c r="G45" s="84">
        <v>0</v>
      </c>
      <c r="AR45" s="55" t="s">
        <v>344</v>
      </c>
      <c r="AS45" s="55" t="s">
        <v>345</v>
      </c>
    </row>
    <row r="46" spans="2:45">
      <c r="B46" s="83" t="s">
        <v>210</v>
      </c>
      <c r="C46" s="55" t="s">
        <v>211</v>
      </c>
      <c r="D46" s="83" t="s">
        <v>136</v>
      </c>
      <c r="E46" s="55"/>
      <c r="F46" s="55" t="s">
        <v>76</v>
      </c>
      <c r="G46" s="84">
        <v>0</v>
      </c>
      <c r="AR46" s="55" t="s">
        <v>344</v>
      </c>
      <c r="AS46" s="55" t="s">
        <v>348</v>
      </c>
    </row>
    <row r="47" spans="2:45">
      <c r="B47" s="83" t="s">
        <v>212</v>
      </c>
      <c r="C47" s="55" t="s">
        <v>213</v>
      </c>
      <c r="D47" s="83" t="s">
        <v>136</v>
      </c>
      <c r="E47" s="55"/>
      <c r="F47" s="55" t="s">
        <v>76</v>
      </c>
      <c r="G47" s="84">
        <v>0</v>
      </c>
      <c r="AR47" s="55" t="s">
        <v>344</v>
      </c>
      <c r="AS47" s="55" t="s">
        <v>351</v>
      </c>
    </row>
    <row r="48" spans="2:45">
      <c r="B48" s="83" t="s">
        <v>214</v>
      </c>
      <c r="C48" s="55" t="s">
        <v>215</v>
      </c>
      <c r="D48" s="83" t="s">
        <v>136</v>
      </c>
      <c r="E48" s="55"/>
      <c r="F48" s="55" t="s">
        <v>76</v>
      </c>
      <c r="G48" s="84">
        <v>0</v>
      </c>
      <c r="AR48" s="55" t="s">
        <v>354</v>
      </c>
      <c r="AS48" s="55" t="s">
        <v>355</v>
      </c>
    </row>
    <row r="49" spans="2:45">
      <c r="B49" s="83" t="s">
        <v>216</v>
      </c>
      <c r="C49" s="55" t="s">
        <v>217</v>
      </c>
      <c r="D49" s="83" t="s">
        <v>136</v>
      </c>
      <c r="E49" s="55"/>
      <c r="F49" s="55" t="s">
        <v>76</v>
      </c>
      <c r="G49" s="84">
        <v>0</v>
      </c>
      <c r="AR49" s="55" t="s">
        <v>358</v>
      </c>
      <c r="AS49" s="55" t="s">
        <v>359</v>
      </c>
    </row>
    <row r="50" spans="2:45">
      <c r="B50" s="83" t="s">
        <v>218</v>
      </c>
      <c r="C50" s="55" t="s">
        <v>219</v>
      </c>
      <c r="D50" s="83" t="s">
        <v>136</v>
      </c>
      <c r="E50" s="55"/>
      <c r="F50" s="55" t="s">
        <v>76</v>
      </c>
      <c r="G50" s="84">
        <v>0</v>
      </c>
      <c r="AR50" s="55" t="s">
        <v>358</v>
      </c>
      <c r="AS50" s="55" t="s">
        <v>647</v>
      </c>
    </row>
    <row r="51" spans="2:45">
      <c r="B51" s="83" t="s">
        <v>220</v>
      </c>
      <c r="C51" s="55" t="s">
        <v>221</v>
      </c>
      <c r="D51" s="83" t="s">
        <v>136</v>
      </c>
      <c r="E51" s="55"/>
      <c r="F51" s="55" t="s">
        <v>76</v>
      </c>
      <c r="G51" s="84">
        <v>0</v>
      </c>
      <c r="AR51" s="55" t="s">
        <v>358</v>
      </c>
      <c r="AS51" s="55" t="s">
        <v>648</v>
      </c>
    </row>
    <row r="52" spans="2:45">
      <c r="B52" s="83" t="s">
        <v>222</v>
      </c>
      <c r="C52" s="55" t="s">
        <v>223</v>
      </c>
      <c r="D52" s="83" t="s">
        <v>136</v>
      </c>
      <c r="E52" s="55"/>
      <c r="F52" s="55" t="s">
        <v>76</v>
      </c>
      <c r="G52" s="84">
        <v>0</v>
      </c>
    </row>
    <row r="53" spans="2:45">
      <c r="B53" s="83" t="s">
        <v>224</v>
      </c>
      <c r="C53" s="55" t="s">
        <v>225</v>
      </c>
      <c r="D53" s="83" t="s">
        <v>136</v>
      </c>
      <c r="E53" s="55"/>
      <c r="F53" s="55" t="s">
        <v>76</v>
      </c>
      <c r="G53" s="84">
        <v>0</v>
      </c>
    </row>
    <row r="54" spans="2:45">
      <c r="B54" s="83" t="s">
        <v>226</v>
      </c>
      <c r="C54" s="55" t="s">
        <v>227</v>
      </c>
      <c r="D54" s="83" t="s">
        <v>136</v>
      </c>
      <c r="E54" s="55"/>
      <c r="F54" s="55" t="s">
        <v>76</v>
      </c>
      <c r="G54" s="84">
        <v>0</v>
      </c>
    </row>
    <row r="55" spans="2:45">
      <c r="B55" s="83" t="s">
        <v>228</v>
      </c>
      <c r="C55" s="55" t="s">
        <v>229</v>
      </c>
      <c r="D55" s="83" t="s">
        <v>136</v>
      </c>
      <c r="E55" s="55"/>
      <c r="F55" s="55" t="s">
        <v>76</v>
      </c>
      <c r="G55" s="84">
        <v>0</v>
      </c>
    </row>
    <row r="56" spans="2:45">
      <c r="B56" s="83" t="s">
        <v>230</v>
      </c>
      <c r="C56" s="55" t="s">
        <v>231</v>
      </c>
      <c r="D56" s="83" t="s">
        <v>136</v>
      </c>
      <c r="E56" s="55"/>
      <c r="F56" s="55" t="s">
        <v>76</v>
      </c>
      <c r="G56" s="84">
        <v>0</v>
      </c>
    </row>
    <row r="57" spans="2:45">
      <c r="B57" s="83" t="s">
        <v>232</v>
      </c>
      <c r="C57" s="55" t="s">
        <v>233</v>
      </c>
      <c r="D57" s="83" t="s">
        <v>136</v>
      </c>
      <c r="E57" s="55"/>
      <c r="F57" s="55" t="s">
        <v>76</v>
      </c>
      <c r="G57" s="84">
        <v>0</v>
      </c>
    </row>
    <row r="58" spans="2:45">
      <c r="B58" s="83" t="s">
        <v>234</v>
      </c>
      <c r="C58" s="55" t="s">
        <v>235</v>
      </c>
      <c r="D58" s="83" t="s">
        <v>136</v>
      </c>
      <c r="E58" s="55"/>
      <c r="F58" s="55" t="s">
        <v>76</v>
      </c>
      <c r="G58" s="84">
        <v>0</v>
      </c>
    </row>
    <row r="59" spans="2:45">
      <c r="B59" s="83" t="s">
        <v>236</v>
      </c>
      <c r="C59" s="55" t="s">
        <v>237</v>
      </c>
      <c r="D59" s="83" t="s">
        <v>136</v>
      </c>
      <c r="E59" s="55"/>
      <c r="F59" s="55" t="s">
        <v>76</v>
      </c>
      <c r="G59" s="84">
        <v>0</v>
      </c>
    </row>
    <row r="60" spans="2:45">
      <c r="B60" s="83" t="s">
        <v>238</v>
      </c>
      <c r="C60" s="55" t="s">
        <v>239</v>
      </c>
      <c r="D60" s="83" t="s">
        <v>136</v>
      </c>
      <c r="E60" s="55"/>
      <c r="F60" s="55" t="s">
        <v>76</v>
      </c>
      <c r="G60" s="84">
        <v>0</v>
      </c>
    </row>
    <row r="61" spans="2:45">
      <c r="B61" s="83" t="s">
        <v>240</v>
      </c>
      <c r="C61" s="55" t="s">
        <v>241</v>
      </c>
      <c r="D61" s="83" t="s">
        <v>136</v>
      </c>
      <c r="E61" s="55"/>
      <c r="F61" s="55" t="s">
        <v>76</v>
      </c>
      <c r="G61" s="84">
        <v>0</v>
      </c>
    </row>
    <row r="62" spans="2:45">
      <c r="B62" s="83" t="s">
        <v>242</v>
      </c>
      <c r="C62" s="55" t="s">
        <v>243</v>
      </c>
      <c r="D62" s="83" t="s">
        <v>136</v>
      </c>
      <c r="E62" s="55"/>
      <c r="F62" s="55" t="s">
        <v>76</v>
      </c>
      <c r="G62" s="84">
        <v>0</v>
      </c>
    </row>
    <row r="63" spans="2:45">
      <c r="B63" s="83" t="s">
        <v>244</v>
      </c>
      <c r="C63" s="55" t="s">
        <v>245</v>
      </c>
      <c r="D63" s="83" t="s">
        <v>136</v>
      </c>
      <c r="E63" s="55"/>
      <c r="F63" s="55" t="s">
        <v>76</v>
      </c>
      <c r="G63" s="84">
        <v>0</v>
      </c>
    </row>
    <row r="64" spans="2:45">
      <c r="B64" s="83" t="s">
        <v>246</v>
      </c>
      <c r="C64" s="55" t="s">
        <v>247</v>
      </c>
      <c r="D64" s="83" t="s">
        <v>136</v>
      </c>
      <c r="E64" s="55"/>
      <c r="F64" s="55" t="s">
        <v>76</v>
      </c>
      <c r="G64" s="84">
        <v>0</v>
      </c>
    </row>
    <row r="65" spans="2:7">
      <c r="B65" s="83" t="s">
        <v>248</v>
      </c>
      <c r="C65" s="55" t="s">
        <v>249</v>
      </c>
      <c r="D65" s="83" t="s">
        <v>136</v>
      </c>
      <c r="E65" s="55"/>
      <c r="F65" s="55" t="s">
        <v>76</v>
      </c>
      <c r="G65" s="84">
        <v>0</v>
      </c>
    </row>
    <row r="66" spans="2:7">
      <c r="B66" s="83" t="s">
        <v>250</v>
      </c>
      <c r="C66" s="55" t="s">
        <v>251</v>
      </c>
      <c r="D66" s="83" t="s">
        <v>136</v>
      </c>
      <c r="E66" s="55"/>
      <c r="F66" s="55" t="s">
        <v>76</v>
      </c>
      <c r="G66" s="84">
        <v>0</v>
      </c>
    </row>
    <row r="67" spans="2:7">
      <c r="B67" s="83" t="s">
        <v>252</v>
      </c>
      <c r="C67" s="55" t="s">
        <v>253</v>
      </c>
      <c r="D67" s="83" t="s">
        <v>254</v>
      </c>
      <c r="E67" s="55" t="s">
        <v>255</v>
      </c>
      <c r="F67" s="55" t="s">
        <v>76</v>
      </c>
      <c r="G67" s="84">
        <v>0</v>
      </c>
    </row>
    <row r="68" spans="2:7">
      <c r="B68" s="83" t="s">
        <v>256</v>
      </c>
      <c r="C68" s="55" t="s">
        <v>257</v>
      </c>
      <c r="D68" s="83" t="s">
        <v>254</v>
      </c>
      <c r="E68" s="55" t="s">
        <v>255</v>
      </c>
      <c r="F68" s="55" t="s">
        <v>76</v>
      </c>
      <c r="G68" s="84">
        <v>0</v>
      </c>
    </row>
    <row r="69" spans="2:7">
      <c r="B69" s="83" t="s">
        <v>258</v>
      </c>
      <c r="C69" s="55" t="s">
        <v>259</v>
      </c>
      <c r="D69" s="83" t="s">
        <v>254</v>
      </c>
      <c r="E69" s="55" t="s">
        <v>255</v>
      </c>
      <c r="F69" s="55" t="s">
        <v>76</v>
      </c>
      <c r="G69" s="84">
        <v>0</v>
      </c>
    </row>
    <row r="70" spans="2:7">
      <c r="B70" s="83" t="s">
        <v>260</v>
      </c>
      <c r="C70" s="55" t="s">
        <v>261</v>
      </c>
      <c r="D70" s="83" t="s">
        <v>254</v>
      </c>
      <c r="E70" s="55" t="s">
        <v>255</v>
      </c>
      <c r="F70" s="55" t="s">
        <v>76</v>
      </c>
      <c r="G70" s="84">
        <v>0</v>
      </c>
    </row>
    <row r="71" spans="2:7">
      <c r="B71" s="83" t="s">
        <v>262</v>
      </c>
      <c r="C71" s="55" t="s">
        <v>263</v>
      </c>
      <c r="D71" s="83" t="s">
        <v>254</v>
      </c>
      <c r="E71" s="55" t="s">
        <v>255</v>
      </c>
      <c r="F71" s="55" t="s">
        <v>76</v>
      </c>
      <c r="G71" s="84">
        <v>0</v>
      </c>
    </row>
    <row r="72" spans="2:7">
      <c r="B72" s="83" t="s">
        <v>264</v>
      </c>
      <c r="C72" s="55" t="s">
        <v>265</v>
      </c>
      <c r="D72" s="83" t="s">
        <v>266</v>
      </c>
      <c r="E72" s="55" t="s">
        <v>267</v>
      </c>
      <c r="F72" s="55" t="s">
        <v>76</v>
      </c>
      <c r="G72" s="84">
        <v>0</v>
      </c>
    </row>
    <row r="73" spans="2:7">
      <c r="B73" s="83" t="s">
        <v>268</v>
      </c>
      <c r="C73" s="55" t="s">
        <v>269</v>
      </c>
      <c r="D73" s="83" t="s">
        <v>266</v>
      </c>
      <c r="E73" s="55" t="s">
        <v>267</v>
      </c>
      <c r="F73" s="55" t="s">
        <v>76</v>
      </c>
      <c r="G73" s="84">
        <v>0</v>
      </c>
    </row>
    <row r="74" spans="2:7">
      <c r="B74" s="83" t="s">
        <v>270</v>
      </c>
      <c r="C74" s="55" t="s">
        <v>271</v>
      </c>
      <c r="D74" s="83" t="s">
        <v>266</v>
      </c>
      <c r="E74" s="55" t="s">
        <v>267</v>
      </c>
      <c r="F74" s="55" t="s">
        <v>76</v>
      </c>
      <c r="G74" s="84">
        <v>0</v>
      </c>
    </row>
    <row r="75" spans="2:7">
      <c r="B75" s="83" t="s">
        <v>272</v>
      </c>
      <c r="C75" s="55" t="s">
        <v>273</v>
      </c>
      <c r="D75" s="83" t="s">
        <v>274</v>
      </c>
      <c r="E75" s="55" t="s">
        <v>275</v>
      </c>
      <c r="F75" s="55" t="s">
        <v>76</v>
      </c>
      <c r="G75" s="84">
        <v>0</v>
      </c>
    </row>
    <row r="76" spans="2:7">
      <c r="B76" s="83" t="s">
        <v>276</v>
      </c>
      <c r="C76" s="55" t="s">
        <v>277</v>
      </c>
      <c r="D76" s="83" t="s">
        <v>274</v>
      </c>
      <c r="E76" s="55" t="s">
        <v>278</v>
      </c>
      <c r="F76" s="55" t="s">
        <v>76</v>
      </c>
      <c r="G76" s="84">
        <v>0</v>
      </c>
    </row>
    <row r="77" spans="2:7">
      <c r="B77" s="83" t="s">
        <v>279</v>
      </c>
      <c r="C77" s="55" t="s">
        <v>280</v>
      </c>
      <c r="D77" s="83" t="s">
        <v>274</v>
      </c>
      <c r="E77" s="55" t="s">
        <v>281</v>
      </c>
      <c r="F77" s="55" t="s">
        <v>76</v>
      </c>
      <c r="G77" s="84">
        <v>0</v>
      </c>
    </row>
    <row r="78" spans="2:7">
      <c r="B78" s="83" t="s">
        <v>282</v>
      </c>
      <c r="C78" s="55" t="s">
        <v>283</v>
      </c>
      <c r="D78" s="83" t="s">
        <v>274</v>
      </c>
      <c r="E78" s="55" t="s">
        <v>284</v>
      </c>
      <c r="F78" s="55" t="s">
        <v>76</v>
      </c>
      <c r="G78" s="84">
        <v>0</v>
      </c>
    </row>
    <row r="79" spans="2:7">
      <c r="B79" s="83" t="s">
        <v>285</v>
      </c>
      <c r="C79" s="55" t="s">
        <v>286</v>
      </c>
      <c r="D79" s="83" t="s">
        <v>274</v>
      </c>
      <c r="E79" s="55" t="s">
        <v>287</v>
      </c>
      <c r="F79" s="55" t="s">
        <v>76</v>
      </c>
      <c r="G79" s="84">
        <v>0</v>
      </c>
    </row>
    <row r="80" spans="2:7">
      <c r="B80" s="83" t="s">
        <v>288</v>
      </c>
      <c r="C80" s="55" t="s">
        <v>289</v>
      </c>
      <c r="D80" s="83" t="s">
        <v>274</v>
      </c>
      <c r="E80" s="55" t="s">
        <v>290</v>
      </c>
      <c r="F80" s="55" t="s">
        <v>76</v>
      </c>
      <c r="G80" s="84">
        <v>0</v>
      </c>
    </row>
    <row r="81" spans="2:7">
      <c r="B81" s="83" t="s">
        <v>291</v>
      </c>
      <c r="C81" s="55" t="s">
        <v>292</v>
      </c>
      <c r="D81" s="83" t="s">
        <v>293</v>
      </c>
      <c r="E81" s="55" t="s">
        <v>294</v>
      </c>
      <c r="F81" s="55" t="s">
        <v>76</v>
      </c>
      <c r="G81" s="84">
        <v>0</v>
      </c>
    </row>
    <row r="82" spans="2:7">
      <c r="B82" s="83" t="s">
        <v>295</v>
      </c>
      <c r="C82" s="55" t="s">
        <v>296</v>
      </c>
      <c r="D82" s="83" t="s">
        <v>293</v>
      </c>
      <c r="E82" s="55" t="s">
        <v>297</v>
      </c>
      <c r="F82" s="55" t="s">
        <v>298</v>
      </c>
      <c r="G82" s="84">
        <v>0</v>
      </c>
    </row>
    <row r="83" spans="2:7">
      <c r="B83" s="83" t="s">
        <v>299</v>
      </c>
      <c r="C83" s="55" t="s">
        <v>300</v>
      </c>
      <c r="D83" s="83" t="s">
        <v>293</v>
      </c>
      <c r="E83" s="55" t="s">
        <v>301</v>
      </c>
      <c r="F83" s="55" t="s">
        <v>298</v>
      </c>
      <c r="G83" s="84">
        <v>150000000</v>
      </c>
    </row>
    <row r="84" spans="2:7">
      <c r="B84" s="83" t="s">
        <v>302</v>
      </c>
      <c r="C84" s="55" t="s">
        <v>303</v>
      </c>
      <c r="D84" s="83" t="s">
        <v>293</v>
      </c>
      <c r="E84" s="55" t="s">
        <v>304</v>
      </c>
      <c r="F84" s="55" t="s">
        <v>298</v>
      </c>
      <c r="G84" s="84">
        <v>0</v>
      </c>
    </row>
    <row r="85" spans="2:7">
      <c r="B85" s="83" t="s">
        <v>305</v>
      </c>
      <c r="C85" s="55" t="s">
        <v>306</v>
      </c>
      <c r="D85" s="83" t="s">
        <v>293</v>
      </c>
      <c r="E85" s="55" t="s">
        <v>304</v>
      </c>
      <c r="F85" s="55" t="s">
        <v>298</v>
      </c>
      <c r="G85" s="84">
        <v>0</v>
      </c>
    </row>
    <row r="86" spans="2:7">
      <c r="B86" s="83" t="s">
        <v>307</v>
      </c>
      <c r="C86" s="55" t="s">
        <v>308</v>
      </c>
      <c r="D86" s="83" t="s">
        <v>293</v>
      </c>
      <c r="E86" s="55" t="s">
        <v>309</v>
      </c>
      <c r="F86" s="55" t="s">
        <v>298</v>
      </c>
      <c r="G86" s="84">
        <v>0</v>
      </c>
    </row>
    <row r="87" spans="2:7">
      <c r="B87" s="83" t="s">
        <v>310</v>
      </c>
      <c r="C87" s="55" t="s">
        <v>311</v>
      </c>
      <c r="D87" s="83" t="s">
        <v>293</v>
      </c>
      <c r="E87" s="55" t="s">
        <v>309</v>
      </c>
      <c r="F87" s="55" t="s">
        <v>298</v>
      </c>
      <c r="G87" s="84">
        <v>0</v>
      </c>
    </row>
    <row r="88" spans="2:7">
      <c r="B88" s="83" t="s">
        <v>312</v>
      </c>
      <c r="C88" s="55" t="s">
        <v>313</v>
      </c>
      <c r="D88" s="83" t="s">
        <v>293</v>
      </c>
      <c r="E88" s="55" t="s">
        <v>309</v>
      </c>
      <c r="F88" s="55" t="s">
        <v>298</v>
      </c>
      <c r="G88" s="84">
        <v>0</v>
      </c>
    </row>
    <row r="89" spans="2:7">
      <c r="B89" s="83" t="s">
        <v>314</v>
      </c>
      <c r="C89" s="55" t="s">
        <v>315</v>
      </c>
      <c r="D89" s="83" t="s">
        <v>293</v>
      </c>
      <c r="E89" s="55" t="s">
        <v>316</v>
      </c>
      <c r="F89" s="55" t="s">
        <v>298</v>
      </c>
      <c r="G89" s="84">
        <v>0</v>
      </c>
    </row>
    <row r="90" spans="2:7">
      <c r="B90" s="83" t="s">
        <v>317</v>
      </c>
      <c r="C90" s="55" t="s">
        <v>318</v>
      </c>
      <c r="D90" s="83" t="s">
        <v>293</v>
      </c>
      <c r="E90" s="55" t="s">
        <v>319</v>
      </c>
      <c r="F90" s="55" t="s">
        <v>298</v>
      </c>
      <c r="G90" s="84">
        <v>0</v>
      </c>
    </row>
    <row r="91" spans="2:7">
      <c r="B91" s="83" t="s">
        <v>320</v>
      </c>
      <c r="C91" s="55" t="s">
        <v>321</v>
      </c>
      <c r="D91" s="83" t="s">
        <v>293</v>
      </c>
      <c r="E91" s="55" t="s">
        <v>322</v>
      </c>
      <c r="F91" s="55" t="s">
        <v>298</v>
      </c>
      <c r="G91" s="84">
        <v>0</v>
      </c>
    </row>
    <row r="92" spans="2:7">
      <c r="B92" s="83" t="s">
        <v>323</v>
      </c>
      <c r="C92" s="55" t="s">
        <v>324</v>
      </c>
      <c r="D92" s="83" t="s">
        <v>293</v>
      </c>
      <c r="E92" s="55" t="s">
        <v>316</v>
      </c>
      <c r="F92" s="55" t="s">
        <v>298</v>
      </c>
      <c r="G92" s="84">
        <v>0</v>
      </c>
    </row>
    <row r="93" spans="2:7">
      <c r="B93" s="83" t="s">
        <v>325</v>
      </c>
      <c r="C93" s="55" t="s">
        <v>326</v>
      </c>
      <c r="D93" s="83" t="s">
        <v>293</v>
      </c>
      <c r="E93" s="55" t="s">
        <v>316</v>
      </c>
      <c r="F93" s="55" t="s">
        <v>298</v>
      </c>
      <c r="G93" s="84">
        <v>0</v>
      </c>
    </row>
    <row r="94" spans="2:7">
      <c r="B94" s="83" t="s">
        <v>327</v>
      </c>
      <c r="C94" s="55" t="s">
        <v>328</v>
      </c>
      <c r="D94" s="83" t="s">
        <v>293</v>
      </c>
      <c r="E94" s="55" t="s">
        <v>316</v>
      </c>
      <c r="F94" s="55" t="s">
        <v>298</v>
      </c>
      <c r="G94" s="84">
        <v>0</v>
      </c>
    </row>
    <row r="95" spans="2:7">
      <c r="B95" s="83" t="s">
        <v>329</v>
      </c>
      <c r="C95" s="55" t="s">
        <v>330</v>
      </c>
      <c r="D95" s="83" t="s">
        <v>293</v>
      </c>
      <c r="E95" s="55" t="s">
        <v>309</v>
      </c>
      <c r="F95" s="55" t="s">
        <v>298</v>
      </c>
      <c r="G95" s="84">
        <v>0</v>
      </c>
    </row>
    <row r="96" spans="2:7">
      <c r="B96" s="83" t="s">
        <v>331</v>
      </c>
      <c r="C96" s="55" t="s">
        <v>332</v>
      </c>
      <c r="D96" s="83" t="s">
        <v>293</v>
      </c>
      <c r="E96" s="55" t="s">
        <v>316</v>
      </c>
      <c r="F96" s="55" t="s">
        <v>298</v>
      </c>
      <c r="G96" s="84">
        <v>0</v>
      </c>
    </row>
    <row r="97" spans="2:7">
      <c r="B97" s="83" t="s">
        <v>333</v>
      </c>
      <c r="C97" s="55" t="s">
        <v>334</v>
      </c>
      <c r="D97" s="83" t="s">
        <v>293</v>
      </c>
      <c r="E97" s="55" t="s">
        <v>335</v>
      </c>
      <c r="F97" s="55" t="s">
        <v>298</v>
      </c>
      <c r="G97" s="84">
        <v>0</v>
      </c>
    </row>
    <row r="98" spans="2:7">
      <c r="B98" s="83" t="s">
        <v>336</v>
      </c>
      <c r="C98" s="55" t="s">
        <v>337</v>
      </c>
      <c r="D98" s="83" t="s">
        <v>293</v>
      </c>
      <c r="E98" s="55" t="s">
        <v>309</v>
      </c>
      <c r="F98" s="55" t="s">
        <v>298</v>
      </c>
      <c r="G98" s="84">
        <v>0</v>
      </c>
    </row>
    <row r="99" spans="2:7">
      <c r="B99" s="83" t="s">
        <v>338</v>
      </c>
      <c r="C99" s="55" t="s">
        <v>339</v>
      </c>
      <c r="D99" s="83" t="s">
        <v>293</v>
      </c>
      <c r="E99" s="55" t="s">
        <v>304</v>
      </c>
      <c r="F99" s="55" t="s">
        <v>298</v>
      </c>
      <c r="G99" s="84">
        <v>0</v>
      </c>
    </row>
    <row r="100" spans="2:7">
      <c r="B100" s="83" t="s">
        <v>340</v>
      </c>
      <c r="C100" s="55" t="s">
        <v>341</v>
      </c>
      <c r="D100" s="83" t="s">
        <v>293</v>
      </c>
      <c r="E100" s="55" t="s">
        <v>322</v>
      </c>
      <c r="F100" s="55" t="s">
        <v>298</v>
      </c>
      <c r="G100" s="84">
        <v>0</v>
      </c>
    </row>
    <row r="101" spans="2:7">
      <c r="B101" s="83" t="s">
        <v>342</v>
      </c>
      <c r="C101" s="55" t="s">
        <v>343</v>
      </c>
      <c r="D101" s="83" t="s">
        <v>344</v>
      </c>
      <c r="E101" s="55" t="s">
        <v>345</v>
      </c>
      <c r="F101" s="55" t="s">
        <v>76</v>
      </c>
      <c r="G101" s="84">
        <v>2000000000</v>
      </c>
    </row>
    <row r="102" spans="2:7">
      <c r="B102" s="83" t="s">
        <v>346</v>
      </c>
      <c r="C102" s="55" t="s">
        <v>347</v>
      </c>
      <c r="D102" s="83" t="s">
        <v>344</v>
      </c>
      <c r="E102" s="55" t="s">
        <v>348</v>
      </c>
      <c r="F102" s="55" t="s">
        <v>76</v>
      </c>
      <c r="G102" s="84">
        <v>0</v>
      </c>
    </row>
    <row r="103" spans="2:7">
      <c r="B103" s="83" t="s">
        <v>349</v>
      </c>
      <c r="C103" s="55" t="s">
        <v>350</v>
      </c>
      <c r="D103" s="83" t="s">
        <v>344</v>
      </c>
      <c r="E103" s="55" t="s">
        <v>351</v>
      </c>
      <c r="F103" s="55" t="s">
        <v>76</v>
      </c>
      <c r="G103" s="84">
        <v>0</v>
      </c>
    </row>
    <row r="104" spans="2:7">
      <c r="B104" s="83" t="s">
        <v>352</v>
      </c>
      <c r="C104" s="55" t="s">
        <v>353</v>
      </c>
      <c r="D104" s="83" t="s">
        <v>354</v>
      </c>
      <c r="E104" s="55" t="s">
        <v>355</v>
      </c>
      <c r="F104" s="55" t="s">
        <v>76</v>
      </c>
      <c r="G104" s="84">
        <v>0</v>
      </c>
    </row>
    <row r="105" spans="2:7">
      <c r="B105" s="83" t="s">
        <v>356</v>
      </c>
      <c r="C105" s="55" t="s">
        <v>357</v>
      </c>
      <c r="D105" s="83" t="s">
        <v>358</v>
      </c>
      <c r="E105" s="55" t="s">
        <v>359</v>
      </c>
      <c r="F105" s="55" t="s">
        <v>76</v>
      </c>
      <c r="G105" s="84">
        <v>-2650000000</v>
      </c>
    </row>
    <row r="106" spans="2:7">
      <c r="B106" s="83" t="s">
        <v>360</v>
      </c>
      <c r="C106" s="55" t="s">
        <v>361</v>
      </c>
      <c r="D106" s="83" t="s">
        <v>362</v>
      </c>
      <c r="E106" s="55" t="s">
        <v>363</v>
      </c>
      <c r="F106" s="55" t="s">
        <v>76</v>
      </c>
      <c r="G106" s="84">
        <v>0</v>
      </c>
    </row>
    <row r="107" spans="2:7">
      <c r="B107" s="83" t="s">
        <v>364</v>
      </c>
      <c r="C107" s="55" t="s">
        <v>93</v>
      </c>
      <c r="D107" s="83" t="s">
        <v>365</v>
      </c>
      <c r="E107" s="55" t="s">
        <v>366</v>
      </c>
      <c r="F107" s="55" t="s">
        <v>49</v>
      </c>
      <c r="G107" s="84">
        <v>0</v>
      </c>
    </row>
    <row r="108" spans="2:7">
      <c r="B108" s="83" t="s">
        <v>367</v>
      </c>
      <c r="C108" s="55" t="s">
        <v>95</v>
      </c>
      <c r="D108" s="83" t="s">
        <v>365</v>
      </c>
      <c r="E108" s="55" t="s">
        <v>366</v>
      </c>
      <c r="F108" s="55" t="s">
        <v>49</v>
      </c>
      <c r="G108" s="84">
        <v>0</v>
      </c>
    </row>
    <row r="109" spans="2:7">
      <c r="B109" s="83" t="s">
        <v>368</v>
      </c>
      <c r="C109" s="55" t="s">
        <v>369</v>
      </c>
      <c r="D109" s="83" t="s">
        <v>365</v>
      </c>
      <c r="E109" s="55" t="s">
        <v>366</v>
      </c>
      <c r="F109" s="55" t="s">
        <v>49</v>
      </c>
      <c r="G109" s="84">
        <v>0</v>
      </c>
    </row>
    <row r="110" spans="2:7">
      <c r="B110" s="83" t="s">
        <v>370</v>
      </c>
      <c r="C110" s="55" t="s">
        <v>371</v>
      </c>
      <c r="D110" s="83" t="s">
        <v>365</v>
      </c>
      <c r="E110" s="55" t="s">
        <v>366</v>
      </c>
      <c r="F110" s="55" t="s">
        <v>49</v>
      </c>
      <c r="G110" s="84">
        <v>0</v>
      </c>
    </row>
    <row r="111" spans="2:7">
      <c r="B111" s="83" t="s">
        <v>372</v>
      </c>
      <c r="C111" s="55" t="s">
        <v>373</v>
      </c>
      <c r="D111" s="83" t="s">
        <v>365</v>
      </c>
      <c r="E111" s="55" t="s">
        <v>366</v>
      </c>
      <c r="F111" s="55" t="s">
        <v>49</v>
      </c>
      <c r="G111" s="84">
        <v>0</v>
      </c>
    </row>
    <row r="112" spans="2:7">
      <c r="B112" s="83" t="s">
        <v>374</v>
      </c>
      <c r="C112" s="55" t="s">
        <v>375</v>
      </c>
      <c r="D112" s="83" t="s">
        <v>365</v>
      </c>
      <c r="E112" s="55" t="s">
        <v>366</v>
      </c>
      <c r="F112" s="55" t="s">
        <v>49</v>
      </c>
      <c r="G112" s="84">
        <v>0</v>
      </c>
    </row>
    <row r="113" spans="2:7">
      <c r="B113" s="83" t="s">
        <v>376</v>
      </c>
      <c r="C113" s="55" t="s">
        <v>377</v>
      </c>
      <c r="D113" s="83" t="s">
        <v>365</v>
      </c>
      <c r="E113" s="55" t="s">
        <v>366</v>
      </c>
      <c r="F113" s="55" t="s">
        <v>49</v>
      </c>
      <c r="G113" s="84">
        <v>0</v>
      </c>
    </row>
    <row r="114" spans="2:7">
      <c r="B114" s="83" t="s">
        <v>378</v>
      </c>
      <c r="C114" s="55" t="s">
        <v>379</v>
      </c>
      <c r="D114" s="83" t="s">
        <v>365</v>
      </c>
      <c r="E114" s="55" t="s">
        <v>366</v>
      </c>
      <c r="F114" s="55" t="s">
        <v>49</v>
      </c>
      <c r="G114" s="84">
        <v>0</v>
      </c>
    </row>
    <row r="115" spans="2:7">
      <c r="B115" s="83" t="s">
        <v>380</v>
      </c>
      <c r="C115" s="55" t="s">
        <v>381</v>
      </c>
      <c r="D115" s="83" t="s">
        <v>365</v>
      </c>
      <c r="E115" s="55" t="s">
        <v>366</v>
      </c>
      <c r="F115" s="55" t="s">
        <v>49</v>
      </c>
      <c r="G115" s="84">
        <v>0</v>
      </c>
    </row>
    <row r="116" spans="2:7">
      <c r="B116" s="83" t="s">
        <v>382</v>
      </c>
      <c r="C116" s="55" t="s">
        <v>111</v>
      </c>
      <c r="D116" s="83" t="s">
        <v>365</v>
      </c>
      <c r="E116" s="55" t="s">
        <v>366</v>
      </c>
      <c r="F116" s="55" t="s">
        <v>49</v>
      </c>
      <c r="G116" s="84">
        <v>0</v>
      </c>
    </row>
    <row r="117" spans="2:7">
      <c r="B117" s="85" t="s">
        <v>383</v>
      </c>
      <c r="C117" s="85"/>
      <c r="D117" s="85"/>
      <c r="E117" s="85"/>
      <c r="F117" s="85"/>
      <c r="G117" s="84">
        <v>0</v>
      </c>
    </row>
    <row r="118" spans="2:7">
      <c r="B118" s="85" t="s">
        <v>384</v>
      </c>
      <c r="C118" s="85"/>
      <c r="D118" s="85"/>
      <c r="E118" s="85"/>
      <c r="F118" s="85"/>
      <c r="G118" s="84">
        <v>0</v>
      </c>
    </row>
    <row r="119" spans="2:7">
      <c r="B119" s="85" t="s">
        <v>385</v>
      </c>
      <c r="C119" s="85"/>
      <c r="D119" s="85"/>
      <c r="E119" s="85"/>
      <c r="F119" s="85"/>
      <c r="G119" s="84">
        <v>0</v>
      </c>
    </row>
    <row r="120" spans="2:7">
      <c r="B120" s="85" t="s">
        <v>386</v>
      </c>
      <c r="C120" s="85"/>
      <c r="D120" s="85"/>
      <c r="E120" s="85"/>
      <c r="F120" s="85"/>
      <c r="G120" s="84">
        <v>0</v>
      </c>
    </row>
    <row r="121" spans="2:7">
      <c r="B121" s="85" t="s">
        <v>387</v>
      </c>
      <c r="C121" s="85"/>
      <c r="D121" s="85"/>
      <c r="E121" s="85"/>
      <c r="F121" s="85"/>
      <c r="G121" s="84">
        <v>0</v>
      </c>
    </row>
    <row r="122" spans="2:7">
      <c r="B122" s="85" t="s">
        <v>388</v>
      </c>
      <c r="C122" s="85"/>
      <c r="D122" s="85"/>
      <c r="E122" s="85"/>
      <c r="F122" s="85"/>
      <c r="G122" s="84">
        <v>0</v>
      </c>
    </row>
    <row r="123" spans="2:7">
      <c r="B123" s="85" t="s">
        <v>389</v>
      </c>
      <c r="C123" s="85"/>
      <c r="D123" s="85"/>
      <c r="E123" s="85"/>
      <c r="F123" s="85"/>
      <c r="G123" s="84">
        <v>0</v>
      </c>
    </row>
    <row r="124" spans="2:7">
      <c r="B124" s="85" t="s">
        <v>390</v>
      </c>
      <c r="C124" s="85"/>
      <c r="D124" s="85"/>
      <c r="E124" s="85"/>
      <c r="F124" s="85"/>
      <c r="G124" s="84">
        <v>0</v>
      </c>
    </row>
    <row r="125" spans="2:7">
      <c r="B125" s="85" t="s">
        <v>391</v>
      </c>
      <c r="C125" s="85"/>
      <c r="D125" s="85"/>
      <c r="E125" s="85"/>
      <c r="F125" s="85"/>
      <c r="G125" s="84">
        <v>0</v>
      </c>
    </row>
    <row r="126" spans="2:7">
      <c r="B126" s="85" t="s">
        <v>392</v>
      </c>
      <c r="C126" s="85"/>
      <c r="D126" s="85"/>
      <c r="E126" s="85"/>
      <c r="F126" s="85"/>
      <c r="G126" s="84">
        <v>0</v>
      </c>
    </row>
    <row r="127" spans="2:7">
      <c r="B127" s="85" t="s">
        <v>393</v>
      </c>
      <c r="C127" s="85"/>
      <c r="D127" s="85"/>
      <c r="E127" s="85"/>
      <c r="F127" s="85"/>
      <c r="G127" s="84">
        <v>0</v>
      </c>
    </row>
    <row r="128" spans="2:7">
      <c r="B128" s="85" t="s">
        <v>394</v>
      </c>
      <c r="C128" s="85"/>
      <c r="D128" s="85"/>
      <c r="E128" s="85"/>
      <c r="F128" s="85"/>
      <c r="G128" s="84">
        <v>0</v>
      </c>
    </row>
    <row r="129" spans="2:7">
      <c r="B129" s="85" t="s">
        <v>395</v>
      </c>
      <c r="C129" s="85"/>
      <c r="D129" s="85"/>
      <c r="E129" s="85"/>
      <c r="F129" s="85"/>
      <c r="G129" s="84">
        <v>0</v>
      </c>
    </row>
    <row r="130" spans="2:7">
      <c r="B130" s="85" t="s">
        <v>396</v>
      </c>
      <c r="C130" s="85"/>
      <c r="D130" s="85"/>
      <c r="E130" s="85"/>
      <c r="F130" s="85"/>
      <c r="G130" s="84">
        <v>0</v>
      </c>
    </row>
    <row r="131" spans="2:7">
      <c r="B131" s="85" t="s">
        <v>397</v>
      </c>
      <c r="C131" s="85"/>
      <c r="D131" s="85"/>
      <c r="E131" s="85"/>
      <c r="F131" s="85"/>
      <c r="G131" s="84">
        <v>0</v>
      </c>
    </row>
    <row r="132" spans="2:7">
      <c r="B132" s="85" t="s">
        <v>398</v>
      </c>
      <c r="C132" s="85"/>
      <c r="D132" s="85"/>
      <c r="E132" s="85"/>
      <c r="F132" s="85"/>
      <c r="G132" s="84">
        <v>0</v>
      </c>
    </row>
    <row r="133" spans="2:7">
      <c r="B133" s="85" t="s">
        <v>399</v>
      </c>
      <c r="C133" s="85"/>
      <c r="D133" s="85"/>
      <c r="E133" s="85"/>
      <c r="F133" s="85"/>
      <c r="G133" s="84">
        <v>0</v>
      </c>
    </row>
    <row r="134" spans="2:7">
      <c r="B134" s="85" t="s">
        <v>400</v>
      </c>
      <c r="C134" s="85"/>
      <c r="D134" s="85"/>
      <c r="E134" s="85"/>
      <c r="F134" s="85"/>
      <c r="G134" s="84">
        <v>0</v>
      </c>
    </row>
    <row r="135" spans="2:7">
      <c r="B135" s="85" t="s">
        <v>401</v>
      </c>
      <c r="C135" s="85"/>
      <c r="D135" s="85"/>
      <c r="E135" s="85"/>
      <c r="F135" s="85"/>
      <c r="G135" s="84">
        <v>0</v>
      </c>
    </row>
    <row r="136" spans="2:7">
      <c r="B136" s="85" t="s">
        <v>402</v>
      </c>
      <c r="C136" s="85"/>
      <c r="D136" s="85"/>
      <c r="E136" s="85"/>
      <c r="F136" s="85"/>
      <c r="G136" s="84">
        <v>0</v>
      </c>
    </row>
    <row r="137" spans="2:7">
      <c r="B137" s="85" t="s">
        <v>403</v>
      </c>
      <c r="C137" s="85"/>
      <c r="D137" s="85"/>
      <c r="E137" s="85"/>
      <c r="F137" s="85"/>
      <c r="G137" s="84">
        <v>0</v>
      </c>
    </row>
    <row r="138" spans="2:7">
      <c r="B138" s="85" t="s">
        <v>404</v>
      </c>
      <c r="C138" s="85"/>
      <c r="D138" s="85"/>
      <c r="E138" s="85"/>
      <c r="F138" s="85"/>
      <c r="G138" s="84">
        <v>0</v>
      </c>
    </row>
    <row r="139" spans="2:7">
      <c r="B139" s="85" t="s">
        <v>405</v>
      </c>
      <c r="C139" s="85"/>
      <c r="D139" s="85"/>
      <c r="E139" s="85"/>
      <c r="F139" s="85"/>
      <c r="G139" s="84">
        <v>0</v>
      </c>
    </row>
    <row r="140" spans="2:7">
      <c r="B140" s="85" t="s">
        <v>406</v>
      </c>
      <c r="C140" s="85"/>
      <c r="D140" s="85"/>
      <c r="E140" s="85"/>
      <c r="F140" s="85"/>
      <c r="G140" s="84">
        <v>0</v>
      </c>
    </row>
    <row r="141" spans="2:7">
      <c r="B141" s="85" t="s">
        <v>407</v>
      </c>
      <c r="C141" s="85"/>
      <c r="D141" s="85"/>
      <c r="E141" s="85"/>
      <c r="F141" s="85"/>
      <c r="G141" s="84">
        <v>0</v>
      </c>
    </row>
    <row r="142" spans="2:7">
      <c r="B142" s="85" t="s">
        <v>408</v>
      </c>
      <c r="C142" s="85"/>
      <c r="D142" s="85"/>
      <c r="E142" s="85"/>
      <c r="F142" s="85"/>
      <c r="G142" s="84">
        <v>0</v>
      </c>
    </row>
    <row r="143" spans="2:7">
      <c r="B143" s="85" t="s">
        <v>409</v>
      </c>
      <c r="C143" s="85"/>
      <c r="D143" s="85"/>
      <c r="E143" s="85"/>
      <c r="F143" s="85"/>
      <c r="G143" s="84">
        <v>0</v>
      </c>
    </row>
    <row r="144" spans="2:7">
      <c r="B144" s="85" t="s">
        <v>410</v>
      </c>
      <c r="C144" s="85"/>
      <c r="D144" s="85"/>
      <c r="E144" s="85"/>
      <c r="F144" s="85"/>
      <c r="G144" s="84">
        <v>0</v>
      </c>
    </row>
    <row r="145" spans="2:7">
      <c r="B145" s="85" t="s">
        <v>411</v>
      </c>
      <c r="C145" s="85"/>
      <c r="D145" s="85"/>
      <c r="E145" s="85"/>
      <c r="F145" s="85"/>
      <c r="G145" s="84">
        <v>0</v>
      </c>
    </row>
    <row r="146" spans="2:7">
      <c r="B146" s="85" t="s">
        <v>412</v>
      </c>
      <c r="C146" s="85"/>
      <c r="D146" s="85"/>
      <c r="E146" s="85"/>
      <c r="F146" s="85"/>
      <c r="G146" s="84">
        <v>0</v>
      </c>
    </row>
    <row r="147" spans="2:7">
      <c r="B147" s="85" t="s">
        <v>413</v>
      </c>
      <c r="C147" s="85"/>
      <c r="D147" s="85"/>
      <c r="E147" s="85"/>
      <c r="F147" s="85"/>
      <c r="G147" s="84">
        <v>0</v>
      </c>
    </row>
    <row r="148" spans="2:7">
      <c r="B148" s="85" t="s">
        <v>414</v>
      </c>
      <c r="C148" s="85"/>
      <c r="D148" s="85"/>
      <c r="E148" s="85"/>
      <c r="F148" s="85"/>
      <c r="G148" s="84">
        <v>0</v>
      </c>
    </row>
    <row r="149" spans="2:7">
      <c r="B149" s="85" t="s">
        <v>415</v>
      </c>
      <c r="C149" s="85"/>
      <c r="D149" s="85"/>
      <c r="E149" s="85"/>
      <c r="F149" s="85"/>
      <c r="G149" s="84">
        <v>0</v>
      </c>
    </row>
    <row r="150" spans="2:7">
      <c r="B150" s="85" t="s">
        <v>416</v>
      </c>
      <c r="C150" s="85"/>
      <c r="D150" s="85"/>
      <c r="E150" s="85"/>
      <c r="F150" s="85"/>
      <c r="G150" s="84">
        <v>0</v>
      </c>
    </row>
    <row r="151" spans="2:7">
      <c r="B151" s="85" t="s">
        <v>417</v>
      </c>
      <c r="C151" s="85"/>
      <c r="D151" s="85"/>
      <c r="E151" s="85"/>
      <c r="F151" s="85"/>
      <c r="G151" s="84">
        <v>0</v>
      </c>
    </row>
    <row r="152" spans="2:7">
      <c r="B152" s="85" t="s">
        <v>418</v>
      </c>
      <c r="C152" s="85"/>
      <c r="D152" s="85"/>
      <c r="E152" s="85"/>
      <c r="F152" s="85"/>
      <c r="G152" s="84">
        <v>0</v>
      </c>
    </row>
    <row r="153" spans="2:7">
      <c r="B153" s="85" t="s">
        <v>419</v>
      </c>
      <c r="C153" s="85"/>
      <c r="D153" s="85"/>
      <c r="E153" s="85"/>
      <c r="F153" s="85"/>
      <c r="G153" s="84">
        <v>0</v>
      </c>
    </row>
    <row r="154" spans="2:7">
      <c r="B154" s="85" t="s">
        <v>420</v>
      </c>
      <c r="C154" s="85"/>
      <c r="D154" s="85"/>
      <c r="E154" s="85"/>
      <c r="F154" s="85"/>
      <c r="G154" s="84">
        <v>0</v>
      </c>
    </row>
    <row r="155" spans="2:7">
      <c r="B155" s="85" t="s">
        <v>421</v>
      </c>
      <c r="C155" s="85"/>
      <c r="D155" s="85"/>
      <c r="E155" s="85"/>
      <c r="F155" s="85"/>
      <c r="G155" s="84">
        <v>0</v>
      </c>
    </row>
    <row r="156" spans="2:7">
      <c r="B156" s="85" t="s">
        <v>422</v>
      </c>
      <c r="C156" s="85"/>
      <c r="D156" s="85"/>
      <c r="E156" s="85"/>
      <c r="F156" s="85"/>
      <c r="G156" s="84">
        <v>0</v>
      </c>
    </row>
    <row r="157" spans="2:7">
      <c r="B157" s="85" t="s">
        <v>423</v>
      </c>
      <c r="C157" s="85"/>
      <c r="D157" s="85"/>
      <c r="E157" s="85"/>
      <c r="F157" s="85"/>
      <c r="G157" s="84">
        <v>0</v>
      </c>
    </row>
    <row r="158" spans="2:7">
      <c r="B158" s="85" t="s">
        <v>424</v>
      </c>
      <c r="C158" s="85"/>
      <c r="D158" s="85"/>
      <c r="E158" s="85"/>
      <c r="F158" s="85"/>
      <c r="G158" s="84">
        <v>0</v>
      </c>
    </row>
    <row r="159" spans="2:7">
      <c r="B159" s="85" t="s">
        <v>425</v>
      </c>
      <c r="C159" s="85"/>
      <c r="D159" s="85"/>
      <c r="E159" s="85"/>
      <c r="F159" s="85"/>
      <c r="G159" s="84">
        <v>0</v>
      </c>
    </row>
    <row r="160" spans="2:7">
      <c r="B160" s="85" t="s">
        <v>426</v>
      </c>
      <c r="C160" s="85"/>
      <c r="D160" s="85"/>
      <c r="E160" s="85"/>
      <c r="F160" s="85"/>
      <c r="G160" s="84">
        <v>0</v>
      </c>
    </row>
    <row r="161" spans="2:7">
      <c r="B161" s="85" t="s">
        <v>427</v>
      </c>
      <c r="C161" s="85"/>
      <c r="D161" s="85"/>
      <c r="E161" s="85"/>
      <c r="F161" s="85"/>
      <c r="G161" s="84">
        <v>0</v>
      </c>
    </row>
    <row r="162" spans="2:7">
      <c r="B162" s="85" t="s">
        <v>428</v>
      </c>
      <c r="C162" s="85"/>
      <c r="D162" s="85"/>
      <c r="E162" s="85"/>
      <c r="F162" s="85"/>
      <c r="G162" s="84">
        <v>0</v>
      </c>
    </row>
    <row r="163" spans="2:7">
      <c r="B163" s="85" t="s">
        <v>429</v>
      </c>
      <c r="C163" s="85"/>
      <c r="D163" s="85"/>
      <c r="E163" s="85"/>
      <c r="F163" s="85"/>
      <c r="G163" s="84">
        <v>0</v>
      </c>
    </row>
    <row r="164" spans="2:7">
      <c r="B164" s="85" t="s">
        <v>430</v>
      </c>
      <c r="C164" s="85"/>
      <c r="D164" s="85"/>
      <c r="E164" s="85"/>
      <c r="F164" s="85"/>
      <c r="G164" s="84">
        <v>0</v>
      </c>
    </row>
    <row r="165" spans="2:7">
      <c r="B165" s="85" t="s">
        <v>431</v>
      </c>
      <c r="C165" s="85"/>
      <c r="D165" s="85"/>
      <c r="E165" s="85"/>
      <c r="F165" s="85"/>
      <c r="G165" s="84">
        <v>0</v>
      </c>
    </row>
    <row r="166" spans="2:7">
      <c r="B166" s="85" t="s">
        <v>432</v>
      </c>
      <c r="C166" s="85"/>
      <c r="D166" s="85"/>
      <c r="E166" s="85"/>
      <c r="F166" s="85"/>
      <c r="G166" s="84">
        <v>0</v>
      </c>
    </row>
    <row r="167" spans="2:7">
      <c r="B167" s="85" t="s">
        <v>433</v>
      </c>
      <c r="C167" s="85"/>
      <c r="D167" s="85"/>
      <c r="E167" s="85"/>
      <c r="F167" s="85"/>
      <c r="G167" s="84">
        <v>0</v>
      </c>
    </row>
    <row r="168" spans="2:7">
      <c r="B168" s="85" t="s">
        <v>434</v>
      </c>
      <c r="C168" s="85"/>
      <c r="D168" s="85"/>
      <c r="E168" s="85"/>
      <c r="F168" s="85"/>
      <c r="G168" s="84">
        <v>0</v>
      </c>
    </row>
    <row r="169" spans="2:7">
      <c r="B169" s="85" t="s">
        <v>435</v>
      </c>
      <c r="C169" s="85"/>
      <c r="D169" s="85"/>
      <c r="E169" s="85"/>
      <c r="F169" s="85"/>
      <c r="G169" s="84">
        <v>0</v>
      </c>
    </row>
    <row r="170" spans="2:7">
      <c r="B170" s="85" t="s">
        <v>436</v>
      </c>
      <c r="C170" s="85"/>
      <c r="D170" s="85"/>
      <c r="E170" s="85"/>
      <c r="F170" s="85"/>
      <c r="G170" s="84">
        <v>0</v>
      </c>
    </row>
    <row r="171" spans="2:7">
      <c r="B171" s="85" t="s">
        <v>437</v>
      </c>
      <c r="C171" s="85"/>
      <c r="D171" s="85"/>
      <c r="E171" s="85"/>
      <c r="F171" s="85"/>
      <c r="G171" s="84">
        <v>0</v>
      </c>
    </row>
    <row r="172" spans="2:7">
      <c r="B172" s="85" t="s">
        <v>438</v>
      </c>
      <c r="C172" s="85"/>
      <c r="D172" s="85"/>
      <c r="E172" s="85"/>
      <c r="F172" s="85"/>
      <c r="G172" s="84">
        <v>0</v>
      </c>
    </row>
    <row r="173" spans="2:7">
      <c r="B173" s="85" t="s">
        <v>439</v>
      </c>
      <c r="C173" s="85"/>
      <c r="D173" s="85"/>
      <c r="E173" s="85"/>
      <c r="F173" s="85"/>
      <c r="G173" s="84">
        <v>0</v>
      </c>
    </row>
    <row r="174" spans="2:7">
      <c r="B174" s="85" t="s">
        <v>440</v>
      </c>
      <c r="C174" s="85"/>
      <c r="D174" s="85"/>
      <c r="E174" s="85"/>
      <c r="F174" s="85"/>
      <c r="G174" s="84">
        <v>0</v>
      </c>
    </row>
    <row r="175" spans="2:7">
      <c r="B175" s="85" t="s">
        <v>441</v>
      </c>
      <c r="C175" s="85"/>
      <c r="D175" s="85"/>
      <c r="E175" s="85"/>
      <c r="F175" s="85"/>
      <c r="G175" s="84">
        <v>0</v>
      </c>
    </row>
    <row r="176" spans="2:7">
      <c r="B176" s="85" t="s">
        <v>442</v>
      </c>
      <c r="C176" s="85"/>
      <c r="D176" s="85"/>
      <c r="E176" s="85"/>
      <c r="F176" s="85"/>
      <c r="G176" s="84">
        <v>0</v>
      </c>
    </row>
    <row r="177" spans="2:7">
      <c r="B177" s="85" t="s">
        <v>443</v>
      </c>
      <c r="C177" s="85"/>
      <c r="D177" s="85"/>
      <c r="E177" s="85"/>
      <c r="F177" s="85"/>
      <c r="G177" s="84">
        <v>0</v>
      </c>
    </row>
    <row r="178" spans="2:7">
      <c r="B178" s="85" t="s">
        <v>444</v>
      </c>
      <c r="C178" s="85"/>
      <c r="D178" s="85"/>
      <c r="E178" s="85"/>
      <c r="F178" s="85"/>
      <c r="G178" s="84">
        <v>0</v>
      </c>
    </row>
    <row r="179" spans="2:7">
      <c r="B179" s="85" t="s">
        <v>445</v>
      </c>
      <c r="C179" s="85"/>
      <c r="D179" s="85"/>
      <c r="E179" s="85"/>
      <c r="F179" s="85"/>
      <c r="G179" s="84">
        <v>0</v>
      </c>
    </row>
    <row r="180" spans="2:7">
      <c r="B180" s="85" t="s">
        <v>446</v>
      </c>
      <c r="C180" s="85"/>
      <c r="D180" s="85"/>
      <c r="E180" s="85"/>
      <c r="F180" s="85"/>
      <c r="G180" s="84">
        <v>0</v>
      </c>
    </row>
    <row r="181" spans="2:7">
      <c r="B181" s="85" t="s">
        <v>447</v>
      </c>
      <c r="C181" s="85"/>
      <c r="D181" s="85"/>
      <c r="E181" s="85"/>
      <c r="F181" s="85"/>
      <c r="G181" s="84">
        <v>0</v>
      </c>
    </row>
    <row r="182" spans="2:7">
      <c r="B182" s="85" t="s">
        <v>448</v>
      </c>
      <c r="C182" s="85"/>
      <c r="D182" s="85"/>
      <c r="E182" s="85"/>
      <c r="F182" s="85"/>
      <c r="G182" s="84">
        <v>0</v>
      </c>
    </row>
    <row r="183" spans="2:7">
      <c r="B183" s="85" t="s">
        <v>449</v>
      </c>
      <c r="C183" s="85"/>
      <c r="D183" s="85"/>
      <c r="E183" s="85"/>
      <c r="F183" s="85"/>
      <c r="G183" s="84">
        <v>0</v>
      </c>
    </row>
    <row r="184" spans="2:7">
      <c r="B184" s="85" t="s">
        <v>450</v>
      </c>
      <c r="C184" s="85"/>
      <c r="D184" s="85"/>
      <c r="E184" s="85"/>
      <c r="F184" s="85"/>
      <c r="G184" s="84">
        <v>0</v>
      </c>
    </row>
    <row r="185" spans="2:7">
      <c r="B185" s="85" t="s">
        <v>451</v>
      </c>
      <c r="C185" s="85"/>
      <c r="D185" s="85"/>
      <c r="E185" s="85"/>
      <c r="F185" s="85"/>
      <c r="G185" s="84">
        <v>0</v>
      </c>
    </row>
    <row r="186" spans="2:7">
      <c r="B186" s="85" t="s">
        <v>452</v>
      </c>
      <c r="C186" s="85"/>
      <c r="D186" s="85"/>
      <c r="E186" s="85"/>
      <c r="F186" s="85"/>
      <c r="G186" s="84">
        <v>0</v>
      </c>
    </row>
    <row r="187" spans="2:7">
      <c r="B187" s="85" t="s">
        <v>453</v>
      </c>
      <c r="C187" s="85"/>
      <c r="D187" s="85"/>
      <c r="E187" s="85"/>
      <c r="F187" s="85"/>
      <c r="G187" s="84">
        <v>0</v>
      </c>
    </row>
    <row r="188" spans="2:7">
      <c r="B188" s="85" t="s">
        <v>454</v>
      </c>
      <c r="C188" s="85"/>
      <c r="D188" s="85"/>
      <c r="E188" s="85"/>
      <c r="F188" s="85"/>
      <c r="G188" s="84">
        <v>0</v>
      </c>
    </row>
    <row r="189" spans="2:7">
      <c r="B189" s="85" t="s">
        <v>455</v>
      </c>
      <c r="C189" s="85"/>
      <c r="D189" s="85"/>
      <c r="E189" s="85"/>
      <c r="F189" s="85"/>
      <c r="G189" s="84">
        <v>0</v>
      </c>
    </row>
    <row r="190" spans="2:7">
      <c r="B190" s="85" t="s">
        <v>456</v>
      </c>
      <c r="C190" s="85"/>
      <c r="D190" s="85"/>
      <c r="E190" s="85"/>
      <c r="F190" s="85"/>
      <c r="G190" s="84">
        <v>0</v>
      </c>
    </row>
    <row r="191" spans="2:7">
      <c r="B191" s="85" t="s">
        <v>457</v>
      </c>
      <c r="C191" s="85"/>
      <c r="D191" s="85"/>
      <c r="E191" s="85"/>
      <c r="F191" s="85"/>
      <c r="G191" s="84">
        <v>0</v>
      </c>
    </row>
    <row r="192" spans="2:7">
      <c r="B192" s="85" t="s">
        <v>458</v>
      </c>
      <c r="C192" s="85"/>
      <c r="D192" s="85"/>
      <c r="E192" s="85"/>
      <c r="F192" s="85"/>
      <c r="G192" s="84">
        <v>0</v>
      </c>
    </row>
    <row r="193" spans="2:7">
      <c r="B193" s="85" t="s">
        <v>459</v>
      </c>
      <c r="C193" s="85"/>
      <c r="D193" s="85"/>
      <c r="E193" s="85"/>
      <c r="F193" s="85"/>
      <c r="G193" s="84">
        <v>0</v>
      </c>
    </row>
    <row r="194" spans="2:7">
      <c r="B194" s="85" t="s">
        <v>460</v>
      </c>
      <c r="C194" s="85"/>
      <c r="D194" s="85"/>
      <c r="E194" s="85"/>
      <c r="F194" s="85"/>
      <c r="G194" s="84">
        <v>0</v>
      </c>
    </row>
    <row r="195" spans="2:7">
      <c r="B195" s="85" t="s">
        <v>461</v>
      </c>
      <c r="C195" s="85"/>
      <c r="D195" s="85"/>
      <c r="E195" s="85"/>
      <c r="F195" s="85"/>
      <c r="G195" s="84">
        <v>0</v>
      </c>
    </row>
    <row r="196" spans="2:7">
      <c r="B196" s="85" t="s">
        <v>462</v>
      </c>
      <c r="C196" s="85"/>
      <c r="D196" s="85"/>
      <c r="E196" s="85"/>
      <c r="F196" s="85"/>
      <c r="G196" s="84">
        <v>0</v>
      </c>
    </row>
    <row r="197" spans="2:7">
      <c r="B197" s="85" t="s">
        <v>463</v>
      </c>
      <c r="C197" s="85"/>
      <c r="D197" s="85"/>
      <c r="E197" s="85"/>
      <c r="F197" s="85"/>
      <c r="G197" s="84">
        <v>0</v>
      </c>
    </row>
    <row r="198" spans="2:7">
      <c r="B198" s="85" t="s">
        <v>464</v>
      </c>
      <c r="C198" s="85"/>
      <c r="D198" s="85"/>
      <c r="E198" s="85"/>
      <c r="F198" s="85"/>
      <c r="G198" s="84">
        <v>0</v>
      </c>
    </row>
    <row r="199" spans="2:7">
      <c r="B199" s="85" t="s">
        <v>465</v>
      </c>
      <c r="C199" s="85"/>
      <c r="D199" s="85"/>
      <c r="E199" s="85"/>
      <c r="F199" s="85"/>
      <c r="G199" s="84">
        <v>0</v>
      </c>
    </row>
    <row r="200" spans="2:7">
      <c r="B200" s="85" t="s">
        <v>466</v>
      </c>
      <c r="C200" s="85"/>
      <c r="D200" s="85"/>
      <c r="E200" s="85"/>
      <c r="F200" s="85"/>
      <c r="G200" s="84">
        <v>0</v>
      </c>
    </row>
    <row r="201" spans="2:7">
      <c r="B201" s="85" t="s">
        <v>467</v>
      </c>
      <c r="C201" s="85"/>
      <c r="D201" s="85"/>
      <c r="E201" s="85"/>
      <c r="F201" s="85"/>
      <c r="G201" s="84">
        <v>0</v>
      </c>
    </row>
    <row r="202" spans="2:7">
      <c r="B202" s="85" t="s">
        <v>468</v>
      </c>
      <c r="C202" s="85"/>
      <c r="D202" s="85"/>
      <c r="E202" s="85"/>
      <c r="F202" s="85"/>
      <c r="G202" s="84">
        <v>0</v>
      </c>
    </row>
    <row r="203" spans="2:7">
      <c r="B203" s="85" t="s">
        <v>469</v>
      </c>
      <c r="C203" s="85"/>
      <c r="D203" s="85"/>
      <c r="E203" s="85"/>
      <c r="F203" s="85"/>
      <c r="G203" s="84">
        <v>0</v>
      </c>
    </row>
    <row r="204" spans="2:7">
      <c r="B204" s="85" t="s">
        <v>470</v>
      </c>
      <c r="C204" s="85"/>
      <c r="D204" s="85"/>
      <c r="E204" s="85"/>
      <c r="F204" s="85"/>
      <c r="G204" s="84">
        <v>0</v>
      </c>
    </row>
    <row r="205" spans="2:7">
      <c r="B205" s="85" t="s">
        <v>471</v>
      </c>
      <c r="C205" s="85"/>
      <c r="D205" s="85"/>
      <c r="E205" s="85"/>
      <c r="F205" s="85"/>
      <c r="G205" s="84">
        <v>0</v>
      </c>
    </row>
    <row r="206" spans="2:7">
      <c r="B206" s="85" t="s">
        <v>472</v>
      </c>
      <c r="C206" s="85"/>
      <c r="D206" s="85"/>
      <c r="E206" s="85"/>
      <c r="F206" s="85"/>
      <c r="G206" s="84">
        <v>0</v>
      </c>
    </row>
    <row r="207" spans="2:7">
      <c r="B207" s="85" t="s">
        <v>473</v>
      </c>
      <c r="C207" s="85"/>
      <c r="D207" s="85"/>
      <c r="E207" s="85"/>
      <c r="F207" s="85"/>
      <c r="G207" s="84">
        <v>0</v>
      </c>
    </row>
    <row r="208" spans="2:7">
      <c r="B208" s="85" t="s">
        <v>474</v>
      </c>
      <c r="C208" s="85"/>
      <c r="D208" s="85"/>
      <c r="E208" s="85"/>
      <c r="F208" s="85"/>
      <c r="G208" s="84">
        <v>0</v>
      </c>
    </row>
    <row r="209" spans="2:7">
      <c r="B209" s="85" t="s">
        <v>475</v>
      </c>
      <c r="C209" s="85"/>
      <c r="D209" s="85"/>
      <c r="E209" s="85"/>
      <c r="F209" s="85"/>
      <c r="G209" s="84">
        <v>0</v>
      </c>
    </row>
    <row r="210" spans="2:7">
      <c r="B210" s="85" t="s">
        <v>476</v>
      </c>
      <c r="C210" s="85"/>
      <c r="D210" s="85"/>
      <c r="E210" s="85"/>
      <c r="F210" s="85"/>
      <c r="G210" s="84">
        <v>0</v>
      </c>
    </row>
    <row r="211" spans="2:7">
      <c r="B211" s="85" t="s">
        <v>477</v>
      </c>
      <c r="C211" s="85"/>
      <c r="D211" s="85"/>
      <c r="E211" s="85"/>
      <c r="F211" s="85"/>
      <c r="G211" s="84">
        <v>0</v>
      </c>
    </row>
    <row r="212" spans="2:7">
      <c r="B212" s="85" t="s">
        <v>478</v>
      </c>
      <c r="C212" s="85"/>
      <c r="D212" s="85"/>
      <c r="E212" s="85"/>
      <c r="F212" s="85"/>
      <c r="G212" s="84">
        <v>0</v>
      </c>
    </row>
    <row r="213" spans="2:7">
      <c r="B213" s="85" t="s">
        <v>479</v>
      </c>
      <c r="C213" s="85"/>
      <c r="D213" s="85"/>
      <c r="E213" s="85"/>
      <c r="F213" s="85"/>
      <c r="G213" s="84">
        <v>0</v>
      </c>
    </row>
    <row r="214" spans="2:7">
      <c r="B214" s="85" t="s">
        <v>480</v>
      </c>
      <c r="C214" s="85"/>
      <c r="D214" s="85"/>
      <c r="E214" s="85"/>
      <c r="F214" s="85"/>
      <c r="G214" s="84">
        <v>0</v>
      </c>
    </row>
    <row r="215" spans="2:7">
      <c r="B215" s="85" t="s">
        <v>481</v>
      </c>
      <c r="C215" s="85"/>
      <c r="D215" s="85"/>
      <c r="E215" s="85"/>
      <c r="F215" s="85"/>
      <c r="G215" s="84">
        <v>0</v>
      </c>
    </row>
    <row r="216" spans="2:7">
      <c r="B216" s="85" t="s">
        <v>482</v>
      </c>
      <c r="C216" s="85"/>
      <c r="D216" s="85"/>
      <c r="E216" s="85"/>
      <c r="F216" s="85"/>
      <c r="G216" s="84">
        <v>0</v>
      </c>
    </row>
    <row r="217" spans="2:7">
      <c r="B217" s="85" t="s">
        <v>483</v>
      </c>
      <c r="C217" s="85"/>
      <c r="D217" s="85"/>
      <c r="E217" s="85"/>
      <c r="F217" s="85"/>
      <c r="G217" s="84">
        <v>0</v>
      </c>
    </row>
    <row r="218" spans="2:7">
      <c r="B218" s="85" t="s">
        <v>484</v>
      </c>
      <c r="C218" s="85"/>
      <c r="D218" s="85"/>
      <c r="E218" s="85"/>
      <c r="F218" s="85"/>
      <c r="G218" s="84">
        <v>0</v>
      </c>
    </row>
    <row r="219" spans="2:7">
      <c r="B219" s="85" t="s">
        <v>485</v>
      </c>
      <c r="C219" s="85"/>
      <c r="D219" s="85"/>
      <c r="E219" s="85"/>
      <c r="F219" s="85"/>
      <c r="G219" s="84">
        <v>0</v>
      </c>
    </row>
    <row r="220" spans="2:7">
      <c r="B220" s="85" t="s">
        <v>486</v>
      </c>
      <c r="C220" s="85"/>
      <c r="D220" s="85"/>
      <c r="E220" s="85"/>
      <c r="F220" s="85"/>
      <c r="G220" s="84">
        <v>0</v>
      </c>
    </row>
    <row r="221" spans="2:7">
      <c r="B221" s="85" t="s">
        <v>487</v>
      </c>
      <c r="C221" s="85"/>
      <c r="D221" s="85"/>
      <c r="E221" s="85"/>
      <c r="F221" s="85"/>
      <c r="G221" s="84">
        <v>0</v>
      </c>
    </row>
    <row r="222" spans="2:7">
      <c r="B222" s="85" t="s">
        <v>488</v>
      </c>
      <c r="C222" s="85"/>
      <c r="D222" s="85"/>
      <c r="E222" s="85"/>
      <c r="F222" s="85"/>
      <c r="G222" s="84">
        <v>0</v>
      </c>
    </row>
    <row r="223" spans="2:7">
      <c r="B223" s="85" t="s">
        <v>489</v>
      </c>
      <c r="C223" s="85"/>
      <c r="D223" s="85"/>
      <c r="E223" s="85"/>
      <c r="F223" s="85"/>
      <c r="G223" s="84">
        <v>0</v>
      </c>
    </row>
    <row r="224" spans="2:7">
      <c r="B224" s="85" t="s">
        <v>490</v>
      </c>
      <c r="C224" s="85"/>
      <c r="D224" s="85"/>
      <c r="E224" s="85"/>
      <c r="F224" s="85"/>
      <c r="G224" s="84">
        <v>0</v>
      </c>
    </row>
    <row r="225" spans="2:7">
      <c r="B225" s="85" t="s">
        <v>491</v>
      </c>
      <c r="C225" s="85"/>
      <c r="D225" s="85"/>
      <c r="E225" s="85"/>
      <c r="F225" s="85"/>
      <c r="G225" s="84">
        <v>0</v>
      </c>
    </row>
    <row r="226" spans="2:7">
      <c r="B226" s="85" t="s">
        <v>492</v>
      </c>
      <c r="C226" s="85"/>
      <c r="D226" s="85"/>
      <c r="E226" s="85"/>
      <c r="F226" s="85"/>
      <c r="G226" s="84">
        <v>0</v>
      </c>
    </row>
    <row r="227" spans="2:7">
      <c r="B227" s="85" t="s">
        <v>493</v>
      </c>
      <c r="C227" s="85"/>
      <c r="D227" s="85"/>
      <c r="E227" s="85"/>
      <c r="F227" s="85"/>
      <c r="G227" s="84">
        <v>0</v>
      </c>
    </row>
    <row r="228" spans="2:7">
      <c r="B228" s="85" t="s">
        <v>494</v>
      </c>
      <c r="C228" s="85"/>
      <c r="D228" s="85"/>
      <c r="E228" s="85"/>
      <c r="F228" s="85"/>
      <c r="G228" s="84">
        <v>0</v>
      </c>
    </row>
    <row r="229" spans="2:7">
      <c r="B229" s="85" t="s">
        <v>495</v>
      </c>
      <c r="C229" s="85"/>
      <c r="D229" s="85"/>
      <c r="E229" s="85"/>
      <c r="F229" s="85"/>
      <c r="G229" s="84">
        <v>0</v>
      </c>
    </row>
    <row r="230" spans="2:7">
      <c r="B230" s="85" t="s">
        <v>496</v>
      </c>
      <c r="C230" s="85"/>
      <c r="D230" s="85"/>
      <c r="E230" s="85"/>
      <c r="F230" s="85"/>
      <c r="G230" s="84">
        <v>0</v>
      </c>
    </row>
    <row r="231" spans="2:7">
      <c r="B231" s="85" t="s">
        <v>497</v>
      </c>
      <c r="C231" s="85"/>
      <c r="D231" s="85"/>
      <c r="E231" s="85"/>
      <c r="F231" s="85"/>
      <c r="G231" s="84">
        <v>0</v>
      </c>
    </row>
    <row r="232" spans="2:7">
      <c r="B232" s="85" t="s">
        <v>498</v>
      </c>
      <c r="C232" s="85"/>
      <c r="D232" s="85"/>
      <c r="E232" s="85"/>
      <c r="F232" s="85"/>
      <c r="G232" s="84">
        <v>0</v>
      </c>
    </row>
    <row r="233" spans="2:7">
      <c r="B233" s="85" t="s">
        <v>499</v>
      </c>
      <c r="C233" s="85"/>
      <c r="D233" s="85"/>
      <c r="E233" s="85"/>
      <c r="F233" s="85"/>
      <c r="G233" s="84">
        <v>0</v>
      </c>
    </row>
    <row r="234" spans="2:7">
      <c r="B234" s="85" t="s">
        <v>500</v>
      </c>
      <c r="C234" s="85"/>
      <c r="D234" s="85"/>
      <c r="E234" s="85"/>
      <c r="F234" s="85"/>
      <c r="G234" s="84">
        <v>0</v>
      </c>
    </row>
    <row r="235" spans="2:7">
      <c r="B235" s="85" t="s">
        <v>501</v>
      </c>
      <c r="C235" s="85"/>
      <c r="D235" s="85"/>
      <c r="E235" s="85"/>
      <c r="F235" s="85"/>
      <c r="G235" s="84">
        <v>0</v>
      </c>
    </row>
    <row r="236" spans="2:7">
      <c r="B236" s="85" t="s">
        <v>502</v>
      </c>
      <c r="C236" s="85"/>
      <c r="D236" s="85"/>
      <c r="E236" s="85"/>
      <c r="F236" s="85"/>
      <c r="G236" s="84">
        <v>0</v>
      </c>
    </row>
    <row r="237" spans="2:7">
      <c r="B237" s="85" t="s">
        <v>503</v>
      </c>
      <c r="C237" s="85"/>
      <c r="D237" s="85"/>
      <c r="E237" s="85"/>
      <c r="F237" s="85"/>
      <c r="G237" s="84">
        <v>0</v>
      </c>
    </row>
    <row r="238" spans="2:7">
      <c r="B238" s="85" t="s">
        <v>504</v>
      </c>
      <c r="C238" s="85"/>
      <c r="D238" s="85"/>
      <c r="E238" s="85"/>
      <c r="F238" s="85"/>
      <c r="G238" s="84">
        <v>0</v>
      </c>
    </row>
    <row r="239" spans="2:7">
      <c r="B239" s="85" t="s">
        <v>505</v>
      </c>
      <c r="C239" s="85"/>
      <c r="D239" s="85"/>
      <c r="E239" s="85"/>
      <c r="F239" s="85"/>
      <c r="G239" s="84">
        <v>0</v>
      </c>
    </row>
    <row r="240" spans="2:7">
      <c r="B240" s="85" t="s">
        <v>506</v>
      </c>
      <c r="C240" s="85"/>
      <c r="D240" s="85"/>
      <c r="E240" s="85"/>
      <c r="F240" s="85"/>
      <c r="G240" s="84">
        <v>0</v>
      </c>
    </row>
    <row r="241" spans="2:7">
      <c r="B241" s="85" t="s">
        <v>507</v>
      </c>
      <c r="C241" s="85"/>
      <c r="D241" s="85"/>
      <c r="E241" s="85"/>
      <c r="F241" s="85"/>
      <c r="G241" s="84">
        <v>0</v>
      </c>
    </row>
    <row r="242" spans="2:7">
      <c r="B242" s="85" t="s">
        <v>508</v>
      </c>
      <c r="C242" s="85"/>
      <c r="D242" s="85"/>
      <c r="E242" s="85"/>
      <c r="F242" s="85"/>
      <c r="G242" s="84">
        <v>0</v>
      </c>
    </row>
    <row r="243" spans="2:7">
      <c r="B243" s="85" t="s">
        <v>509</v>
      </c>
      <c r="C243" s="85"/>
      <c r="D243" s="85"/>
      <c r="E243" s="85"/>
      <c r="F243" s="85"/>
      <c r="G243" s="84">
        <v>0</v>
      </c>
    </row>
    <row r="244" spans="2:7">
      <c r="B244" s="85" t="s">
        <v>510</v>
      </c>
      <c r="C244" s="85"/>
      <c r="D244" s="85"/>
      <c r="E244" s="85"/>
      <c r="F244" s="85"/>
      <c r="G244" s="84">
        <v>0</v>
      </c>
    </row>
    <row r="245" spans="2:7">
      <c r="B245" s="85" t="s">
        <v>511</v>
      </c>
      <c r="C245" s="85"/>
      <c r="D245" s="85"/>
      <c r="E245" s="85"/>
      <c r="F245" s="85"/>
      <c r="G245" s="84">
        <v>0</v>
      </c>
    </row>
    <row r="246" spans="2:7">
      <c r="B246" s="85" t="s">
        <v>512</v>
      </c>
      <c r="C246" s="85"/>
      <c r="D246" s="85"/>
      <c r="E246" s="85"/>
      <c r="F246" s="85"/>
      <c r="G246" s="84">
        <v>0</v>
      </c>
    </row>
    <row r="247" spans="2:7">
      <c r="B247" s="85" t="s">
        <v>513</v>
      </c>
      <c r="C247" s="85"/>
      <c r="D247" s="85"/>
      <c r="E247" s="85"/>
      <c r="F247" s="85"/>
      <c r="G247" s="84">
        <v>0</v>
      </c>
    </row>
    <row r="248" spans="2:7">
      <c r="B248" s="85" t="s">
        <v>514</v>
      </c>
      <c r="C248" s="85"/>
      <c r="D248" s="85"/>
      <c r="E248" s="85"/>
      <c r="F248" s="85"/>
      <c r="G248" s="84">
        <v>0</v>
      </c>
    </row>
    <row r="249" spans="2:7">
      <c r="B249" s="85" t="s">
        <v>515</v>
      </c>
      <c r="C249" s="85"/>
      <c r="D249" s="85"/>
      <c r="E249" s="85"/>
      <c r="F249" s="85"/>
      <c r="G249" s="84">
        <v>0</v>
      </c>
    </row>
    <row r="250" spans="2:7">
      <c r="B250" s="85" t="s">
        <v>516</v>
      </c>
      <c r="C250" s="85"/>
      <c r="D250" s="85"/>
      <c r="E250" s="85"/>
      <c r="F250" s="85"/>
      <c r="G250" s="84">
        <v>0</v>
      </c>
    </row>
    <row r="251" spans="2:7">
      <c r="B251" s="85" t="s">
        <v>517</v>
      </c>
      <c r="C251" s="85"/>
      <c r="D251" s="85"/>
      <c r="E251" s="85"/>
      <c r="F251" s="85"/>
      <c r="G251" s="84">
        <v>0</v>
      </c>
    </row>
    <row r="252" spans="2:7">
      <c r="B252" s="85" t="s">
        <v>518</v>
      </c>
      <c r="C252" s="85"/>
      <c r="D252" s="85"/>
      <c r="E252" s="85"/>
      <c r="F252" s="85"/>
      <c r="G252" s="84">
        <v>0</v>
      </c>
    </row>
    <row r="253" spans="2:7">
      <c r="B253" s="85" t="s">
        <v>519</v>
      </c>
      <c r="C253" s="85"/>
      <c r="D253" s="85"/>
      <c r="E253" s="85"/>
      <c r="F253" s="85"/>
      <c r="G253" s="84">
        <v>0</v>
      </c>
    </row>
    <row r="254" spans="2:7">
      <c r="B254" s="85" t="s">
        <v>520</v>
      </c>
      <c r="C254" s="85"/>
      <c r="D254" s="85"/>
      <c r="E254" s="85"/>
      <c r="F254" s="85"/>
      <c r="G254" s="84">
        <v>0</v>
      </c>
    </row>
    <row r="255" spans="2:7">
      <c r="B255" s="85" t="s">
        <v>521</v>
      </c>
      <c r="C255" s="85"/>
      <c r="D255" s="85"/>
      <c r="E255" s="85"/>
      <c r="F255" s="85"/>
      <c r="G255" s="84">
        <v>0</v>
      </c>
    </row>
    <row r="256" spans="2:7">
      <c r="B256" s="85" t="s">
        <v>522</v>
      </c>
      <c r="C256" s="85"/>
      <c r="D256" s="85"/>
      <c r="E256" s="85"/>
      <c r="F256" s="85"/>
      <c r="G256" s="84">
        <v>0</v>
      </c>
    </row>
    <row r="257" spans="2:7">
      <c r="B257" s="85" t="s">
        <v>523</v>
      </c>
      <c r="C257" s="85"/>
      <c r="D257" s="85"/>
      <c r="E257" s="85"/>
      <c r="F257" s="85"/>
      <c r="G257" s="84">
        <v>0</v>
      </c>
    </row>
    <row r="258" spans="2:7">
      <c r="B258" s="85" t="s">
        <v>524</v>
      </c>
      <c r="C258" s="85"/>
      <c r="D258" s="85"/>
      <c r="E258" s="85"/>
      <c r="F258" s="85"/>
      <c r="G258" s="84">
        <v>0</v>
      </c>
    </row>
    <row r="259" spans="2:7">
      <c r="B259" s="85" t="s">
        <v>525</v>
      </c>
      <c r="C259" s="85"/>
      <c r="D259" s="85"/>
      <c r="E259" s="85"/>
      <c r="F259" s="85"/>
      <c r="G259" s="84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orientation="landscape" paperSize="9" fitToWidth="1" fitToHeight="0"/>
  <headerFooter>
    <oddHeader>&amp;Lمازندشت — سامانه حسابداری سورتینگ&amp;C&amp;"B Nazanin,Bold"&amp;10 MAZANDASHT · BANK&amp;R&amp;A</oddHeader>
    <oddFooter>&amp;Lمازندشت — سورتینگ و بسته‌بندی مرکبات&amp;Cصفحه &amp;P از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30" t="s">
        <v>0</v>
      </c>
      <c r="B1" s="30"/>
      <c r="C1" s="31" t="s">
        <v>1</v>
      </c>
      <c r="D1" s="31"/>
      <c r="E1" s="31"/>
      <c r="F1" s="31"/>
      <c r="G1" s="31"/>
    </row>
    <row r="2" spans="1:9" ht="38.25" customHeight="1">
      <c r="A2" s="32" t="s">
        <v>695</v>
      </c>
      <c r="B2" s="32"/>
      <c r="C2" s="32"/>
      <c r="D2" s="32"/>
      <c r="E2" s="32"/>
      <c r="F2" s="32"/>
      <c r="G2" s="32"/>
    </row>
    <row r="3" spans="1:9" ht="45.75" customHeight="1">
      <c r="A3" s="33" t="s">
        <v>696</v>
      </c>
      <c r="B3" s="33"/>
      <c r="C3" s="33"/>
      <c r="D3" s="33"/>
      <c r="E3" s="33"/>
      <c r="F3" s="33"/>
      <c r="G3" s="33"/>
    </row>
    <row r="4" spans="1:9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</row>
    <row r="5" spans="1:9" ht="17.25" customHeight="1">
      <c r="A5" s="86"/>
      <c r="B5" s="86"/>
      <c r="C5" s="86"/>
      <c r="D5" s="86"/>
      <c r="E5" s="86"/>
      <c r="F5" s="86"/>
      <c r="G5" s="86"/>
    </row>
    <row r="6" spans="1:9" ht="33" customHeight="1">
      <c r="A6" s="86"/>
      <c r="B6" s="86"/>
      <c r="C6" s="86"/>
      <c r="D6" s="86"/>
      <c r="E6" s="86"/>
      <c r="F6" s="86"/>
      <c r="G6" s="86"/>
    </row>
    <row r="7" spans="1:9" ht="6.75" customHeight="1">
      <c r="A7" s="87"/>
      <c r="B7" s="87"/>
      <c r="C7" s="87"/>
      <c r="D7" s="87"/>
      <c r="E7" s="87"/>
      <c r="F7" s="87"/>
      <c r="G7" s="87"/>
    </row>
    <row r="10" spans="1:9" ht="30" customHeight="1">
      <c r="A10" s="88"/>
      <c r="B10" s="5" t="s">
        <v>697</v>
      </c>
      <c r="C10" s="6" t="s">
        <v>698</v>
      </c>
      <c r="D10" s="6"/>
      <c r="E10" s="6"/>
      <c r="F10" s="6"/>
      <c r="G10" s="6"/>
      <c r="H10" s="6"/>
      <c r="I10" s="6"/>
    </row>
    <row r="11" spans="1:9" ht="51" customHeight="1">
      <c r="A11" s="89" t="s">
        <v>699</v>
      </c>
      <c r="B11" s="89"/>
      <c r="C11" s="89"/>
      <c r="D11" s="89"/>
      <c r="E11" s="89"/>
      <c r="F11" s="89"/>
      <c r="G11" s="89"/>
      <c r="H11" s="89"/>
      <c r="I11" s="89"/>
    </row>
    <row r="13" spans="1:9" ht="30" customHeight="1">
      <c r="A13" s="88"/>
      <c r="B13" s="5" t="s">
        <v>697</v>
      </c>
      <c r="C13" s="6" t="s">
        <v>700</v>
      </c>
      <c r="D13" s="6"/>
      <c r="E13" s="6"/>
      <c r="F13" s="6"/>
      <c r="G13" s="6"/>
      <c r="H13" s="6"/>
      <c r="I13" s="6"/>
    </row>
    <row r="14" spans="1:9" ht="51" customHeight="1">
      <c r="A14" s="89" t="s">
        <v>701</v>
      </c>
      <c r="B14" s="89"/>
      <c r="C14" s="89"/>
      <c r="D14" s="89"/>
      <c r="E14" s="89"/>
      <c r="F14" s="89"/>
      <c r="G14" s="89"/>
      <c r="H14" s="89"/>
      <c r="I14" s="89"/>
    </row>
    <row r="16" spans="1:9" ht="30" customHeight="1">
      <c r="A16" s="88"/>
      <c r="B16" s="5" t="s">
        <v>697</v>
      </c>
      <c r="C16" s="6" t="s">
        <v>702</v>
      </c>
      <c r="D16" s="6"/>
      <c r="E16" s="6"/>
      <c r="F16" s="6"/>
      <c r="G16" s="6"/>
      <c r="H16" s="6"/>
      <c r="I16" s="6"/>
    </row>
    <row r="17" spans="1:9" ht="36" customHeight="1">
      <c r="A17" s="89" t="s">
        <v>703</v>
      </c>
      <c r="B17" s="89"/>
      <c r="C17" s="89"/>
      <c r="D17" s="89"/>
      <c r="E17" s="89"/>
      <c r="F17" s="89"/>
      <c r="G17" s="89"/>
      <c r="H17" s="89"/>
      <c r="I17" s="89"/>
    </row>
    <row r="19" spans="1:9" ht="30" customHeight="1">
      <c r="A19" s="88"/>
      <c r="B19" s="5" t="s">
        <v>697</v>
      </c>
      <c r="C19" s="6" t="s">
        <v>55</v>
      </c>
      <c r="D19" s="6"/>
      <c r="E19" s="6"/>
      <c r="F19" s="6"/>
      <c r="G19" s="6"/>
      <c r="H19" s="6"/>
      <c r="I19" s="6"/>
    </row>
    <row r="20" spans="1:9" ht="36" customHeight="1">
      <c r="A20" s="89" t="s">
        <v>704</v>
      </c>
      <c r="B20" s="89"/>
      <c r="C20" s="89"/>
      <c r="D20" s="89"/>
      <c r="E20" s="89"/>
      <c r="F20" s="89"/>
      <c r="G20" s="89"/>
      <c r="H20" s="89"/>
      <c r="I20" s="89"/>
    </row>
    <row r="22" spans="1:9" ht="30" customHeight="1">
      <c r="A22" s="88"/>
      <c r="B22" s="5" t="s">
        <v>697</v>
      </c>
      <c r="C22" s="6" t="s">
        <v>705</v>
      </c>
      <c r="D22" s="6"/>
      <c r="E22" s="6"/>
      <c r="F22" s="6"/>
      <c r="G22" s="6"/>
      <c r="H22" s="6"/>
      <c r="I22" s="6"/>
    </row>
    <row r="23" spans="1:9" ht="36" customHeight="1">
      <c r="A23" s="89" t="s">
        <v>706</v>
      </c>
      <c r="B23" s="89"/>
      <c r="C23" s="89"/>
      <c r="D23" s="89"/>
      <c r="E23" s="89"/>
      <c r="F23" s="89"/>
      <c r="G23" s="89"/>
      <c r="H23" s="89"/>
      <c r="I23" s="89"/>
    </row>
    <row r="27" spans="1:9" ht="30" customHeight="1">
      <c r="A27" s="29" t="s">
        <v>707</v>
      </c>
      <c r="B27" s="29"/>
      <c r="C27" s="29"/>
      <c r="D27" s="29"/>
      <c r="E27" s="29"/>
      <c r="F27" s="29"/>
      <c r="G27" s="29"/>
      <c r="H27" s="29"/>
      <c r="I27" s="29"/>
    </row>
  </sheetData>
  <sheetProtection sheet="1" objects="1" scenarios="1" selectUnlockedCells="1"/>
  <mergeCells count="17">
    <mergeCell ref="A1:B1"/>
    <mergeCell ref="C1:G1"/>
    <mergeCell ref="A2:G2"/>
    <mergeCell ref="A3:G3"/>
    <mergeCell ref="A5:G6"/>
    <mergeCell ref="A7:G7"/>
    <mergeCell ref="C10:I10"/>
    <mergeCell ref="A11:I11"/>
    <mergeCell ref="C13:I13"/>
    <mergeCell ref="A14:I14"/>
    <mergeCell ref="C16:I16"/>
    <mergeCell ref="A17:I17"/>
    <mergeCell ref="C19:I19"/>
    <mergeCell ref="A20:I20"/>
    <mergeCell ref="C22:I22"/>
    <mergeCell ref="A23:I23"/>
    <mergeCell ref="A27:I27"/>
  </mergeCells>
  <printOptions horizontalCentered="1"/>
  <pageMargins left="0.28" right="0.28" top="0.45" bottom="0.5" header="0.3" footer="0.3"/>
  <pageSetup orientation="portrait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54</vt:i4>
      </vt:variant>
    </vt:vector>
  </HeadingPairs>
  <TitlesOfParts>
    <vt:vector size="61" baseType="lpstr">
      <vt:lpstr>Overview</vt:lpstr>
      <vt:lpstr>Transactions</vt:lpstr>
      <vt:lpstr>Cheques</vt:lpstr>
      <vt:lpstr>Reconcile</vt:lpstr>
      <vt:lpstr>Summary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Chq!Print_Area</vt:lpstr>
      <vt:lpstr>Help!Print_Area</vt:lpstr>
      <vt:lpstr>Ov!Print_Area</vt:lpstr>
      <vt:lpstr>Rec!Print_Area</vt:lpstr>
      <vt:lpstr>Sum!Print_Area</vt:lpstr>
      <vt:lpstr>Sync!Print_Area</vt:lpstr>
      <vt:lpstr>Txn!Print_Area</vt:lpstr>
      <vt:lpstr>Chq!Print_Titles</vt:lpstr>
      <vt:lpstr>Help!Print_Titles</vt:lpstr>
      <vt:lpstr>Ov!Print_Titles</vt:lpstr>
      <vt:lpstr>Rec!Print_Titles</vt:lpstr>
      <vt:lpstr>Sum!Print_Titles</vt:lpstr>
      <vt:lpstr>Txn!Print_Titles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بانک و چک (۰۲)</dc:title>
  <dc:subject>گردش بانکی، چک‌ها و مغایرت‌گیری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2026-10-23T20:13:04Z</dcterms:created>
  <dcterms:modified xsi:type="dcterms:W3CDTF">2026-10-23T20:13:04Z</dcterms:modified>
</cp:coreProperties>
</file>